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trlProps/ctrlProps4.xml" ContentType="application/vnd.ms-excel.controlproperties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VŠECHNY AKCE=" sheetId="1" state="hidden" r:id="rId3"/>
    <sheet name="Přehled akce" sheetId="2" state="visible" r:id="rId4"/>
    <sheet name="Příjmy a výdaje" sheetId="3" state="visible" r:id="rId5"/>
    <sheet name="Kontrola" sheetId="4" state="visible" r:id="rId6"/>
    <sheet name="Seznam účastníků" sheetId="5" state="visible" r:id="rId7"/>
    <sheet name="Doklady" sheetId="6" state="visible" r:id="rId8"/>
    <sheet name="Seznam instruktorů" sheetId="7" state="visible" r:id="rId9"/>
    <sheet name="for_dot_v2" sheetId="8" state="visible" r:id="rId10"/>
    <sheet name="Vyučtování vzd. akce" sheetId="9" state="visible" r:id="rId11"/>
  </sheets>
  <definedNames>
    <definedName function="false" hidden="false" localSheetId="7" name="_xlnm.Print_Area" vbProcedure="false">for_dot_v2!$A$1:$F$254</definedName>
    <definedName function="false" hidden="false" localSheetId="1" name="_xlnm.Print_Area" vbProcedure="false">'Přehled akce'!$A$1:$L$59</definedName>
    <definedName function="false" hidden="true" localSheetId="6" name="_xlnm._FilterDatabase" vbProcedure="false">'Seznam instruktorů'!$B$27:$W$120</definedName>
    <definedName function="false" hidden="false" localSheetId="8" name="_xlnm.Print_Area" vbProcedure="false">'Vyučtování vzd. akce'!$A$1:$Z$99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Q52" authorId="0">
      <text>
        <r>
          <rPr>
            <sz val="8"/>
            <color rgb="FF000000"/>
            <rFont val="Tahoma"/>
            <family val="2"/>
            <charset val="238"/>
          </rPr>
          <t xml:space="preserve">v buňce se objeví číslo přenosem jako součet výdajů na akci (viz 7.)</t>
        </r>
      </text>
    </comment>
  </commentList>
</comments>
</file>

<file path=xl/sharedStrings.xml><?xml version="1.0" encoding="utf-8"?>
<sst xmlns="http://schemas.openxmlformats.org/spreadsheetml/2006/main" count="645" uniqueCount="295">
  <si>
    <t xml:space="preserve">PŘEHLED AKCE</t>
  </si>
  <si>
    <t xml:space="preserve">Junák - středisko Milana Genserka Brno (622.08)</t>
  </si>
  <si>
    <t xml:space="preserve">Název akce:</t>
  </si>
  <si>
    <t xml:space="preserve">Kód akce:</t>
  </si>
  <si>
    <t xml:space="preserve">Datum konání akce:</t>
  </si>
  <si>
    <t xml:space="preserve">Rok:</t>
  </si>
  <si>
    <t xml:space="preserve">Vedoucí akce:</t>
  </si>
  <si>
    <t xml:space="preserve">Počet dnů:</t>
  </si>
  <si>
    <t xml:space="preserve">Hospodář akce:</t>
  </si>
  <si>
    <t xml:space="preserve">Počet účastníků:</t>
  </si>
  <si>
    <t xml:space="preserve">Počet účastnických osobodnů:</t>
  </si>
  <si>
    <t xml:space="preserve">Počet pořadatelů</t>
  </si>
  <si>
    <t xml:space="preserve">Počet celkových osobodnů:</t>
  </si>
  <si>
    <t xml:space="preserve">Přehled nutných dokumentů</t>
  </si>
  <si>
    <t xml:space="preserve">Stav po revizi</t>
  </si>
  <si>
    <t xml:space="preserve">Podpis</t>
  </si>
  <si>
    <t xml:space="preserve">£</t>
  </si>
  <si>
    <t xml:space="preserve">seznam výdajů a příjmů (vždy)</t>
  </si>
  <si>
    <t xml:space="preserve">seznam účastníků s platbou (vždy)</t>
  </si>
  <si>
    <t xml:space="preserve">rozpočet akce (u velkých akcí)</t>
  </si>
  <si>
    <t xml:space="preserve">vyúčtování dotací</t>
  </si>
  <si>
    <t xml:space="preserve">smlouvy o proplácení cestovních náhrad</t>
  </si>
  <si>
    <t xml:space="preserve">předávací protokoly na odměny</t>
  </si>
  <si>
    <t xml:space="preserve">Přehled výdajů akce</t>
  </si>
  <si>
    <t xml:space="preserve">Kód</t>
  </si>
  <si>
    <t xml:space="preserve">MD</t>
  </si>
  <si>
    <t xml:space="preserve">Položka</t>
  </si>
  <si>
    <t xml:space="preserve">D</t>
  </si>
  <si>
    <t xml:space="preserve">Hotově</t>
  </si>
  <si>
    <t xml:space="preserve">Převodem</t>
  </si>
  <si>
    <t xml:space="preserve">VÝDAJE CELKEM</t>
  </si>
  <si>
    <t xml:space="preserve">náj</t>
  </si>
  <si>
    <t xml:space="preserve">518.310</t>
  </si>
  <si>
    <t xml:space="preserve">Nájemné</t>
  </si>
  <si>
    <t xml:space="preserve">211.</t>
  </si>
  <si>
    <t xml:space="preserve">221.</t>
  </si>
  <si>
    <t xml:space="preserve">pot</t>
  </si>
  <si>
    <t xml:space="preserve">501.110</t>
  </si>
  <si>
    <t xml:space="preserve">Potraviny</t>
  </si>
  <si>
    <t xml:space="preserve">dop</t>
  </si>
  <si>
    <t xml:space="preserve">518.210</t>
  </si>
  <si>
    <t xml:space="preserve">Doprava osobní na akcích</t>
  </si>
  <si>
    <t xml:space="preserve">nák</t>
  </si>
  <si>
    <t xml:space="preserve">518.220</t>
  </si>
  <si>
    <t xml:space="preserve">Doprava nákladní</t>
  </si>
  <si>
    <t xml:space="preserve">ces</t>
  </si>
  <si>
    <t xml:space="preserve">Cestovné</t>
  </si>
  <si>
    <t xml:space="preserve">vst</t>
  </si>
  <si>
    <t xml:space="preserve">Vstupné</t>
  </si>
  <si>
    <t xml:space="preserve">mat</t>
  </si>
  <si>
    <t xml:space="preserve">501.210</t>
  </si>
  <si>
    <t xml:space="preserve">Materiál na akce</t>
  </si>
  <si>
    <t xml:space="preserve">vyb</t>
  </si>
  <si>
    <t xml:space="preserve">501.310</t>
  </si>
  <si>
    <t xml:space="preserve">Vybavení vedené v operativní evidenci</t>
  </si>
  <si>
    <t xml:space="preserve">mtv</t>
  </si>
  <si>
    <t xml:space="preserve">501.320</t>
  </si>
  <si>
    <t xml:space="preserve">Materiál pro tvorbu vybavení</t>
  </si>
  <si>
    <t xml:space="preserve">táb</t>
  </si>
  <si>
    <t xml:space="preserve">501.530</t>
  </si>
  <si>
    <t xml:space="preserve">Materiál na opravu a údržbu tábořišť</t>
  </si>
  <si>
    <t xml:space="preserve">oma</t>
  </si>
  <si>
    <t xml:space="preserve">501.900</t>
  </si>
  <si>
    <t xml:space="preserve">Ostatní materiál</t>
  </si>
  <si>
    <t xml:space="preserve">poš</t>
  </si>
  <si>
    <t xml:space="preserve">518.410</t>
  </si>
  <si>
    <t xml:space="preserve">Poštovné</t>
  </si>
  <si>
    <t xml:space="preserve">kop</t>
  </si>
  <si>
    <t xml:space="preserve">518.510</t>
  </si>
  <si>
    <t xml:space="preserve">Kopírování</t>
  </si>
  <si>
    <t xml:space="preserve">tel</t>
  </si>
  <si>
    <t xml:space="preserve">518.610</t>
  </si>
  <si>
    <t xml:space="preserve">Telekomunikační náhrady</t>
  </si>
  <si>
    <t xml:space="preserve">půj</t>
  </si>
  <si>
    <t xml:space="preserve">518.120</t>
  </si>
  <si>
    <t xml:space="preserve">Půjčovné</t>
  </si>
  <si>
    <t xml:space="preserve">osl</t>
  </si>
  <si>
    <t xml:space="preserve">518.900</t>
  </si>
  <si>
    <t xml:space="preserve">Ostatní služby</t>
  </si>
  <si>
    <t xml:space="preserve">Výdaje celkem</t>
  </si>
  <si>
    <t xml:space="preserve">Přehled příjmů akce</t>
  </si>
  <si>
    <t xml:space="preserve">PŘÍJMY CELKEM</t>
  </si>
  <si>
    <t xml:space="preserve">pří</t>
  </si>
  <si>
    <t xml:space="preserve">649.100</t>
  </si>
  <si>
    <t xml:space="preserve">Příjmy od účastníků</t>
  </si>
  <si>
    <t xml:space="preserve">dot</t>
  </si>
  <si>
    <t xml:space="preserve">681.x</t>
  </si>
  <si>
    <t xml:space="preserve">Dotace</t>
  </si>
  <si>
    <t xml:space="preserve">opř</t>
  </si>
  <si>
    <t xml:space="preserve">Ostatní příjmy</t>
  </si>
  <si>
    <t xml:space="preserve">Příjmy celkem</t>
  </si>
  <si>
    <t xml:space="preserve">Přehled převodů mezi pokladnami / záloh </t>
  </si>
  <si>
    <t xml:space="preserve">ZÁLOHY CELKEM</t>
  </si>
  <si>
    <t xml:space="preserve">zál</t>
  </si>
  <si>
    <t xml:space="preserve">Převod do pokladny akce</t>
  </si>
  <si>
    <t xml:space="preserve">vra</t>
  </si>
  <si>
    <t xml:space="preserve">Vratka záloh do střediska</t>
  </si>
  <si>
    <t xml:space="preserve">Zálohy celkem</t>
  </si>
  <si>
    <t xml:space="preserve">Výsledek hospodaření</t>
  </si>
  <si>
    <t xml:space="preserve">Hotovost (vyrovnáno se stř. pokladnou):</t>
  </si>
  <si>
    <t xml:space="preserve">Výsledek hospodaření akce</t>
  </si>
  <si>
    <t xml:space="preserve">(výsledek hospodaření akce je ztrátou (-) / ziskem (+) střediska)</t>
  </si>
  <si>
    <t xml:space="preserve">Zpracoval</t>
  </si>
  <si>
    <t xml:space="preserve">jméno</t>
  </si>
  <si>
    <t xml:space="preserve">Převzal</t>
  </si>
  <si>
    <t xml:space="preserve">datum</t>
  </si>
  <si>
    <t xml:space="preserve">podpis</t>
  </si>
  <si>
    <t xml:space="preserve">PŘÍJMY A VÝDAJE AKCE</t>
  </si>
  <si>
    <r>
      <rPr>
        <b val="true"/>
        <sz val="15"/>
        <rFont val="Arial CE"/>
        <family val="2"/>
        <charset val="238"/>
      </rPr>
      <t xml:space="preserve">BEZHOTOVOSTNÍ PLATBY </t>
    </r>
    <r>
      <rPr>
        <sz val="10"/>
        <rFont val="Arial CE"/>
        <family val="2"/>
        <charset val="238"/>
      </rPr>
      <t xml:space="preserve">(příjmy i výdaje, bez záloh)</t>
    </r>
  </si>
  <si>
    <t xml:space="preserve">Částka</t>
  </si>
  <si>
    <t xml:space="preserve">Datum platby</t>
  </si>
  <si>
    <t xml:space="preserve">Poznámka</t>
  </si>
  <si>
    <t xml:space="preserve">Dotováno</t>
  </si>
  <si>
    <t xml:space="preserve">Kontrola</t>
  </si>
  <si>
    <t xml:space="preserve">zho</t>
  </si>
  <si>
    <t xml:space="preserve">zbú</t>
  </si>
  <si>
    <t xml:space="preserve">součet</t>
  </si>
  <si>
    <r>
      <rPr>
        <b val="true"/>
        <sz val="15"/>
        <rFont val="Arial CE"/>
        <family val="2"/>
        <charset val="238"/>
      </rPr>
      <t xml:space="preserve">PŘEVODY MEZI POKLADNAMI / ZÁLOHY </t>
    </r>
    <r>
      <rPr>
        <sz val="10"/>
        <rFont val="Arial CE"/>
        <family val="2"/>
        <charset val="238"/>
      </rPr>
      <t xml:space="preserve">(přijaté i vracené)</t>
    </r>
  </si>
  <si>
    <t xml:space="preserve">Způsob</t>
  </si>
  <si>
    <t xml:space="preserve">Komu</t>
  </si>
  <si>
    <t xml:space="preserve">HOTOVOSTNÍ PŘÍJMY AKCE</t>
  </si>
  <si>
    <t xml:space="preserve">účastnické poplatky hrazené hotově</t>
  </si>
  <si>
    <t xml:space="preserve">viz "Seznam účastníků"</t>
  </si>
  <si>
    <t xml:space="preserve">HOTOVOSTNÍ VÝDAJE - 1</t>
  </si>
  <si>
    <t xml:space="preserve">HOTOVOSTNÍ VÝDAJE - 2</t>
  </si>
  <si>
    <t xml:space="preserve">HOTOVOSTNÍ VÝDAJE - 3</t>
  </si>
  <si>
    <t xml:space="preserve">KONTROLNÍ PŘEHLED VÝDAJŮ</t>
  </si>
  <si>
    <t xml:space="preserve">(hodnoty sloupců 1 a 2 se musí rovnat)</t>
  </si>
  <si>
    <t xml:space="preserve">2</t>
  </si>
  <si>
    <t xml:space="preserve">Číslo listu</t>
  </si>
  <si>
    <t xml:space="preserve">Druh</t>
  </si>
  <si>
    <t xml:space="preserve">Součet dokladů na listu</t>
  </si>
  <si>
    <t xml:space="preserve">Mezisoučty</t>
  </si>
  <si>
    <t xml:space="preserve">Součet druhu dle dokladů</t>
  </si>
  <si>
    <t xml:space="preserve">Součet druhu dle přehledu</t>
  </si>
  <si>
    <t xml:space="preserve">LEGENDA KÓDŮ:</t>
  </si>
  <si>
    <t xml:space="preserve">-</t>
  </si>
  <si>
    <t xml:space="preserve">Přijaté zálohy</t>
  </si>
  <si>
    <t xml:space="preserve">Celkový součet výdajů:</t>
  </si>
  <si>
    <t xml:space="preserve">SEZNAM ÚČASTNÍKŮ AKCE</t>
  </si>
  <si>
    <t xml:space="preserve">Poř.</t>
  </si>
  <si>
    <t xml:space="preserve">Příjmení</t>
  </si>
  <si>
    <t xml:space="preserve">Jméno</t>
  </si>
  <si>
    <t xml:space="preserve">Přezdívka</t>
  </si>
  <si>
    <t xml:space="preserve">Adresa</t>
  </si>
  <si>
    <t xml:space="preserve">PSČ</t>
  </si>
  <si>
    <t xml:space="preserve">RČ</t>
  </si>
  <si>
    <t xml:space="preserve">Počet dní</t>
  </si>
  <si>
    <t xml:space="preserve">Platba hotově</t>
  </si>
  <si>
    <t xml:space="preserve">Platba na účet</t>
  </si>
  <si>
    <t xml:space="preserve">Celkem:</t>
  </si>
  <si>
    <t xml:space="preserve">účast.dní</t>
  </si>
  <si>
    <t xml:space="preserve">POKLADNÍ DOKLADY AKCE</t>
  </si>
  <si>
    <t xml:space="preserve">dot v2</t>
  </si>
  <si>
    <t xml:space="preserve">seznam účastníků s platbou</t>
  </si>
  <si>
    <t xml:space="preserve">seznam instruktorů s platbou</t>
  </si>
  <si>
    <t xml:space="preserve">Výdajový pokladní doklad ze dne:</t>
  </si>
  <si>
    <t xml:space="preserve">přehled záloh instruktorům</t>
  </si>
  <si>
    <t xml:space="preserve">Junák - český skaut, středisko Milana Genserka Brno, z. s.</t>
  </si>
  <si>
    <t xml:space="preserve">Milénova 16, 638 00 Brno, IČO: 621 57 523</t>
  </si>
  <si>
    <t xml:space="preserve">Částka:</t>
  </si>
  <si>
    <t xml:space="preserve">Vyplaceno komu:</t>
  </si>
  <si>
    <t xml:space="preserve">(vedoucí akce)</t>
  </si>
  <si>
    <t xml:space="preserve">Účel platby:</t>
  </si>
  <si>
    <t xml:space="preserve">HOTOVOSTNÍ VÝDAJE AKCE</t>
  </si>
  <si>
    <t xml:space="preserve">(viz seznam "Hotovostní výdaje")</t>
  </si>
  <si>
    <t xml:space="preserve">Vydal:</t>
  </si>
  <si>
    <t xml:space="preserve">Podpis:</t>
  </si>
  <si>
    <t xml:space="preserve">Přijal:</t>
  </si>
  <si>
    <t xml:space="preserve">Příjmový pokladní doklad ze dne:</t>
  </si>
  <si>
    <t xml:space="preserve">Přijato od:</t>
  </si>
  <si>
    <t xml:space="preserve">seznam "Hotovostní příjmy akce"</t>
  </si>
  <si>
    <t xml:space="preserve">viz seznam "Převody mezi pokladnami / zálohy"</t>
  </si>
  <si>
    <t xml:space="preserve">PŘEVODY MEZI POKLADNAMI / ZÁLOHY</t>
  </si>
  <si>
    <t xml:space="preserve">(viz seznam "Převody mezi pokladnami / zálohy")</t>
  </si>
  <si>
    <t xml:space="preserve"> pokladní doklad ze dne:</t>
  </si>
  <si>
    <t xml:space="preserve">(pokladník střediska)</t>
  </si>
  <si>
    <t xml:space="preserve">VYROVNÁNÍ POKLADNY AKCE</t>
  </si>
  <si>
    <t xml:space="preserve">(se střediskovou pokladnou)</t>
  </si>
  <si>
    <t xml:space="preserve">SEZNAM INSTRUKTORŮ</t>
  </si>
  <si>
    <t xml:space="preserve">Částka za den:</t>
  </si>
  <si>
    <t xml:space="preserve">OSOBNÍ ÚDAJE</t>
  </si>
  <si>
    <r>
      <rPr>
        <b val="true"/>
        <sz val="8"/>
        <rFont val="Arial"/>
        <family val="2"/>
      </rPr>
      <t xml:space="preserve">ÚČAST</t>
    </r>
    <r>
      <rPr>
        <sz val="8"/>
        <rFont val="Arial"/>
        <family val="2"/>
        <charset val="238"/>
      </rPr>
      <t xml:space="preserve"> (část akce / místo konání / počet stravovacích dní)</t>
    </r>
  </si>
  <si>
    <t xml:space="preserve">PLATBA</t>
  </si>
  <si>
    <t xml:space="preserve">OSTATNÍ</t>
  </si>
  <si>
    <t xml:space="preserve">Město</t>
  </si>
  <si>
    <t xml:space="preserve">Týmovka 1.</t>
  </si>
  <si>
    <t xml:space="preserve">Týmovka 2.</t>
  </si>
  <si>
    <t xml:space="preserve">Týmovka 3.</t>
  </si>
  <si>
    <t xml:space="preserve">Část 1.</t>
  </si>
  <si>
    <t xml:space="preserve">Část 2.</t>
  </si>
  <si>
    <t xml:space="preserve">Část 3.</t>
  </si>
  <si>
    <t xml:space="preserve">Platit</t>
  </si>
  <si>
    <t xml:space="preserve">Uhrazeno</t>
  </si>
  <si>
    <t xml:space="preserve">Zbývá uhradit</t>
  </si>
  <si>
    <t xml:space="preserve">Resty</t>
  </si>
  <si>
    <t xml:space="preserve">Kde?</t>
  </si>
  <si>
    <t xml:space="preserve">PŘEHLED NEVYŘEŠENÝCH ZÁLOH A RESTŮ OD INSTRUKTORŮ</t>
  </si>
  <si>
    <t xml:space="preserve">Kdo</t>
  </si>
  <si>
    <t xml:space="preserve">Co (záloha, rest…)</t>
  </si>
  <si>
    <t xml:space="preserve">Ze kdy</t>
  </si>
  <si>
    <t xml:space="preserve">Vyřešeno</t>
  </si>
  <si>
    <t xml:space="preserve">Pomocné sloupce</t>
  </si>
  <si>
    <t xml:space="preserve">ANO</t>
  </si>
  <si>
    <t xml:space="preserve">NE</t>
  </si>
  <si>
    <t xml:space="preserve">Číslo org. jedn.: </t>
  </si>
  <si>
    <t xml:space="preserve">   6 2 2  -  0 8</t>
  </si>
  <si>
    <t xml:space="preserve">PŘEHLED O ÚHRADÁCH PLATEB</t>
  </si>
  <si>
    <t xml:space="preserve">Celková dotace</t>
  </si>
  <si>
    <t xml:space="preserve">(NEINVESTIČNÍ PROSTŘEDKY)</t>
  </si>
  <si>
    <t xml:space="preserve">Zbývá dotovat</t>
  </si>
  <si>
    <t xml:space="preserve">Pol.</t>
  </si>
  <si>
    <r>
      <rPr>
        <b val="true"/>
        <sz val="12"/>
        <rFont val="Arial CE"/>
        <family val="2"/>
        <charset val="238"/>
      </rPr>
      <t xml:space="preserve">Číslo dokladu</t>
    </r>
    <r>
      <rPr>
        <b val="true"/>
        <vertAlign val="superscript"/>
        <sz val="12"/>
        <rFont val="Arial CE"/>
        <family val="2"/>
        <charset val="238"/>
      </rPr>
      <t xml:space="preserve">1)</t>
    </r>
  </si>
  <si>
    <t xml:space="preserve">Účel použití</t>
  </si>
  <si>
    <t xml:space="preserve">Částka v Kč (na 2 des.)</t>
  </si>
  <si>
    <r>
      <rPr>
        <b val="true"/>
        <sz val="12"/>
        <rFont val="Arial CE"/>
        <family val="2"/>
        <charset val="238"/>
      </rPr>
      <t xml:space="preserve">Hrazeno z dotace</t>
    </r>
    <r>
      <rPr>
        <b val="true"/>
        <vertAlign val="superscript"/>
        <sz val="12"/>
        <rFont val="Arial CE"/>
        <family val="2"/>
        <charset val="238"/>
      </rPr>
      <t xml:space="preserve">2)</t>
    </r>
  </si>
  <si>
    <t xml:space="preserve">CELKEM</t>
  </si>
  <si>
    <t xml:space="preserve">1) dle účetní evidence</t>
  </si>
  <si>
    <t xml:space="preserve">2) dotaci celkem zaokrouhlete na celé koruny</t>
  </si>
  <si>
    <t xml:space="preserve">Jméno a podpis:</t>
  </si>
  <si>
    <t xml:space="preserve">Junák - svaz skautů a skautek ČR</t>
  </si>
  <si>
    <t xml:space="preserve">VYÚČTOVÁNÍ DOTACE NA VZDĚLÁVACÍ AKCi</t>
  </si>
  <si>
    <r>
      <rPr>
        <b val="true"/>
        <sz val="11"/>
        <rFont val="Arial"/>
        <family val="2"/>
      </rPr>
      <t xml:space="preserve">1.</t>
    </r>
    <r>
      <rPr>
        <b val="true"/>
        <sz val="7"/>
        <rFont val="Times New Roman"/>
        <family val="1"/>
      </rPr>
      <t xml:space="preserve">         </t>
    </r>
    <r>
      <rPr>
        <b val="true"/>
        <sz val="11"/>
        <rFont val="Arial"/>
        <family val="2"/>
      </rPr>
      <t xml:space="preserve">Jednotný název akce </t>
    </r>
    <r>
      <rPr>
        <i val="true"/>
        <sz val="9"/>
        <rFont val="Arial"/>
        <family val="2"/>
      </rPr>
      <t xml:space="preserve">(Pollux 2006; LK Vltavín)</t>
    </r>
  </si>
  <si>
    <t xml:space="preserve"> </t>
  </si>
  <si>
    <r>
      <rPr>
        <b val="true"/>
        <sz val="11"/>
        <rFont val="Arial"/>
        <family val="2"/>
      </rPr>
      <t xml:space="preserve">2.</t>
    </r>
    <r>
      <rPr>
        <b val="true"/>
        <sz val="7"/>
        <rFont val="Times New Roman"/>
        <family val="1"/>
      </rPr>
      <t xml:space="preserve">         </t>
    </r>
    <r>
      <rPr>
        <b val="true"/>
        <sz val="11"/>
        <rFont val="Arial"/>
        <family val="2"/>
      </rPr>
      <t xml:space="preserve">Typ akce podle Řádu pro vzdělávání činovnic a činovníků Junáka</t>
    </r>
  </si>
  <si>
    <r>
      <rPr>
        <b val="true"/>
        <sz val="10"/>
        <rFont val="Arial"/>
        <family val="2"/>
      </rPr>
      <t xml:space="preserve">1</t>
    </r>
    <r>
      <rPr>
        <sz val="10"/>
        <rFont val="Arial"/>
        <family val="2"/>
      </rPr>
      <t xml:space="preserve">   ČZ nebo ČK (kap. 4 a 17 ŘVČČJ)</t>
    </r>
  </si>
  <si>
    <r>
      <rPr>
        <b val="true"/>
        <sz val="10"/>
        <rFont val="Arial"/>
        <family val="2"/>
      </rPr>
      <t xml:space="preserve">9</t>
    </r>
    <r>
      <rPr>
        <sz val="10"/>
        <rFont val="Arial"/>
        <family val="2"/>
      </rPr>
      <t xml:space="preserve">     OČK a přísl. kurzy (kap. 7 ŘVČČJ)</t>
    </r>
  </si>
  <si>
    <r>
      <rPr>
        <b val="true"/>
        <sz val="10"/>
        <rFont val="Arial"/>
        <family val="2"/>
      </rPr>
      <t xml:space="preserve">2</t>
    </r>
    <r>
      <rPr>
        <sz val="10"/>
        <rFont val="Arial"/>
        <family val="2"/>
      </rPr>
      <t xml:space="preserve">   ČLK (kap. (9 a 11 ŘVČČJ)</t>
    </r>
  </si>
  <si>
    <r>
      <rPr>
        <b val="true"/>
        <sz val="10"/>
        <rFont val="Arial"/>
        <family val="2"/>
      </rPr>
      <t xml:space="preserve">10</t>
    </r>
    <r>
      <rPr>
        <sz val="10"/>
        <rFont val="Arial"/>
        <family val="2"/>
      </rPr>
      <t xml:space="preserve">   LŠ (kap. 9 a 14 ŘVČČJ)</t>
    </r>
  </si>
  <si>
    <r>
      <rPr>
        <b val="true"/>
        <sz val="10"/>
        <rFont val="Arial"/>
        <family val="2"/>
      </rPr>
      <t xml:space="preserve">3</t>
    </r>
    <r>
      <rPr>
        <sz val="10"/>
        <rFont val="Arial"/>
        <family val="2"/>
      </rPr>
      <t xml:space="preserve">   LK (kap. 9 a 10 ŘVČČJ)</t>
    </r>
  </si>
  <si>
    <r>
      <rPr>
        <b val="true"/>
        <sz val="10"/>
        <rFont val="Arial"/>
        <family val="2"/>
      </rPr>
      <t xml:space="preserve">11</t>
    </r>
    <r>
      <rPr>
        <sz val="10"/>
        <rFont val="Arial"/>
        <family val="2"/>
      </rPr>
      <t xml:space="preserve">   ILŠ (kap. 9 a 15 ŘVČČJ)</t>
    </r>
  </si>
  <si>
    <r>
      <rPr>
        <b val="true"/>
        <sz val="10"/>
        <rFont val="Arial"/>
        <family val="2"/>
      </rPr>
      <t xml:space="preserve">4</t>
    </r>
    <r>
      <rPr>
        <sz val="10"/>
        <rFont val="Arial"/>
        <family val="2"/>
      </rPr>
      <t xml:space="preserve">   Zdravotnický kurz (kap. 17 ŘVČČJ)</t>
    </r>
  </si>
  <si>
    <r>
      <rPr>
        <b val="true"/>
        <sz val="10"/>
        <rFont val="Arial"/>
        <family val="2"/>
      </rPr>
      <t xml:space="preserve">12</t>
    </r>
    <r>
      <rPr>
        <sz val="10"/>
        <rFont val="Arial"/>
        <family val="2"/>
      </rPr>
      <t xml:space="preserve">   Postgraduální seminář pro vůdce oddílů</t>
    </r>
  </si>
  <si>
    <r>
      <rPr>
        <b val="true"/>
        <sz val="10"/>
        <rFont val="Arial"/>
        <family val="2"/>
      </rPr>
      <t xml:space="preserve">5</t>
    </r>
    <r>
      <rPr>
        <sz val="10"/>
        <rFont val="Arial"/>
        <family val="2"/>
      </rPr>
      <t xml:space="preserve">   VZ nebo VK (kap. 5 a 17 ŘVČČJ)</t>
    </r>
  </si>
  <si>
    <r>
      <rPr>
        <b val="true"/>
        <sz val="10"/>
        <rFont val="Arial"/>
        <family val="2"/>
      </rPr>
      <t xml:space="preserve">13</t>
    </r>
    <r>
      <rPr>
        <sz val="10"/>
        <rFont val="Arial"/>
        <family val="2"/>
      </rPr>
      <t xml:space="preserve">   Regionální výměna zkušeností vůdců odd.</t>
    </r>
  </si>
  <si>
    <r>
      <rPr>
        <b val="true"/>
        <sz val="10"/>
        <rFont val="Arial"/>
        <family val="2"/>
      </rPr>
      <t xml:space="preserve">6</t>
    </r>
    <r>
      <rPr>
        <sz val="10"/>
        <rFont val="Arial"/>
        <family val="2"/>
      </rPr>
      <t xml:space="preserve">   VLK (kap. 9 a 12 ŘVČČJ)</t>
    </r>
  </si>
  <si>
    <r>
      <rPr>
        <b val="true"/>
        <sz val="10"/>
        <rFont val="Arial"/>
        <family val="2"/>
      </rPr>
      <t xml:space="preserve">14</t>
    </r>
    <r>
      <rPr>
        <sz val="10"/>
        <rFont val="Arial"/>
        <family val="2"/>
      </rPr>
      <t xml:space="preserve">   Seminář pro vedení organizačních jednotek</t>
    </r>
  </si>
  <si>
    <r>
      <rPr>
        <b val="true"/>
        <sz val="10"/>
        <rFont val="Arial"/>
        <family val="2"/>
      </rPr>
      <t xml:space="preserve">7</t>
    </r>
    <r>
      <rPr>
        <sz val="10"/>
        <rFont val="Arial"/>
        <family val="2"/>
        <charset val="238"/>
      </rPr>
      <t xml:space="preserve">   MLK (kap. 9 a 13  ŘVČČJ)</t>
    </r>
  </si>
  <si>
    <r>
      <rPr>
        <b val="true"/>
        <sz val="10"/>
        <rFont val="Arial"/>
        <family val="2"/>
      </rPr>
      <t xml:space="preserve">15</t>
    </r>
    <r>
      <rPr>
        <sz val="10"/>
        <rFont val="Arial"/>
        <family val="2"/>
      </rPr>
      <t xml:space="preserve">   Jiná akce - vypište:</t>
    </r>
  </si>
  <si>
    <r>
      <rPr>
        <b val="true"/>
        <sz val="10"/>
        <rFont val="Arial"/>
        <family val="2"/>
      </rPr>
      <t xml:space="preserve">8</t>
    </r>
    <r>
      <rPr>
        <sz val="10"/>
        <rFont val="Arial"/>
        <family val="2"/>
      </rPr>
      <t xml:space="preserve">   MZ, IK a přísl. kurzy (kap. 6 a 8 ŘVČČJ)</t>
    </r>
  </si>
  <si>
    <r>
      <rPr>
        <b val="true"/>
        <sz val="11"/>
        <rFont val="Arial"/>
        <family val="2"/>
      </rPr>
      <t xml:space="preserve">3.</t>
    </r>
    <r>
      <rPr>
        <b val="true"/>
        <sz val="7"/>
        <rFont val="Times New Roman"/>
        <family val="1"/>
      </rPr>
      <t xml:space="preserve">         </t>
    </r>
    <r>
      <rPr>
        <b val="true"/>
        <sz val="11"/>
        <rFont val="Arial"/>
        <family val="2"/>
      </rPr>
      <t xml:space="preserve">Základní informace o pořádané akci</t>
    </r>
  </si>
  <si>
    <t xml:space="preserve">Specifikace části akce</t>
  </si>
  <si>
    <t xml:space="preserve">Místo</t>
  </si>
  <si>
    <t xml:space="preserve">Datum - začátek</t>
  </si>
  <si>
    <t xml:space="preserve">Datum - konec</t>
  </si>
  <si>
    <t xml:space="preserve">Doba trvání</t>
  </si>
  <si>
    <t xml:space="preserve">Celkem</t>
  </si>
  <si>
    <r>
      <rPr>
        <sz val="10"/>
        <rFont val="Arial"/>
        <family val="2"/>
      </rPr>
      <t xml:space="preserve">Specifikace části jedné akce </t>
    </r>
    <r>
      <rPr>
        <i val="true"/>
        <sz val="10"/>
        <rFont val="Arial"/>
        <family val="2"/>
      </rPr>
      <t xml:space="preserve">(např. S - zahajovací víkend; T - táborová část;  P - průběžný víkend; K - závěrečný víkend)</t>
    </r>
  </si>
  <si>
    <r>
      <rPr>
        <b val="true"/>
        <sz val="11"/>
        <rFont val="Arial"/>
        <family val="2"/>
      </rPr>
      <t xml:space="preserve">4.   Účastníci </t>
    </r>
    <r>
      <rPr>
        <b val="true"/>
        <sz val="10"/>
        <rFont val="Arial"/>
        <family val="2"/>
      </rPr>
      <t xml:space="preserve"> </t>
    </r>
  </si>
  <si>
    <t xml:space="preserve">Vyplňte podle skutečnosti. U akcí kombinovaných (např. LŠ + LK) vyplňte pro každý typ dílčí akce samostatnou tabulku. Údaje v tabulce musí odpovídat přiloženým seznamům účastníků.</t>
  </si>
  <si>
    <t xml:space="preserve">Typ dílčí akce</t>
  </si>
  <si>
    <t xml:space="preserve">Osob</t>
  </si>
  <si>
    <t xml:space="preserve">Pob. dnů</t>
  </si>
  <si>
    <t xml:space="preserve">Frekventanti</t>
  </si>
  <si>
    <r>
      <rPr>
        <b val="true"/>
        <sz val="11"/>
        <rFont val="Arial"/>
        <family val="2"/>
      </rPr>
      <t xml:space="preserve">5.</t>
    </r>
    <r>
      <rPr>
        <b val="true"/>
        <sz val="7"/>
        <rFont val="Times New Roman"/>
        <family val="1"/>
      </rPr>
      <t xml:space="preserve">     </t>
    </r>
    <r>
      <rPr>
        <b val="true"/>
        <sz val="11"/>
        <rFont val="Arial"/>
        <family val="2"/>
      </rPr>
      <t xml:space="preserve">Vyúčtování</t>
    </r>
  </si>
  <si>
    <t xml:space="preserve">Vyplňte podle skutečnosti pro všechny vyúčtovávané části dohromady.</t>
  </si>
  <si>
    <t xml:space="preserve">5.1.</t>
  </si>
  <si>
    <r>
      <rPr>
        <sz val="10"/>
        <rFont val="Arial CE"/>
        <family val="2"/>
        <charset val="238"/>
      </rPr>
      <t xml:space="preserve">Celkový počet pobytových dní</t>
    </r>
    <r>
      <rPr>
        <sz val="9"/>
        <rFont val="Arial CE"/>
        <family val="2"/>
        <charset val="238"/>
      </rPr>
      <t xml:space="preserve">:</t>
    </r>
  </si>
  <si>
    <t xml:space="preserve">5.2.</t>
  </si>
  <si>
    <t xml:space="preserve">Celkový objem vyúčtované dotace:</t>
  </si>
  <si>
    <t xml:space="preserve">5.3.</t>
  </si>
  <si>
    <t xml:space="preserve">Celkové náklady akce:</t>
  </si>
  <si>
    <t xml:space="preserve">5.4.</t>
  </si>
  <si>
    <t xml:space="preserve">Podíl dotace na celkovém rozpočtu (v procentech):</t>
  </si>
  <si>
    <r>
      <rPr>
        <b val="true"/>
        <sz val="11"/>
        <rFont val="Arial"/>
        <family val="2"/>
      </rPr>
      <t xml:space="preserve">6.</t>
    </r>
    <r>
      <rPr>
        <b val="true"/>
        <sz val="7"/>
        <rFont val="Times New Roman"/>
        <family val="1"/>
      </rPr>
      <t xml:space="preserve">     </t>
    </r>
    <r>
      <rPr>
        <b val="true"/>
        <sz val="11"/>
        <rFont val="Arial"/>
        <family val="2"/>
      </rPr>
      <t xml:space="preserve">Skutečné výnosy a náklady akce</t>
    </r>
  </si>
  <si>
    <t xml:space="preserve">Výnosy</t>
  </si>
  <si>
    <t xml:space="preserve">Náklady</t>
  </si>
  <si>
    <t xml:space="preserve">Účastnické poplatky</t>
  </si>
  <si>
    <t xml:space="preserve">Materiál (kanc. potř., provoz. mat.)</t>
  </si>
  <si>
    <t xml:space="preserve">Příjmy od instruktorů</t>
  </si>
  <si>
    <t xml:space="preserve">Inventář (drobné vybavení)</t>
  </si>
  <si>
    <t xml:space="preserve">Doprava, cestovné</t>
  </si>
  <si>
    <t xml:space="preserve">Dotace MŠMT</t>
  </si>
  <si>
    <t xml:space="preserve">Nájemné, ubytování</t>
  </si>
  <si>
    <t xml:space="preserve">Vlastní prostředky OJ</t>
  </si>
  <si>
    <t xml:space="preserve">Stravné, potraviny</t>
  </si>
  <si>
    <t xml:space="preserve">Spoje (tel. poplatky, poštovné, ...)</t>
  </si>
  <si>
    <t xml:space="preserve">Ostatní služby (např. kopírování)</t>
  </si>
  <si>
    <r>
      <rPr>
        <b val="true"/>
        <sz val="11"/>
        <rFont val="Arial"/>
        <family val="2"/>
      </rPr>
      <t xml:space="preserve">7.</t>
    </r>
    <r>
      <rPr>
        <b val="true"/>
        <sz val="7"/>
        <rFont val="Times New Roman"/>
        <family val="1"/>
      </rPr>
      <t xml:space="preserve">     </t>
    </r>
    <r>
      <rPr>
        <b val="true"/>
        <sz val="11"/>
        <rFont val="Arial"/>
        <family val="2"/>
      </rPr>
      <t xml:space="preserve">Organizační jednotka, která je pořadatelem akce</t>
    </r>
  </si>
  <si>
    <t xml:space="preserve">Číslo org.jednotky: </t>
  </si>
  <si>
    <t xml:space="preserve">622.08</t>
  </si>
  <si>
    <t xml:space="preserve">Název org. jednotky:</t>
  </si>
  <si>
    <t xml:space="preserve">Milana Genserka Brno</t>
  </si>
  <si>
    <t xml:space="preserve">8. Vyúčtování zpracoval</t>
  </si>
  <si>
    <t xml:space="preserve">Příjmení, jméno</t>
  </si>
  <si>
    <t xml:space="preserve">Mobil:</t>
  </si>
  <si>
    <t xml:space="preserve">E-mail</t>
  </si>
  <si>
    <r>
      <rPr>
        <b val="true"/>
        <sz val="11"/>
        <rFont val="Arial"/>
        <family val="2"/>
      </rPr>
      <t xml:space="preserve">9.</t>
    </r>
    <r>
      <rPr>
        <b val="true"/>
        <sz val="7"/>
        <rFont val="Times New Roman"/>
        <family val="1"/>
      </rPr>
      <t xml:space="preserve">     </t>
    </r>
    <r>
      <rPr>
        <b val="true"/>
        <sz val="11"/>
        <rFont val="Arial"/>
        <family val="2"/>
      </rPr>
      <t xml:space="preserve">Za správnost odpovídá:</t>
    </r>
  </si>
  <si>
    <t xml:space="preserve">Datum:</t>
  </si>
  <si>
    <t xml:space="preserve">Příjmení, jméno statutárního orgánu:</t>
  </si>
  <si>
    <t xml:space="preserve">Kupka Ondřej</t>
  </si>
  <si>
    <t xml:space="preserve">Příjmení, jméno vedoucího akce:</t>
  </si>
  <si>
    <t xml:space="preserve">10. Vyjádření revizní komise</t>
  </si>
  <si>
    <t xml:space="preserve">Příjmení, jméno: </t>
  </si>
  <si>
    <t xml:space="preserve">Stojan Ivo</t>
  </si>
</sst>
</file>

<file path=xl/styles.xml><?xml version="1.0" encoding="utf-8"?>
<styleSheet xmlns="http://schemas.openxmlformats.org/spreadsheetml/2006/main">
  <numFmts count="21">
    <numFmt numFmtId="164" formatCode="General"/>
    <numFmt numFmtId="165" formatCode="#,##0.00"/>
    <numFmt numFmtId="166" formatCode="0%"/>
    <numFmt numFmtId="167" formatCode="_-* #,##0.00&quot; Kč&quot;_-;\-* #,##0.00&quot; Kč&quot;_-;_-* \-??&quot; Kč&quot;_-;_-@_-"/>
    <numFmt numFmtId="168" formatCode="#,##0.00&quot; Kč &quot;;\-#,##0.00&quot; Kč &quot;;&quot; -&quot;#&quot; Kč &quot;;@\ "/>
    <numFmt numFmtId="169" formatCode="#,##0.00&quot; Kč&quot;"/>
    <numFmt numFmtId="170" formatCode="[$-409]m/d/yyyy"/>
    <numFmt numFmtId="171" formatCode="@"/>
    <numFmt numFmtId="172" formatCode="0"/>
    <numFmt numFmtId="173" formatCode="[$-409]d\-mmm"/>
    <numFmt numFmtId="174" formatCode="#,##0.00\ _K_č"/>
    <numFmt numFmtId="175" formatCode="_-* #,##0&quot; Kč&quot;_-;\-* #,##0&quot; Kč&quot;_-;_-* &quot;- Kč&quot;_-;_-@_-"/>
    <numFmt numFmtId="176" formatCode="#,##0&quot; Kč&quot;"/>
    <numFmt numFmtId="177" formatCode="#,##0_ ;\-#,##0\ "/>
    <numFmt numFmtId="178" formatCode="#,##0.00&quot; Kč&quot;;[RED]\-#,##0.00&quot; Kč&quot;"/>
    <numFmt numFmtId="179" formatCode="#,##0.00&quot; Kč&quot;"/>
    <numFmt numFmtId="180" formatCode="#,##0"/>
    <numFmt numFmtId="181" formatCode="#,##0.00&quot; Kč&quot;;\-#,##0.00&quot; Kč&quot;"/>
    <numFmt numFmtId="182" formatCode="dd/mm/yy;@"/>
    <numFmt numFmtId="183" formatCode="0.00%"/>
    <numFmt numFmtId="184" formatCode="000\ 00"/>
  </numFmts>
  <fonts count="69">
    <font>
      <sz val="10"/>
      <name val="Arial CE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0000"/>
      <name val="Arial CE"/>
      <family val="2"/>
      <charset val="238"/>
    </font>
    <font>
      <u val="single"/>
      <sz val="10"/>
      <color rgb="FF0000FF"/>
      <name val="Arial CE"/>
      <family val="2"/>
      <charset val="238"/>
    </font>
    <font>
      <sz val="10"/>
      <name val="Arial"/>
      <family val="2"/>
      <charset val="238"/>
    </font>
    <font>
      <sz val="10"/>
      <name val="Arial CE"/>
      <family val="2"/>
      <charset val="238"/>
    </font>
    <font>
      <sz val="12"/>
      <color rgb="FF008000"/>
      <name val="Arial CE"/>
      <family val="2"/>
      <charset val="238"/>
    </font>
    <font>
      <b val="true"/>
      <sz val="30"/>
      <name val="Arial CE"/>
      <family val="2"/>
      <charset val="238"/>
    </font>
    <font>
      <sz val="9"/>
      <name val="Arial CE"/>
      <family val="2"/>
      <charset val="238"/>
    </font>
    <font>
      <b val="true"/>
      <sz val="9"/>
      <name val="Arial CE"/>
      <family val="2"/>
      <charset val="238"/>
    </font>
    <font>
      <sz val="9"/>
      <name val="Arial CE"/>
      <family val="0"/>
      <charset val="238"/>
    </font>
    <font>
      <sz val="12"/>
      <name val="Wingdings 2"/>
      <family val="1"/>
      <charset val="2"/>
    </font>
    <font>
      <u val="single"/>
      <sz val="7"/>
      <name val="Arial CE"/>
      <family val="2"/>
      <charset val="238"/>
    </font>
    <font>
      <sz val="7"/>
      <name val="Arial CE"/>
      <family val="2"/>
      <charset val="238"/>
    </font>
    <font>
      <sz val="8"/>
      <name val="Arial CE"/>
      <family val="2"/>
      <charset val="238"/>
    </font>
    <font>
      <b val="true"/>
      <sz val="15"/>
      <name val="Arial CE"/>
      <family val="2"/>
      <charset val="238"/>
    </font>
    <font>
      <b val="true"/>
      <sz val="10"/>
      <name val="Arial CE"/>
      <family val="2"/>
      <charset val="238"/>
    </font>
    <font>
      <b val="true"/>
      <sz val="7"/>
      <name val="Arial CE"/>
      <family val="2"/>
      <charset val="238"/>
    </font>
    <font>
      <sz val="8"/>
      <color rgb="FFFF0000"/>
      <name val="Arial CE"/>
      <family val="2"/>
      <charset val="238"/>
    </font>
    <font>
      <sz val="6"/>
      <name val="Arial CE"/>
      <family val="2"/>
      <charset val="238"/>
    </font>
    <font>
      <b val="true"/>
      <sz val="12"/>
      <color rgb="FF000000"/>
      <name val="Arial"/>
      <family val="0"/>
    </font>
    <font>
      <sz val="3"/>
      <color rgb="FF000000"/>
      <name val="Arial"/>
      <family val="0"/>
    </font>
    <font>
      <b val="true"/>
      <sz val="8"/>
      <color rgb="FF000000"/>
      <name val="Arial"/>
      <family val="0"/>
    </font>
    <font>
      <sz val="8"/>
      <color rgb="FF00000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8"/>
      <name val="Arial CE"/>
      <family val="2"/>
      <charset val="238"/>
    </font>
    <font>
      <sz val="12"/>
      <name val="Arial CE"/>
      <family val="2"/>
      <charset val="238"/>
    </font>
    <font>
      <b val="true"/>
      <sz val="30"/>
      <name val="Arial"/>
      <family val="2"/>
    </font>
    <font>
      <sz val="8"/>
      <name val="Arial CE"/>
      <family val="0"/>
      <charset val="238"/>
    </font>
    <font>
      <sz val="8"/>
      <name val="Arial"/>
      <family val="2"/>
      <charset val="238"/>
    </font>
    <font>
      <b val="true"/>
      <sz val="8"/>
      <name val="Arial"/>
      <family val="2"/>
    </font>
    <font>
      <sz val="11"/>
      <name val="Arial"/>
      <family val="2"/>
      <charset val="238"/>
    </font>
    <font>
      <sz val="8"/>
      <color rgb="FF000000"/>
      <name val="Arial CE"/>
      <family val="0"/>
    </font>
    <font>
      <sz val="11"/>
      <color rgb="FF000000"/>
      <name val="Arial CE"/>
      <family val="0"/>
    </font>
    <font>
      <sz val="8"/>
      <name val="Arial"/>
      <family val="2"/>
    </font>
    <font>
      <b val="true"/>
      <sz val="10"/>
      <name val="Arial"/>
      <family val="2"/>
    </font>
    <font>
      <b val="true"/>
      <sz val="18"/>
      <name val="Arial CE"/>
      <family val="2"/>
      <charset val="238"/>
    </font>
    <font>
      <b val="true"/>
      <sz val="11"/>
      <name val="Arial CE"/>
      <family val="2"/>
      <charset val="238"/>
    </font>
    <font>
      <b val="true"/>
      <u val="single"/>
      <sz val="11"/>
      <name val="Arial CE"/>
      <family val="2"/>
      <charset val="238"/>
    </font>
    <font>
      <sz val="11"/>
      <name val="Arial CE"/>
      <family val="2"/>
      <charset val="238"/>
    </font>
    <font>
      <u val="single"/>
      <sz val="10"/>
      <name val="Arial CE"/>
      <family val="2"/>
      <charset val="238"/>
    </font>
    <font>
      <b val="true"/>
      <sz val="14"/>
      <name val="Arial CE"/>
      <family val="2"/>
      <charset val="238"/>
    </font>
    <font>
      <b val="true"/>
      <sz val="8"/>
      <name val="Arial CE"/>
      <family val="2"/>
      <charset val="238"/>
    </font>
    <font>
      <b val="true"/>
      <sz val="15"/>
      <name val="Arial"/>
      <family val="2"/>
    </font>
    <font>
      <sz val="10"/>
      <color rgb="FFC0C0C0"/>
      <name val="Arial"/>
      <family val="2"/>
    </font>
    <font>
      <sz val="8"/>
      <color rgb="FFC0C0C0"/>
      <name val="Arial"/>
      <family val="2"/>
    </font>
    <font>
      <b val="true"/>
      <sz val="12"/>
      <name val="Arial CE"/>
      <family val="2"/>
      <charset val="238"/>
    </font>
    <font>
      <b val="true"/>
      <vertAlign val="superscript"/>
      <sz val="12"/>
      <name val="Arial CE"/>
      <family val="2"/>
      <charset val="238"/>
    </font>
    <font>
      <b val="true"/>
      <sz val="18"/>
      <name val="Arial"/>
      <family val="2"/>
    </font>
    <font>
      <b val="true"/>
      <sz val="11"/>
      <name val="Arial"/>
      <family val="2"/>
    </font>
    <font>
      <b val="true"/>
      <sz val="16"/>
      <name val="Arial"/>
      <family val="2"/>
    </font>
    <font>
      <b val="true"/>
      <sz val="7"/>
      <name val="Times New Roman"/>
      <family val="1"/>
    </font>
    <font>
      <i val="true"/>
      <sz val="9"/>
      <name val="Arial"/>
      <family val="2"/>
    </font>
    <font>
      <sz val="10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  <charset val="238"/>
    </font>
    <font>
      <i val="true"/>
      <sz val="10"/>
      <name val="Arial"/>
      <family val="2"/>
    </font>
    <font>
      <b val="true"/>
      <sz val="9"/>
      <name val="Arial CE"/>
      <family val="0"/>
      <charset val="238"/>
    </font>
    <font>
      <sz val="9"/>
      <name val="Arial"/>
      <family val="2"/>
    </font>
    <font>
      <sz val="11"/>
      <name val="Arial"/>
      <family val="2"/>
    </font>
    <font>
      <sz val="11"/>
      <name val="Arial CE"/>
      <family val="0"/>
      <charset val="238"/>
    </font>
    <font>
      <b val="true"/>
      <sz val="11"/>
      <name val="Arial CE"/>
      <family val="0"/>
      <charset val="238"/>
    </font>
    <font>
      <b val="true"/>
      <sz val="10"/>
      <name val="Arial CE"/>
      <family val="0"/>
      <charset val="238"/>
    </font>
    <font>
      <i val="true"/>
      <sz val="10"/>
      <name val="Arial CE"/>
      <family val="0"/>
      <charset val="238"/>
    </font>
    <font>
      <sz val="8"/>
      <color rgb="FF000000"/>
      <name val="Tahoma"/>
      <family val="2"/>
      <charset val="238"/>
    </font>
    <font>
      <sz val="24"/>
      <color rgb="FF000000"/>
      <name val="Arial"/>
      <family val="0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</fills>
  <borders count="163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medium"/>
      <right style="hair"/>
      <top style="medium"/>
      <bottom style="double"/>
      <diagonal/>
    </border>
    <border diagonalUp="false" diagonalDown="false">
      <left style="hair"/>
      <right/>
      <top style="medium"/>
      <bottom style="double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/>
      <right style="hair"/>
      <top style="medium"/>
      <bottom style="double"/>
      <diagonal/>
    </border>
    <border diagonalUp="false" diagonalDown="false">
      <left style="thin"/>
      <right style="hair"/>
      <top style="medium"/>
      <bottom style="double"/>
      <diagonal/>
    </border>
    <border diagonalUp="false" diagonalDown="false">
      <left style="thick"/>
      <right style="thick"/>
      <top style="thick"/>
      <bottom style="double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thin"/>
      <right/>
      <top/>
      <bottom style="hair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/>
      <top style="double"/>
      <bottom style="hair"/>
      <diagonal/>
    </border>
    <border diagonalUp="false" diagonalDown="false">
      <left/>
      <right style="hair"/>
      <top style="double"/>
      <bottom style="hair"/>
      <diagonal/>
    </border>
    <border diagonalUp="false" diagonalDown="false">
      <left style="thick"/>
      <right style="thick"/>
      <top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thick"/>
      <right style="thick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thin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ck"/>
      <right style="thick"/>
      <top style="hair"/>
      <bottom/>
      <diagonal/>
    </border>
    <border diagonalUp="false" diagonalDown="false">
      <left style="medium"/>
      <right style="hair"/>
      <top style="double"/>
      <bottom style="medium"/>
      <diagonal/>
    </border>
    <border diagonalUp="false" diagonalDown="false">
      <left style="hair"/>
      <right/>
      <top style="double"/>
      <bottom style="medium"/>
      <diagonal/>
    </border>
    <border diagonalUp="false" diagonalDown="false">
      <left style="thin"/>
      <right/>
      <top style="double"/>
      <bottom style="medium"/>
      <diagonal/>
    </border>
    <border diagonalUp="false" diagonalDown="false">
      <left style="thick"/>
      <right/>
      <top style="thick"/>
      <bottom style="thick"/>
      <diagonal/>
    </border>
    <border diagonalUp="false" diagonalDown="false">
      <left/>
      <right style="hair"/>
      <top style="thick"/>
      <bottom style="thick"/>
      <diagonal/>
    </border>
    <border diagonalUp="false" diagonalDown="false">
      <left style="hair"/>
      <right style="thick"/>
      <top style="thick"/>
      <bottom style="thick"/>
      <diagonal/>
    </border>
    <border diagonalUp="false" diagonalDown="false">
      <left/>
      <right/>
      <top style="double"/>
      <bottom style="medium"/>
      <diagonal/>
    </border>
    <border diagonalUp="false" diagonalDown="false">
      <left/>
      <right style="hair"/>
      <top style="double"/>
      <bottom style="medium"/>
      <diagonal/>
    </border>
    <border diagonalUp="false" diagonalDown="false">
      <left style="thick"/>
      <right style="thick"/>
      <top style="double"/>
      <bottom style="thick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thick"/>
      <right style="hair"/>
      <top style="thick"/>
      <bottom style="thick"/>
      <diagonal/>
    </border>
    <border diagonalUp="false" diagonalDown="false">
      <left style="hair"/>
      <right style="hair"/>
      <top style="thick"/>
      <bottom style="thick"/>
      <diagonal/>
    </border>
    <border diagonalUp="false" diagonalDown="false">
      <left style="hair"/>
      <right style="hair"/>
      <top style="double"/>
      <bottom style="medium"/>
      <diagonal/>
    </border>
    <border diagonalUp="false" diagonalDown="false">
      <left/>
      <right/>
      <top style="medium"/>
      <bottom style="double"/>
      <diagonal/>
    </border>
    <border diagonalUp="false" diagonalDown="false">
      <left style="thin"/>
      <right style="hair"/>
      <top style="double"/>
      <bottom style="hair"/>
      <diagonal/>
    </border>
    <border diagonalUp="false" diagonalDown="false">
      <left style="thick"/>
      <right style="thick"/>
      <top style="double"/>
      <bottom style="hair"/>
      <diagonal/>
    </border>
    <border diagonalUp="false" diagonalDown="false">
      <left style="medium"/>
      <right/>
      <top style="hair"/>
      <bottom style="double"/>
      <diagonal/>
    </border>
    <border diagonalUp="false" diagonalDown="false">
      <left style="hair"/>
      <right style="thin"/>
      <top style="hair"/>
      <bottom style="double"/>
      <diagonal/>
    </border>
    <border diagonalUp="false" diagonalDown="false">
      <left style="thin"/>
      <right style="hair"/>
      <top style="hair"/>
      <bottom style="double"/>
      <diagonal/>
    </border>
    <border diagonalUp="false" diagonalDown="false">
      <left style="thick"/>
      <right style="thick"/>
      <top style="hair"/>
      <bottom style="double"/>
      <diagonal/>
    </border>
    <border diagonalUp="false" diagonalDown="false">
      <left style="thin"/>
      <right style="thin"/>
      <top style="double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 style="hair"/>
      <top style="thick"/>
      <bottom/>
      <diagonal/>
    </border>
    <border diagonalUp="false" diagonalDown="false">
      <left style="hair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 style="hair"/>
      <bottom/>
      <diagonal/>
    </border>
    <border diagonalUp="false" diagonalDown="false">
      <left style="hair"/>
      <right style="thick"/>
      <top style="hair"/>
      <bottom style="thick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hair"/>
      <top/>
      <bottom style="thick"/>
      <diagonal/>
    </border>
    <border diagonalUp="false" diagonalDown="false">
      <left style="hair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hair"/>
      <right style="hair"/>
      <top style="medium"/>
      <bottom style="double"/>
      <diagonal/>
    </border>
    <border diagonalUp="false" diagonalDown="false">
      <left style="hair"/>
      <right style="medium"/>
      <top style="medium"/>
      <bottom style="double"/>
      <diagonal/>
    </border>
    <border diagonalUp="false" diagonalDown="false">
      <left/>
      <right style="medium"/>
      <top style="medium"/>
      <bottom style="double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hair"/>
      <right style="hair"/>
      <top style="double"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 style="medium"/>
      <top/>
      <bottom style="hair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/>
      <top style="hair"/>
      <bottom style="medium"/>
      <diagonal/>
    </border>
    <border diagonalUp="false" diagonalDown="false">
      <left/>
      <right style="medium"/>
      <top style="hair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hair"/>
      <top style="double"/>
      <bottom style="hair"/>
      <diagonal/>
    </border>
    <border diagonalUp="false" diagonalDown="false">
      <left style="hair"/>
      <right style="medium"/>
      <top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 style="medium"/>
      <diagonal/>
    </border>
    <border diagonalUp="false" diagonalDown="false">
      <left style="hair"/>
      <right style="medium"/>
      <top style="hair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double"/>
      <diagonal/>
    </border>
    <border diagonalUp="false" diagonalDown="false">
      <left style="medium"/>
      <right/>
      <top/>
      <bottom style="hair"/>
      <diagonal/>
    </border>
    <border diagonalUp="false" diagonalDown="false">
      <left style="medium"/>
      <right style="medium"/>
      <top style="hair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/>
      <right style="medium"/>
      <top style="hair"/>
      <bottom/>
      <diagonal/>
    </border>
    <border diagonalUp="false" diagonalDown="false">
      <left/>
      <right style="medium"/>
      <top/>
      <bottom style="double"/>
      <diagonal/>
    </border>
    <border diagonalUp="false" diagonalDown="false">
      <left style="medium"/>
      <right style="hair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double"/>
      <bottom style="hair"/>
      <diagonal/>
    </border>
    <border diagonalUp="false" diagonalDown="false">
      <left/>
      <right/>
      <top style="double"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medium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hair"/>
      <top style="hair"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 style="thin"/>
      <right style="hair"/>
      <top style="medium"/>
      <bottom style="hair"/>
      <diagonal/>
    </border>
    <border diagonalUp="false" diagonalDown="false">
      <left style="hair"/>
      <right style="thin"/>
      <top style="medium"/>
      <bottom style="hair"/>
      <diagonal/>
    </border>
    <border diagonalUp="false" diagonalDown="false">
      <left style="hair"/>
      <right style="hair"/>
      <top style="hair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thick"/>
      <right style="hair"/>
      <top style="thick"/>
      <bottom style="medium"/>
      <diagonal/>
    </border>
    <border diagonalUp="false" diagonalDown="false">
      <left style="hair"/>
      <right style="hair"/>
      <top style="thick"/>
      <bottom style="medium"/>
      <diagonal/>
    </border>
    <border diagonalUp="false" diagonalDown="false">
      <left style="hair"/>
      <right/>
      <top style="thick"/>
      <bottom style="medium"/>
      <diagonal/>
    </border>
    <border diagonalUp="false" diagonalDown="false">
      <left style="medium"/>
      <right style="medium"/>
      <top style="thick"/>
      <bottom style="medium"/>
      <diagonal/>
    </border>
    <border diagonalUp="false" diagonalDown="false">
      <left style="medium"/>
      <right style="thick"/>
      <top style="thick"/>
      <bottom style="medium"/>
      <diagonal/>
    </border>
    <border diagonalUp="false" diagonalDown="false">
      <left style="thick"/>
      <right/>
      <top style="medium"/>
      <bottom style="double"/>
      <diagonal/>
    </border>
    <border diagonalUp="false" diagonalDown="false">
      <left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/>
      <right style="thick"/>
      <top style="medium"/>
      <bottom style="double"/>
      <diagonal/>
    </border>
    <border diagonalUp="false" diagonalDown="false">
      <left/>
      <right style="hair"/>
      <top style="hair"/>
      <bottom style="double"/>
      <diagonal/>
    </border>
    <border diagonalUp="false" diagonalDown="false">
      <left style="hair"/>
      <right/>
      <top style="hair"/>
      <bottom style="double"/>
      <diagonal/>
    </border>
    <border diagonalUp="false" diagonalDown="false">
      <left style="thick"/>
      <right/>
      <top/>
      <bottom style="hair"/>
      <diagonal/>
    </border>
    <border diagonalUp="false" diagonalDown="false">
      <left/>
      <right style="thick"/>
      <top/>
      <bottom style="hair"/>
      <diagonal/>
    </border>
    <border diagonalUp="false" diagonalDown="false">
      <left style="thick"/>
      <right/>
      <top style="hair"/>
      <bottom style="hair"/>
      <diagonal/>
    </border>
    <border diagonalUp="false" diagonalDown="false">
      <left/>
      <right style="thick"/>
      <top style="hair"/>
      <bottom style="hair"/>
      <diagonal/>
    </border>
    <border diagonalUp="false" diagonalDown="false">
      <left style="thick"/>
      <right/>
      <top style="hair"/>
      <bottom style="thick"/>
      <diagonal/>
    </border>
    <border diagonalUp="false" diagonalDown="false">
      <left style="medium"/>
      <right style="hair"/>
      <top style="hair"/>
      <bottom style="thick"/>
      <diagonal/>
    </border>
    <border diagonalUp="false" diagonalDown="false">
      <left style="hair"/>
      <right style="hair"/>
      <top style="hair"/>
      <bottom style="thick"/>
      <diagonal/>
    </border>
    <border diagonalUp="false" diagonalDown="false">
      <left style="hair"/>
      <right/>
      <top style="hair"/>
      <bottom style="thick"/>
      <diagonal/>
    </border>
    <border diagonalUp="false" diagonalDown="false">
      <left style="hair"/>
      <right style="medium"/>
      <top style="hair"/>
      <bottom style="thick"/>
      <diagonal/>
    </border>
    <border diagonalUp="false" diagonalDown="false">
      <left/>
      <right style="hair"/>
      <top style="hair"/>
      <bottom style="thick"/>
      <diagonal/>
    </border>
    <border diagonalUp="false" diagonalDown="false">
      <left style="medium"/>
      <right/>
      <top style="hair"/>
      <bottom style="thick"/>
      <diagonal/>
    </border>
    <border diagonalUp="false" diagonalDown="false">
      <left/>
      <right style="thick"/>
      <top style="hair"/>
      <bottom style="thick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dashed"/>
      <top style="thin"/>
      <bottom style="dashed"/>
      <diagonal/>
    </border>
    <border diagonalUp="false" diagonalDown="false">
      <left/>
      <right style="dashed"/>
      <top style="thin"/>
      <bottom style="dashed"/>
      <diagonal/>
    </border>
    <border diagonalUp="false" diagonalDown="false">
      <left style="dashed"/>
      <right style="dashed"/>
      <top style="thin"/>
      <bottom style="dashed"/>
      <diagonal/>
    </border>
    <border diagonalUp="false" diagonalDown="false">
      <left style="dashed"/>
      <right style="thin"/>
      <top style="thin"/>
      <bottom style="dashed"/>
      <diagonal/>
    </border>
    <border diagonalUp="false" diagonalDown="false">
      <left style="thin"/>
      <right style="dashed"/>
      <top style="dashed"/>
      <bottom style="dashed"/>
      <diagonal/>
    </border>
    <border diagonalUp="false" diagonalDown="false">
      <left/>
      <right style="dashed"/>
      <top style="dashed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dashed"/>
      <right style="thin"/>
      <top style="dashed"/>
      <bottom style="dashed"/>
      <diagonal/>
    </border>
    <border diagonalUp="false" diagonalDown="false">
      <left style="thin"/>
      <right style="dashed"/>
      <top style="dashed"/>
      <bottom style="thin"/>
      <diagonal/>
    </border>
    <border diagonalUp="false" diagonalDown="false">
      <left style="dashed"/>
      <right style="thin"/>
      <top style="dashed"/>
      <bottom style="thin"/>
      <diagonal/>
    </border>
    <border diagonalUp="false" diagonalDown="false">
      <left style="dashed"/>
      <right style="dashed"/>
      <top style="dashed"/>
      <bottom/>
      <diagonal/>
    </border>
    <border diagonalUp="false" diagonalDown="false">
      <left style="thin"/>
      <right/>
      <top style="thin"/>
      <bottom style="dashed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ashed"/>
      <diagonal/>
    </border>
    <border diagonalUp="false" diagonalDown="false">
      <left/>
      <right/>
      <top style="dashed"/>
      <bottom/>
      <diagonal/>
    </border>
  </borders>
  <cellStyleXfs count="3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false" applyProtection="false"/>
    <xf numFmtId="166" fontId="0" fillId="0" borderId="0" applyFont="true" applyBorder="false" applyAlignment="false" applyProtection="false"/>
  </cellStyleXfs>
  <cellXfs count="6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2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2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3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3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3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4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1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4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3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5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3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52" xfId="26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26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5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5" xfId="2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56" xfId="2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5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2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5" xfId="2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2" xfId="26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7" fillId="0" borderId="63" xfId="26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6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0" fontId="10" fillId="2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2" borderId="7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2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7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73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3" borderId="7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7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3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2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2" borderId="3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6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2" borderId="7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2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2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8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3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16" fillId="2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8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7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16" fillId="2" borderId="7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9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2" borderId="2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6" fillId="2" borderId="4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2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9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4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8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0" borderId="8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8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6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6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9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71" xfId="0" applyFont="false" applyBorder="true" applyAlignment="true" applyProtection="true">
      <alignment horizontal="left" vertical="bottom" textRotation="0" wrapText="false" indent="1" shrinkToFit="false"/>
      <protection locked="true" hidden="false"/>
    </xf>
    <xf numFmtId="167" fontId="0" fillId="2" borderId="7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7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8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3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0" fillId="2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1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38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3" borderId="8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0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06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2" borderId="7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79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0" fillId="3" borderId="10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4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0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0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1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1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1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113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14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14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15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11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2" borderId="11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2" borderId="116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0" borderId="0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2" fillId="0" borderId="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6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38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38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40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2" borderId="4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2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2" borderId="86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2" borderId="38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38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2" borderId="38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3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4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24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32" fillId="2" borderId="86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0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87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78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7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2" borderId="7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2" fillId="2" borderId="8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17" xfId="2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2" fillId="2" borderId="114" xfId="2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2" fillId="2" borderId="118" xfId="24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2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3" borderId="4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1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4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3" fillId="3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33" fillId="0" borderId="0" xfId="2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3" fillId="0" borderId="0" xfId="2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4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0" borderId="120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8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5" borderId="0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1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9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5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5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5" borderId="9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5" borderId="9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9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8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1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1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0" borderId="12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24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25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2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12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2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6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29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14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14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0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31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20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132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2" borderId="119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133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3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9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71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7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0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85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2" fillId="4" borderId="10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7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1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9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2" borderId="7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2" fillId="2" borderId="7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3" borderId="85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35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36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6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7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86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2" fillId="4" borderId="2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17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2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37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2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6" xfId="24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17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86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2" borderId="38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6" xfId="24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86" xfId="2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38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" borderId="139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40" xfId="27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" borderId="140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41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" borderId="142" xfId="2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32" fillId="4" borderId="143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14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2" fillId="4" borderId="141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3" borderId="139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2" borderId="14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40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2" fillId="3" borderId="14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144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" borderId="145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0" xfId="24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0" borderId="0" xfId="2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7" fillId="0" borderId="3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66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6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9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" borderId="7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" borderId="71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37" fillId="2" borderId="71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71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85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6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" borderId="38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7" fillId="2" borderId="38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38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8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87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" borderId="78" xfId="2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2" borderId="78" xfId="24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78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8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9" fillId="5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9" fillId="5" borderId="0" xfId="25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9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5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5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0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146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5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9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47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5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5" borderId="0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5" borderId="0" xfId="28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" fillId="0" borderId="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7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3" borderId="0" xfId="2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6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3" fillId="0" borderId="0" xfId="2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2" fillId="2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2" fillId="0" borderId="0" xfId="23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0" fillId="0" borderId="0" xfId="23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3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8" fillId="0" borderId="0" xfId="23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73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73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7" fillId="0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7" fillId="0" borderId="65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7" fillId="0" borderId="0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23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148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" borderId="149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56" fillId="2" borderId="150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0" fillId="2" borderId="150" xfId="2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51" xfId="2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5" xfId="23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23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2" borderId="152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2" borderId="153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56" fillId="2" borderId="154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0" fillId="2" borderId="154" xfId="2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55" xfId="2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0" borderId="156" xfId="2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0" fillId="0" borderId="157" xfId="23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2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6" fillId="0" borderId="0" xfId="2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7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2" borderId="7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0" borderId="73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7" fillId="0" borderId="73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3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3" borderId="7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3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3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0" borderId="73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7" fillId="0" borderId="73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7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3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8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1" fillId="0" borderId="0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23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6" fillId="2" borderId="73" xfId="2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2" fillId="0" borderId="0" xfId="23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23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7" fillId="3" borderId="73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7" fillId="0" borderId="73" xfId="23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83" fontId="7" fillId="0" borderId="73" xfId="3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2" fillId="0" borderId="73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2" fillId="0" borderId="73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8" fillId="0" borderId="73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73" xfId="23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8" fillId="0" borderId="73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38" fillId="0" borderId="73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6" fillId="0" borderId="15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3" borderId="150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0" borderId="150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0" fillId="3" borderId="151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2" borderId="154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3" borderId="154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0" borderId="154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7" fillId="3" borderId="155" xfId="25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2" borderId="154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0" borderId="154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3" borderId="155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0" fillId="3" borderId="155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2" borderId="154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155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2" borderId="158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0" fillId="2" borderId="158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6" fillId="2" borderId="158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0" fillId="2" borderId="157" xfId="23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4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73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0" borderId="73" xfId="23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2" fillId="0" borderId="73" xfId="23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2" fillId="0" borderId="0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2" fillId="0" borderId="0" xfId="23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2" fillId="0" borderId="0" xfId="23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6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2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73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2" borderId="159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7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73" xfId="21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6" fillId="0" borderId="64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0" fillId="2" borderId="73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6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2" borderId="16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61" xfId="23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3" borderId="16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3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61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0" borderId="162" xfId="23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odotovat" xfId="20"/>
    <cellStyle name="Hypertextový odkaz_Přehled akce - Ursus 2006 jaro + léto" xfId="21"/>
    <cellStyle name="Normal 3" xfId="22"/>
    <cellStyle name="normální_for_vyuctovani_vzdelavaci_akce" xfId="23"/>
    <cellStyle name="normální_Jaráky_2005_seznam" xfId="24"/>
    <cellStyle name="normální_Přehled akce - Ursus 2006 jaro + léto" xfId="25"/>
    <cellStyle name="normální_rekapitulace_akce_J_FT07-2002" xfId="26"/>
    <cellStyle name="normální_Údaje o členovi 2005_0" xfId="27"/>
    <cellStyle name="normální_Účetnictví 2003" xfId="28"/>
    <cellStyle name="oddotovat" xfId="29"/>
    <cellStyle name="procent_for_vyuctovani_vzdelavaci_akce" xfId="30"/>
  </cellStyles>
  <dxfs count="21"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99CC00"/>
        </patternFill>
      </fill>
    </dxf>
    <dxf>
      <font>
        <name val="Arial CE"/>
        <charset val="238"/>
        <family val="0"/>
        <color rgb="00FFFFFF"/>
      </font>
      <fill>
        <patternFill>
          <bgColor rgb="FFFF9900"/>
        </patternFill>
      </fill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FFFFFFFF"/>
      </font>
    </dxf>
    <dxf>
      <fill>
        <patternFill patternType="solid">
          <fgColor rgb="FFCCFF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ont>
        <name val="Arial CE"/>
        <charset val="238"/>
        <family val="0"/>
        <color rgb="FFFFFFFF"/>
      </font>
    </dxf>
    <dxf>
      <font>
        <name val="Arial CE"/>
        <charset val="238"/>
        <family val="0"/>
        <color rgb="00FFFFFF"/>
      </font>
      <fill>
        <patternFill>
          <bgColor rgb="FF99CC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color rgb="00FFFFFF"/>
      </font>
      <fill>
        <patternFill>
          <bgColor rgb="FFFF0000"/>
        </patternFill>
      </fill>
    </dxf>
    <dxf>
      <font>
        <name val="Arial CE"/>
        <charset val="238"/>
        <family val="0"/>
        <b val="1"/>
        <i val="0"/>
        <strike val="0"/>
        <color rgb="FFFF0000"/>
        <sz val="12"/>
        <u val="none"/>
      </font>
      <border diagonalUp="false" diagonalDown="false">
        <left/>
        <right/>
        <top/>
        <bottom/>
        <diagonal/>
      </border>
    </dxf>
    <dxf>
      <font>
        <name val="Arial CE"/>
        <charset val="238"/>
        <family val="0"/>
        <b val="1"/>
        <i val="0"/>
        <strike val="0"/>
        <color rgb="FF008000"/>
        <sz val="12"/>
        <u val="none"/>
      </font>
      <border diagonalUp="false" diagonalDown="false">
        <left/>
        <right/>
        <top/>
        <bottom/>
        <diagonal/>
      </border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trlProps/ctrlProps4.xml><?xml version="1.0" encoding="utf-8"?>
<formControlPr xmlns="http://schemas.microsoft.com/office/spreadsheetml/2009/9/main" objectType="Button" lockText="1"/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130680</xdr:colOff>
      <xdr:row>4</xdr:row>
      <xdr:rowOff>18720</xdr:rowOff>
    </xdr:from>
    <xdr:to>
      <xdr:col>14</xdr:col>
      <xdr:colOff>684720</xdr:colOff>
      <xdr:row>16</xdr:row>
      <xdr:rowOff>28440</xdr:rowOff>
    </xdr:to>
    <xdr:sp>
      <xdr:nvSpPr>
        <xdr:cNvPr id="1" name="Text Box 3"/>
        <xdr:cNvSpPr/>
      </xdr:nvSpPr>
      <xdr:spPr>
        <a:xfrm>
          <a:off x="7302960" y="1047600"/>
          <a:ext cx="2243160" cy="1971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Vybavení vedené v operativní evidenci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na akce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Potraviny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oma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materiál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Telekomunikační náhrady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osobní na akcích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nák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nákladní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Nájemné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 Vstupné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Kopírování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osl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služby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pří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Příjmy od účastníků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Dotace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opř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příjmy </a:t>
          </a:r>
          <a:endParaRPr b="0" lang="en-US" sz="800" strike="noStrike" u="none">
            <a:effectLst/>
            <a:uFillTx/>
            <a:latin typeface="Times New Roman"/>
          </a:endParaRPr>
        </a:p>
        <a:p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201240</xdr:colOff>
      <xdr:row>78</xdr:row>
      <xdr:rowOff>56880</xdr:rowOff>
    </xdr:from>
    <xdr:to>
      <xdr:col>14</xdr:col>
      <xdr:colOff>775800</xdr:colOff>
      <xdr:row>92</xdr:row>
      <xdr:rowOff>75600</xdr:rowOff>
    </xdr:to>
    <xdr:sp>
      <xdr:nvSpPr>
        <xdr:cNvPr id="2" name="Text Box 6"/>
        <xdr:cNvSpPr/>
      </xdr:nvSpPr>
      <xdr:spPr>
        <a:xfrm>
          <a:off x="7373520" y="13420440"/>
          <a:ext cx="2263680" cy="22953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Vybavení vedené v operativní evidenci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mtv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pro tvorbu vybavení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Materál na akce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Potraviny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táb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na opravu a údržbu tábořišť a táb. staveb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oma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materiál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Cestovné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Poštovné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Telekomunikační náhrady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osobní na akcích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nák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nákladní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Nájemné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Půjčovné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Vstupné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Kopírování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osl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služby </a:t>
          </a:r>
          <a:endParaRPr b="0" lang="en-US" sz="800" strike="noStrike" u="none">
            <a:effectLst/>
            <a:uFillTx/>
            <a:latin typeface="Times New Roman"/>
          </a:endParaRPr>
        </a:p>
        <a:p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241560</xdr:colOff>
      <xdr:row>69</xdr:row>
      <xdr:rowOff>133200</xdr:rowOff>
    </xdr:from>
    <xdr:to>
      <xdr:col>6</xdr:col>
      <xdr:colOff>604080</xdr:colOff>
      <xdr:row>74</xdr:row>
      <xdr:rowOff>56880</xdr:rowOff>
    </xdr:to>
    <xdr:sp>
      <xdr:nvSpPr>
        <xdr:cNvPr id="3" name="Text Box 7"/>
        <xdr:cNvSpPr/>
      </xdr:nvSpPr>
      <xdr:spPr>
        <a:xfrm>
          <a:off x="4899240" y="12011040"/>
          <a:ext cx="1630800" cy="7333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1000" strike="noStrike" u="none">
              <a:solidFill>
                <a:srgbClr val="000000"/>
              </a:solidFill>
              <a:effectLst/>
              <a:uFillTx/>
              <a:latin typeface="Arial"/>
            </a:rPr>
            <a:t>pří    </a:t>
          </a: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Arial"/>
            </a:rPr>
            <a:t>Příjmy od účastníků </a:t>
          </a:r>
          <a:endParaRPr b="0" lang="en-US" sz="1000" strike="noStrike" u="none">
            <a:effectLst/>
            <a:uFillTx/>
            <a:latin typeface="Times New Roman"/>
          </a:endParaRPr>
        </a:p>
        <a:p>
          <a:r>
            <a:rPr b="1" lang="en-US" sz="1000" strike="noStrike" u="none">
              <a:solidFill>
                <a:srgbClr val="000000"/>
              </a:solidFill>
              <a:effectLst/>
              <a:uFillTx/>
              <a:latin typeface="Arial"/>
            </a:rPr>
            <a:t>opř   </a:t>
          </a: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Arial"/>
            </a:rPr>
            <a:t>Ostatní příjmy </a:t>
          </a:r>
          <a:endParaRPr b="0" lang="en-US" sz="1000" strike="noStrike" u="none">
            <a:effectLst/>
            <a:uFillTx/>
            <a:latin typeface="Times New Roman"/>
          </a:endParaRPr>
        </a:p>
        <a:p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5</xdr:col>
      <xdr:colOff>322200</xdr:colOff>
      <xdr:row>51</xdr:row>
      <xdr:rowOff>75960</xdr:rowOff>
    </xdr:from>
    <xdr:to>
      <xdr:col>6</xdr:col>
      <xdr:colOff>584280</xdr:colOff>
      <xdr:row>56</xdr:row>
      <xdr:rowOff>76320</xdr:rowOff>
    </xdr:to>
    <xdr:sp>
      <xdr:nvSpPr>
        <xdr:cNvPr id="4" name="Text Box 8"/>
        <xdr:cNvSpPr/>
      </xdr:nvSpPr>
      <xdr:spPr>
        <a:xfrm>
          <a:off x="4979880" y="8886600"/>
          <a:ext cx="1530360" cy="81000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zho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Zálohy hotovostní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zbú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   Zálohy převodem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vra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Vratka zálohy</a:t>
          </a:r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80280</xdr:colOff>
      <xdr:row>119</xdr:row>
      <xdr:rowOff>38160</xdr:rowOff>
    </xdr:from>
    <xdr:to>
      <xdr:col>14</xdr:col>
      <xdr:colOff>824760</xdr:colOff>
      <xdr:row>136</xdr:row>
      <xdr:rowOff>57240</xdr:rowOff>
    </xdr:to>
    <xdr:sp>
      <xdr:nvSpPr>
        <xdr:cNvPr id="5" name="Text Box 13"/>
        <xdr:cNvSpPr/>
      </xdr:nvSpPr>
      <xdr:spPr>
        <a:xfrm>
          <a:off x="7252560" y="20031120"/>
          <a:ext cx="2433600" cy="2790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Vybavení vedené v operativní evidenci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mtv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pro tvorbu vybavení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Materál na akce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Potraviny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táb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na opravu a údržbu tábořišť a táb. staveb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oma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materiál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Cestovné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Poštovné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Telekomunikační náhrady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osobní na akcích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nák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nákladní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Nájemné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Půjčovné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Vstupné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Kopírování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osl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služby </a:t>
          </a:r>
          <a:endParaRPr b="0" lang="en-US" sz="800" strike="noStrike" u="none">
            <a:effectLst/>
            <a:uFillTx/>
            <a:latin typeface="Times New Roman"/>
          </a:endParaRPr>
        </a:p>
        <a:p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10</xdr:col>
      <xdr:colOff>110520</xdr:colOff>
      <xdr:row>181</xdr:row>
      <xdr:rowOff>66960</xdr:rowOff>
    </xdr:from>
    <xdr:to>
      <xdr:col>14</xdr:col>
      <xdr:colOff>824760</xdr:colOff>
      <xdr:row>198</xdr:row>
      <xdr:rowOff>105120</xdr:rowOff>
    </xdr:to>
    <xdr:sp>
      <xdr:nvSpPr>
        <xdr:cNvPr id="6" name="Text Box 14"/>
        <xdr:cNvSpPr/>
      </xdr:nvSpPr>
      <xdr:spPr>
        <a:xfrm>
          <a:off x="7282800" y="30099240"/>
          <a:ext cx="2403360" cy="280044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36360" rIns="0" tIns="27360" bIns="0" anchor="t">
          <a:no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Arial"/>
            </a:rPr>
            <a:t>LEGENDA KÓDŮ:</a:t>
          </a:r>
          <a:endParaRPr b="0" lang="en-US" sz="1200" strike="noStrike" u="none">
            <a:effectLst/>
            <a:uFillTx/>
            <a:latin typeface="Times New Roman"/>
          </a:endParaRPr>
        </a:p>
        <a:p>
          <a:endParaRPr b="0" lang="en-US" sz="3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Vybavení vedené v operativní evidenci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mtv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pro tvorbu vybavení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Materál na akce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Potraviny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táb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Materiál na opravu a údržbu tábořišť a táb. staveb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oma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materiál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Cestovné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Poštovné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Telekomunikační náhrady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osobní na akcích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nák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Doprava nákladní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Nájemné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Půjčovné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 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Vstupné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Kopírování </a:t>
          </a:r>
          <a:endParaRPr b="0" lang="en-US" sz="800" strike="noStrike" u="none">
            <a:effectLst/>
            <a:uFillTx/>
            <a:latin typeface="Times New Roman"/>
          </a:endParaRPr>
        </a:p>
        <a:p>
          <a:r>
            <a:rPr b="1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osl   </a:t>
          </a:r>
          <a:r>
            <a:rPr b="0" lang="en-US" sz="800" strike="noStrike" u="none">
              <a:solidFill>
                <a:srgbClr val="000000"/>
              </a:solidFill>
              <a:effectLst/>
              <a:uFillTx/>
              <a:latin typeface="Arial"/>
            </a:rPr>
            <a:t>Ostatní služby </a:t>
          </a:r>
          <a:endParaRPr b="0" lang="en-US" sz="800" strike="noStrike" u="none">
            <a:effectLst/>
            <a:uFillTx/>
            <a:latin typeface="Times New Roman"/>
          </a:endParaRPr>
        </a:p>
        <a:p>
          <a:endParaRPr b="0" lang="en-US" sz="8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242280</xdr:colOff>
          <xdr:row>7</xdr:row>
          <xdr:rowOff>28800</xdr:rowOff>
        </xdr:from>
        <xdr:to>
          <xdr:col>8</xdr:col>
          <xdr:colOff>594720</xdr:colOff>
          <xdr:row>8</xdr:row>
          <xdr:rowOff>152640</xdr:rowOff>
        </xdr:to>
        <xdr:sp>
          <xdr:nvSpPr>
            <xdr:cNvPr id="1001" name="Button 1" descr="Naplň for_dot_v2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Naplň for_dot_v2</a:t>
              </a:r>
            </a:p>
          </xdr:txBody>
        </xdr:sp>
        <xdr:clientData/>
      </xdr:twoCellAnchor>
    </mc:Choice>
  </mc:AlternateContent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80280</xdr:colOff>
      <xdr:row>0</xdr:row>
      <xdr:rowOff>0</xdr:rowOff>
    </xdr:from>
    <xdr:to>
      <xdr:col>3</xdr:col>
      <xdr:colOff>90360</xdr:colOff>
      <xdr:row>2</xdr:row>
      <xdr:rowOff>9360</xdr:rowOff>
    </xdr:to>
    <xdr:pic>
      <xdr:nvPicPr>
        <xdr:cNvPr id="7" name="Picture 2" descr="cerno_seda"/>
        <xdr:cNvPicPr/>
      </xdr:nvPicPr>
      <xdr:blipFill>
        <a:blip r:embed="rId1"/>
        <a:stretch/>
      </xdr:blipFill>
      <xdr:spPr>
        <a:xfrm>
          <a:off x="391320" y="0"/>
          <a:ext cx="562680" cy="581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11</xdr:col>
      <xdr:colOff>160560</xdr:colOff>
      <xdr:row>10</xdr:row>
      <xdr:rowOff>85680</xdr:rowOff>
    </xdr:from>
    <xdr:to>
      <xdr:col>15</xdr:col>
      <xdr:colOff>131040</xdr:colOff>
      <xdr:row>14</xdr:row>
      <xdr:rowOff>66240</xdr:rowOff>
    </xdr:to>
    <xdr:sp>
      <xdr:nvSpPr>
        <xdr:cNvPr id="8" name="Text Box 3"/>
        <xdr:cNvSpPr/>
      </xdr:nvSpPr>
      <xdr:spPr>
        <a:xfrm>
          <a:off x="3142440" y="1950840"/>
          <a:ext cx="984600" cy="628200"/>
        </a:xfrm>
        <a:prstGeom prst="rect">
          <a:avLst/>
        </a:prstGeom>
        <a:solidFill>
          <a:srgbClr val="ffffff"/>
        </a:solidFill>
        <a:ln w="1908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0" rIns="0" tIns="0" bIns="0" anchor="ctr">
          <a:noAutofit/>
        </a:bodyPr>
        <a:p>
          <a:pPr algn="ctr"/>
          <a:r>
            <a:rPr b="0" lang="en-US" sz="2400" strike="noStrike" u="none">
              <a:solidFill>
                <a:srgbClr val="000000"/>
              </a:solidFill>
              <a:effectLst/>
              <a:uFillTx/>
              <a:latin typeface="Arial"/>
            </a:rPr>
            <a:t>6</a:t>
          </a:r>
          <a:endParaRPr b="0" lang="en-US" sz="24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5" activeCellId="0" sqref="K35"/>
    </sheetView>
  </sheetViews>
  <sheetFormatPr defaultColWidth="9.0546875" defaultRowHeight="12.75" customHeight="true" zeroHeight="false" outlineLevelRow="0" outlineLevelCol="0"/>
  <sheetData/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true"/>
  </sheetPr>
  <dimension ref="A1:L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9.41"/>
    <col collapsed="false" customWidth="true" hidden="false" outlineLevel="0" max="2" min="2" style="0" width="7.42"/>
    <col collapsed="false" customWidth="true" hidden="false" outlineLevel="0" max="3" min="3" style="0" width="2.56"/>
    <col collapsed="false" customWidth="true" hidden="false" outlineLevel="0" max="4" min="4" style="0" width="13.14"/>
    <col collapsed="false" customWidth="true" hidden="false" outlineLevel="0" max="5" min="5" style="0" width="17.99"/>
    <col collapsed="false" customWidth="true" hidden="false" outlineLevel="0" max="6" min="6" style="0" width="3.85"/>
    <col collapsed="false" customWidth="true" hidden="false" outlineLevel="0" max="7" min="7" style="0" width="3.7"/>
    <col collapsed="false" customWidth="true" hidden="false" outlineLevel="0" max="8" min="8" style="0" width="12.28"/>
    <col collapsed="false" customWidth="true" hidden="false" outlineLevel="0" max="9" min="9" style="0" width="4.14"/>
    <col collapsed="false" customWidth="true" hidden="false" outlineLevel="0" max="10" min="10" style="0" width="1.85"/>
    <col collapsed="false" customWidth="true" hidden="false" outlineLevel="0" max="11" min="11" style="0" width="12.28"/>
    <col collapsed="false" customWidth="true" hidden="false" outlineLevel="0" max="12" min="12" style="0" width="15.85"/>
  </cols>
  <sheetData>
    <row r="1" customFormat="false" ht="37.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customFormat="false" ht="12.7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4.25" hidden="false" customHeight="true" outlineLevel="0" collapsed="false">
      <c r="A4" s="4" t="s">
        <v>2</v>
      </c>
      <c r="B4" s="5"/>
      <c r="C4" s="6"/>
      <c r="D4" s="7"/>
      <c r="E4" s="7"/>
      <c r="F4" s="8"/>
      <c r="G4" s="8"/>
      <c r="H4" s="6"/>
      <c r="I4" s="6"/>
      <c r="J4" s="9" t="s">
        <v>3</v>
      </c>
      <c r="K4" s="10"/>
      <c r="L4" s="6"/>
    </row>
    <row r="5" customFormat="false" ht="14.25" hidden="false" customHeight="true" outlineLevel="0" collapsed="false">
      <c r="A5" s="4" t="s">
        <v>4</v>
      </c>
      <c r="B5" s="5"/>
      <c r="C5" s="6"/>
      <c r="D5" s="7"/>
      <c r="E5" s="7"/>
      <c r="F5" s="8"/>
      <c r="G5" s="8"/>
      <c r="H5" s="6"/>
      <c r="I5" s="6"/>
      <c r="J5" s="9" t="s">
        <v>5</v>
      </c>
      <c r="K5" s="10"/>
      <c r="L5" s="6"/>
    </row>
    <row r="6" customFormat="false" ht="14.25" hidden="false" customHeight="true" outlineLevel="0" collapsed="false">
      <c r="A6" s="4" t="s">
        <v>6</v>
      </c>
      <c r="B6" s="6"/>
      <c r="C6" s="6"/>
      <c r="D6" s="7"/>
      <c r="E6" s="7"/>
      <c r="F6" s="8"/>
      <c r="G6" s="8"/>
      <c r="H6" s="6"/>
      <c r="I6" s="6"/>
      <c r="J6" s="9" t="s">
        <v>7</v>
      </c>
      <c r="K6" s="10"/>
      <c r="L6" s="6"/>
    </row>
    <row r="7" customFormat="false" ht="14.25" hidden="false" customHeight="true" outlineLevel="0" collapsed="false">
      <c r="A7" s="4" t="s">
        <v>8</v>
      </c>
      <c r="B7" s="6"/>
      <c r="C7" s="6"/>
      <c r="D7" s="7"/>
      <c r="E7" s="7"/>
      <c r="F7" s="8"/>
      <c r="G7" s="8"/>
      <c r="H7" s="6"/>
      <c r="I7" s="6"/>
      <c r="J7" s="6"/>
      <c r="K7" s="6"/>
      <c r="L7" s="6"/>
    </row>
    <row r="8" customFormat="false" ht="14.25" hidden="false" customHeight="true" outlineLevel="0" collapsed="false">
      <c r="A8" s="4" t="s">
        <v>9</v>
      </c>
      <c r="B8" s="6"/>
      <c r="C8" s="6"/>
      <c r="D8" s="10"/>
      <c r="E8" s="10"/>
      <c r="F8" s="8"/>
      <c r="G8" s="8"/>
      <c r="H8" s="6"/>
      <c r="I8" s="6"/>
      <c r="J8" s="9" t="s">
        <v>10</v>
      </c>
      <c r="K8" s="11" t="n">
        <f aca="false">'Seznam účastníků'!H67</f>
        <v>0</v>
      </c>
      <c r="L8" s="6"/>
    </row>
    <row r="9" customFormat="false" ht="14.25" hidden="false" customHeight="true" outlineLevel="0" collapsed="false">
      <c r="A9" s="4" t="s">
        <v>11</v>
      </c>
      <c r="B9" s="6"/>
      <c r="C9" s="6"/>
      <c r="D9" s="10"/>
      <c r="E9" s="10"/>
      <c r="F9" s="8"/>
      <c r="G9" s="8"/>
      <c r="H9" s="6"/>
      <c r="I9" s="6"/>
      <c r="J9" s="9" t="s">
        <v>12</v>
      </c>
      <c r="K9" s="11" t="n">
        <f aca="false">(D9+D8)*K6</f>
        <v>0</v>
      </c>
      <c r="L9" s="6"/>
    </row>
    <row r="10" customFormat="false" ht="14.25" hidden="false" customHeight="true" outlineLevel="0" collapsed="false">
      <c r="A10" s="4"/>
      <c r="B10" s="6"/>
      <c r="C10" s="6"/>
      <c r="D10" s="6"/>
      <c r="E10" s="6"/>
      <c r="F10" s="6"/>
      <c r="G10" s="6"/>
      <c r="H10" s="6"/>
      <c r="I10" s="6"/>
      <c r="J10" s="9"/>
      <c r="K10" s="6"/>
      <c r="L10" s="6"/>
    </row>
    <row r="11" customFormat="false" ht="14.25" hidden="false" customHeight="true" outlineLevel="0" collapsed="false">
      <c r="A11" s="5" t="s">
        <v>13</v>
      </c>
      <c r="B11" s="6"/>
      <c r="C11" s="6"/>
      <c r="D11" s="6"/>
      <c r="E11" s="6"/>
      <c r="F11" s="5" t="s">
        <v>14</v>
      </c>
      <c r="G11" s="6"/>
      <c r="H11" s="6"/>
      <c r="I11" s="6"/>
      <c r="J11" s="5" t="s">
        <v>15</v>
      </c>
      <c r="K11" s="6"/>
      <c r="L11" s="6"/>
    </row>
    <row r="12" customFormat="false" ht="12" hidden="false" customHeight="true" outlineLevel="0" collapsed="false">
      <c r="A12" s="12" t="s">
        <v>16</v>
      </c>
      <c r="B12" s="13" t="s">
        <v>17</v>
      </c>
      <c r="C12" s="14"/>
      <c r="D12" s="6"/>
      <c r="E12" s="6"/>
      <c r="F12" s="15"/>
      <c r="G12" s="15"/>
      <c r="H12" s="15"/>
      <c r="I12" s="6"/>
      <c r="J12" s="15"/>
      <c r="K12" s="15"/>
      <c r="L12" s="6"/>
    </row>
    <row r="13" customFormat="false" ht="12" hidden="false" customHeight="true" outlineLevel="0" collapsed="false">
      <c r="A13" s="12" t="s">
        <v>16</v>
      </c>
      <c r="B13" s="13" t="s">
        <v>18</v>
      </c>
      <c r="C13" s="14"/>
      <c r="D13" s="6"/>
      <c r="E13" s="6"/>
      <c r="F13" s="16"/>
      <c r="G13" s="16"/>
      <c r="H13" s="16"/>
      <c r="I13" s="6"/>
      <c r="J13" s="16"/>
      <c r="K13" s="16"/>
      <c r="L13" s="6"/>
    </row>
    <row r="14" customFormat="false" ht="12" hidden="false" customHeight="true" outlineLevel="0" collapsed="false">
      <c r="A14" s="12" t="s">
        <v>16</v>
      </c>
      <c r="B14" s="14" t="s">
        <v>19</v>
      </c>
      <c r="C14" s="14"/>
      <c r="D14" s="6"/>
      <c r="E14" s="6"/>
      <c r="F14" s="16"/>
      <c r="G14" s="16"/>
      <c r="H14" s="16"/>
      <c r="I14" s="6"/>
      <c r="J14" s="16"/>
      <c r="K14" s="16"/>
      <c r="L14" s="6"/>
    </row>
    <row r="15" customFormat="false" ht="12" hidden="false" customHeight="true" outlineLevel="0" collapsed="false">
      <c r="A15" s="12" t="s">
        <v>16</v>
      </c>
      <c r="B15" s="14" t="s">
        <v>20</v>
      </c>
      <c r="C15" s="14"/>
      <c r="D15" s="6"/>
      <c r="E15" s="6"/>
      <c r="F15" s="16"/>
      <c r="G15" s="16"/>
      <c r="H15" s="16"/>
      <c r="I15" s="6"/>
      <c r="J15" s="16"/>
      <c r="K15" s="16"/>
      <c r="L15" s="6"/>
    </row>
    <row r="16" customFormat="false" ht="12" hidden="false" customHeight="true" outlineLevel="0" collapsed="false">
      <c r="A16" s="12" t="s">
        <v>16</v>
      </c>
      <c r="B16" s="14" t="s">
        <v>21</v>
      </c>
      <c r="C16" s="14"/>
      <c r="D16" s="6"/>
      <c r="E16" s="6"/>
      <c r="F16" s="16"/>
      <c r="G16" s="16"/>
      <c r="H16" s="16"/>
      <c r="I16" s="6"/>
      <c r="J16" s="16"/>
      <c r="K16" s="16"/>
      <c r="L16" s="6"/>
    </row>
    <row r="17" customFormat="false" ht="12" hidden="false" customHeight="true" outlineLevel="0" collapsed="false">
      <c r="A17" s="12" t="s">
        <v>16</v>
      </c>
      <c r="B17" s="14" t="s">
        <v>22</v>
      </c>
      <c r="C17" s="14"/>
      <c r="D17" s="6"/>
      <c r="E17" s="6"/>
      <c r="F17" s="16"/>
      <c r="G17" s="16"/>
      <c r="H17" s="16"/>
      <c r="I17" s="6"/>
      <c r="J17" s="16"/>
      <c r="K17" s="16"/>
      <c r="L17" s="6"/>
    </row>
    <row r="18" customFormat="false" ht="14.2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14.25" hidden="false" customHeight="true" outlineLevel="0" collapsed="false">
      <c r="A19" s="5" t="s">
        <v>23</v>
      </c>
      <c r="B19" s="6"/>
      <c r="C19" s="6"/>
      <c r="D19" s="6"/>
      <c r="E19" s="6"/>
      <c r="F19" s="6"/>
      <c r="G19" s="6"/>
      <c r="H19" s="17"/>
      <c r="I19" s="6"/>
      <c r="J19" s="6"/>
      <c r="K19" s="17"/>
      <c r="L19" s="18"/>
    </row>
    <row r="20" customFormat="false" ht="18" hidden="false" customHeight="true" outlineLevel="0" collapsed="false">
      <c r="A20" s="19" t="s">
        <v>24</v>
      </c>
      <c r="B20" s="20" t="s">
        <v>25</v>
      </c>
      <c r="C20" s="21" t="s">
        <v>26</v>
      </c>
      <c r="D20" s="21"/>
      <c r="E20" s="21"/>
      <c r="F20" s="22" t="s">
        <v>27</v>
      </c>
      <c r="G20" s="22"/>
      <c r="H20" s="20" t="s">
        <v>28</v>
      </c>
      <c r="I20" s="23" t="s">
        <v>27</v>
      </c>
      <c r="J20" s="23"/>
      <c r="K20" s="20" t="s">
        <v>29</v>
      </c>
      <c r="L20" s="24" t="s">
        <v>30</v>
      </c>
    </row>
    <row r="21" customFormat="false" ht="14.25" hidden="false" customHeight="true" outlineLevel="0" collapsed="false">
      <c r="A21" s="25" t="s">
        <v>31</v>
      </c>
      <c r="B21" s="26" t="s">
        <v>32</v>
      </c>
      <c r="C21" s="27" t="s">
        <v>33</v>
      </c>
      <c r="D21" s="28"/>
      <c r="E21" s="29"/>
      <c r="F21" s="30" t="s">
        <v>34</v>
      </c>
      <c r="G21" s="31" t="n">
        <f aca="false">$K$4</f>
        <v>0</v>
      </c>
      <c r="H21" s="32" t="n">
        <f aca="false">'Příjmy a výdaje'!AA445</f>
        <v>0</v>
      </c>
      <c r="I21" s="30" t="s">
        <v>35</v>
      </c>
      <c r="J21" s="33" t="n">
        <v>1</v>
      </c>
      <c r="K21" s="32" t="n">
        <f aca="false">'Příjmy a výdaje'!AA27</f>
        <v>0</v>
      </c>
      <c r="L21" s="34" t="n">
        <f aca="false">H21+K21</f>
        <v>0</v>
      </c>
    </row>
    <row r="22" customFormat="false" ht="14.25" hidden="false" customHeight="true" outlineLevel="0" collapsed="false">
      <c r="A22" s="35" t="s">
        <v>36</v>
      </c>
      <c r="B22" s="36" t="s">
        <v>37</v>
      </c>
      <c r="C22" s="37" t="s">
        <v>38</v>
      </c>
      <c r="D22" s="38"/>
      <c r="E22" s="39"/>
      <c r="F22" s="40" t="s">
        <v>34</v>
      </c>
      <c r="G22" s="41" t="n">
        <f aca="false">$K$4</f>
        <v>0</v>
      </c>
      <c r="H22" s="42" t="n">
        <f aca="false">'Příjmy a výdaje'!S445</f>
        <v>0</v>
      </c>
      <c r="I22" s="40" t="s">
        <v>35</v>
      </c>
      <c r="J22" s="43" t="n">
        <v>1</v>
      </c>
      <c r="K22" s="32" t="n">
        <f aca="false">'Příjmy a výdaje'!S27</f>
        <v>0</v>
      </c>
      <c r="L22" s="44" t="n">
        <f aca="false">H22+K22</f>
        <v>0</v>
      </c>
    </row>
    <row r="23" customFormat="false" ht="14.25" hidden="false" customHeight="true" outlineLevel="0" collapsed="false">
      <c r="A23" s="35" t="s">
        <v>39</v>
      </c>
      <c r="B23" s="36" t="s">
        <v>40</v>
      </c>
      <c r="C23" s="37" t="s">
        <v>41</v>
      </c>
      <c r="D23" s="38"/>
      <c r="E23" s="39"/>
      <c r="F23" s="40" t="s">
        <v>34</v>
      </c>
      <c r="G23" s="41" t="n">
        <f aca="false">$K$4</f>
        <v>0</v>
      </c>
      <c r="H23" s="42" t="n">
        <f aca="false">'Příjmy a výdaje'!Y445</f>
        <v>0</v>
      </c>
      <c r="I23" s="40" t="s">
        <v>35</v>
      </c>
      <c r="J23" s="43" t="n">
        <v>1</v>
      </c>
      <c r="K23" s="32" t="n">
        <f aca="false">'Příjmy a výdaje'!Y27</f>
        <v>0</v>
      </c>
      <c r="L23" s="44" t="n">
        <f aca="false">H23+K23</f>
        <v>0</v>
      </c>
    </row>
    <row r="24" customFormat="false" ht="14.25" hidden="false" customHeight="true" outlineLevel="0" collapsed="false">
      <c r="A24" s="35" t="s">
        <v>42</v>
      </c>
      <c r="B24" s="36" t="s">
        <v>43</v>
      </c>
      <c r="C24" s="37" t="s">
        <v>44</v>
      </c>
      <c r="D24" s="38"/>
      <c r="E24" s="39"/>
      <c r="F24" s="40" t="s">
        <v>34</v>
      </c>
      <c r="G24" s="41" t="n">
        <f aca="false">$K$4</f>
        <v>0</v>
      </c>
      <c r="H24" s="42" t="n">
        <f aca="false">'Příjmy a výdaje'!Z445</f>
        <v>0</v>
      </c>
      <c r="I24" s="40" t="s">
        <v>35</v>
      </c>
      <c r="J24" s="43" t="n">
        <v>1</v>
      </c>
      <c r="K24" s="32" t="n">
        <f aca="false">'Příjmy a výdaje'!Z27</f>
        <v>0</v>
      </c>
      <c r="L24" s="44" t="n">
        <f aca="false">H24+K24</f>
        <v>0</v>
      </c>
    </row>
    <row r="25" customFormat="false" ht="14.25" hidden="false" customHeight="true" outlineLevel="0" collapsed="false">
      <c r="A25" s="35" t="s">
        <v>45</v>
      </c>
      <c r="B25" s="36" t="n">
        <v>512</v>
      </c>
      <c r="C25" s="37" t="s">
        <v>46</v>
      </c>
      <c r="D25" s="38"/>
      <c r="E25" s="39"/>
      <c r="F25" s="40" t="s">
        <v>34</v>
      </c>
      <c r="G25" s="41" t="n">
        <f aca="false">$K$4</f>
        <v>0</v>
      </c>
      <c r="H25" s="42" t="n">
        <f aca="false">'Příjmy a výdaje'!V445</f>
        <v>0</v>
      </c>
      <c r="I25" s="40" t="s">
        <v>35</v>
      </c>
      <c r="J25" s="43" t="n">
        <v>1</v>
      </c>
      <c r="K25" s="32" t="n">
        <f aca="false">'Příjmy a výdaje'!V27</f>
        <v>0</v>
      </c>
      <c r="L25" s="44" t="n">
        <f aca="false">H25+K25</f>
        <v>0</v>
      </c>
    </row>
    <row r="26" customFormat="false" ht="14.25" hidden="false" customHeight="true" outlineLevel="0" collapsed="false">
      <c r="A26" s="35" t="s">
        <v>47</v>
      </c>
      <c r="B26" s="36" t="s">
        <v>32</v>
      </c>
      <c r="C26" s="37" t="s">
        <v>48</v>
      </c>
      <c r="D26" s="38"/>
      <c r="E26" s="39"/>
      <c r="F26" s="40" t="s">
        <v>34</v>
      </c>
      <c r="G26" s="41" t="n">
        <f aca="false">$K$4</f>
        <v>0</v>
      </c>
      <c r="H26" s="42" t="n">
        <f aca="false">'Příjmy a výdaje'!AC445</f>
        <v>0</v>
      </c>
      <c r="I26" s="40" t="s">
        <v>35</v>
      </c>
      <c r="J26" s="43" t="n">
        <v>1</v>
      </c>
      <c r="K26" s="32" t="n">
        <f aca="false">'Příjmy a výdaje'!AC27</f>
        <v>0</v>
      </c>
      <c r="L26" s="44" t="n">
        <f aca="false">H26+K26</f>
        <v>0</v>
      </c>
    </row>
    <row r="27" customFormat="false" ht="14.25" hidden="false" customHeight="true" outlineLevel="0" collapsed="false">
      <c r="A27" s="35" t="s">
        <v>49</v>
      </c>
      <c r="B27" s="36" t="s">
        <v>50</v>
      </c>
      <c r="C27" s="37" t="s">
        <v>51</v>
      </c>
      <c r="D27" s="38"/>
      <c r="E27" s="39"/>
      <c r="F27" s="40" t="s">
        <v>34</v>
      </c>
      <c r="G27" s="41" t="n">
        <f aca="false">$K$4</f>
        <v>0</v>
      </c>
      <c r="H27" s="42" t="n">
        <f aca="false">'Příjmy a výdaje'!R445</f>
        <v>0</v>
      </c>
      <c r="I27" s="40" t="s">
        <v>35</v>
      </c>
      <c r="J27" s="43" t="n">
        <v>1</v>
      </c>
      <c r="K27" s="32" t="n">
        <f aca="false">'Příjmy a výdaje'!R27</f>
        <v>0</v>
      </c>
      <c r="L27" s="44" t="n">
        <f aca="false">H27+K27</f>
        <v>0</v>
      </c>
    </row>
    <row r="28" customFormat="false" ht="14.25" hidden="false" customHeight="true" outlineLevel="0" collapsed="false">
      <c r="A28" s="35" t="s">
        <v>52</v>
      </c>
      <c r="B28" s="36" t="s">
        <v>53</v>
      </c>
      <c r="C28" s="37" t="s">
        <v>54</v>
      </c>
      <c r="D28" s="38"/>
      <c r="E28" s="39"/>
      <c r="F28" s="40" t="s">
        <v>34</v>
      </c>
      <c r="G28" s="41" t="n">
        <f aca="false">$K$4</f>
        <v>0</v>
      </c>
      <c r="H28" s="42" t="n">
        <f aca="false">'Příjmy a výdaje'!P445</f>
        <v>0</v>
      </c>
      <c r="I28" s="40" t="s">
        <v>35</v>
      </c>
      <c r="J28" s="43" t="n">
        <v>1</v>
      </c>
      <c r="K28" s="32" t="n">
        <f aca="false">'Příjmy a výdaje'!P27</f>
        <v>0</v>
      </c>
      <c r="L28" s="44" t="n">
        <f aca="false">H28+K28</f>
        <v>0</v>
      </c>
    </row>
    <row r="29" customFormat="false" ht="14.25" hidden="false" customHeight="true" outlineLevel="0" collapsed="false">
      <c r="A29" s="35" t="s">
        <v>55</v>
      </c>
      <c r="B29" s="36" t="s">
        <v>56</v>
      </c>
      <c r="C29" s="37" t="s">
        <v>57</v>
      </c>
      <c r="D29" s="38"/>
      <c r="E29" s="39"/>
      <c r="F29" s="40" t="s">
        <v>34</v>
      </c>
      <c r="G29" s="41" t="n">
        <f aca="false">$K$4</f>
        <v>0</v>
      </c>
      <c r="H29" s="42" t="n">
        <f aca="false">'Příjmy a výdaje'!Q445</f>
        <v>0</v>
      </c>
      <c r="I29" s="40" t="s">
        <v>35</v>
      </c>
      <c r="J29" s="43" t="n">
        <v>1</v>
      </c>
      <c r="K29" s="32" t="n">
        <f aca="false">'Příjmy a výdaje'!Q27</f>
        <v>0</v>
      </c>
      <c r="L29" s="44" t="n">
        <f aca="false">H29+K29</f>
        <v>0</v>
      </c>
    </row>
    <row r="30" customFormat="false" ht="14.25" hidden="false" customHeight="true" outlineLevel="0" collapsed="false">
      <c r="A30" s="35" t="s">
        <v>58</v>
      </c>
      <c r="B30" s="36" t="s">
        <v>59</v>
      </c>
      <c r="C30" s="37" t="s">
        <v>60</v>
      </c>
      <c r="D30" s="38"/>
      <c r="E30" s="39"/>
      <c r="F30" s="40" t="s">
        <v>34</v>
      </c>
      <c r="G30" s="41" t="n">
        <f aca="false">$K$4</f>
        <v>0</v>
      </c>
      <c r="H30" s="42" t="n">
        <f aca="false">'Příjmy a výdaje'!T445</f>
        <v>0</v>
      </c>
      <c r="I30" s="40" t="s">
        <v>35</v>
      </c>
      <c r="J30" s="43" t="n">
        <v>1</v>
      </c>
      <c r="K30" s="32" t="n">
        <f aca="false">'Příjmy a výdaje'!T27</f>
        <v>0</v>
      </c>
      <c r="L30" s="44" t="n">
        <f aca="false">H30+K30</f>
        <v>0</v>
      </c>
    </row>
    <row r="31" customFormat="false" ht="14.25" hidden="false" customHeight="true" outlineLevel="0" collapsed="false">
      <c r="A31" s="35" t="s">
        <v>61</v>
      </c>
      <c r="B31" s="36" t="s">
        <v>62</v>
      </c>
      <c r="C31" s="37" t="s">
        <v>63</v>
      </c>
      <c r="D31" s="38"/>
      <c r="E31" s="39"/>
      <c r="F31" s="40" t="s">
        <v>34</v>
      </c>
      <c r="G31" s="41" t="n">
        <f aca="false">$K$4</f>
        <v>0</v>
      </c>
      <c r="H31" s="42" t="n">
        <f aca="false">'Příjmy a výdaje'!U445</f>
        <v>0</v>
      </c>
      <c r="I31" s="40" t="s">
        <v>35</v>
      </c>
      <c r="J31" s="43" t="n">
        <v>1</v>
      </c>
      <c r="K31" s="32" t="n">
        <f aca="false">'Příjmy a výdaje'!U27</f>
        <v>0</v>
      </c>
      <c r="L31" s="44" t="n">
        <f aca="false">H31+K31</f>
        <v>0</v>
      </c>
    </row>
    <row r="32" customFormat="false" ht="14.25" hidden="false" customHeight="true" outlineLevel="0" collapsed="false">
      <c r="A32" s="35" t="s">
        <v>64</v>
      </c>
      <c r="B32" s="36" t="s">
        <v>65</v>
      </c>
      <c r="C32" s="37" t="s">
        <v>66</v>
      </c>
      <c r="D32" s="38"/>
      <c r="E32" s="39"/>
      <c r="F32" s="40" t="s">
        <v>34</v>
      </c>
      <c r="G32" s="41" t="n">
        <f aca="false">$K$4</f>
        <v>0</v>
      </c>
      <c r="H32" s="42" t="n">
        <f aca="false">'Příjmy a výdaje'!W445</f>
        <v>0</v>
      </c>
      <c r="I32" s="40" t="s">
        <v>35</v>
      </c>
      <c r="J32" s="43" t="n">
        <v>1</v>
      </c>
      <c r="K32" s="32" t="n">
        <f aca="false">'Příjmy a výdaje'!W27</f>
        <v>0</v>
      </c>
      <c r="L32" s="44" t="n">
        <f aca="false">H32+K32</f>
        <v>0</v>
      </c>
    </row>
    <row r="33" customFormat="false" ht="14.25" hidden="false" customHeight="true" outlineLevel="0" collapsed="false">
      <c r="A33" s="35" t="s">
        <v>67</v>
      </c>
      <c r="B33" s="36" t="s">
        <v>68</v>
      </c>
      <c r="C33" s="37" t="s">
        <v>69</v>
      </c>
      <c r="D33" s="38"/>
      <c r="E33" s="39"/>
      <c r="F33" s="40" t="s">
        <v>34</v>
      </c>
      <c r="G33" s="41" t="n">
        <f aca="false">$K$4</f>
        <v>0</v>
      </c>
      <c r="H33" s="42" t="n">
        <f aca="false">'Příjmy a výdaje'!AD445</f>
        <v>0</v>
      </c>
      <c r="I33" s="40" t="s">
        <v>35</v>
      </c>
      <c r="J33" s="43" t="n">
        <v>1</v>
      </c>
      <c r="K33" s="32" t="n">
        <f aca="false">'Příjmy a výdaje'!AD27</f>
        <v>0</v>
      </c>
      <c r="L33" s="44" t="n">
        <f aca="false">H33+K33</f>
        <v>0</v>
      </c>
    </row>
    <row r="34" customFormat="false" ht="14.25" hidden="false" customHeight="true" outlineLevel="0" collapsed="false">
      <c r="A34" s="35" t="s">
        <v>70</v>
      </c>
      <c r="B34" s="36" t="s">
        <v>71</v>
      </c>
      <c r="C34" s="37" t="s">
        <v>72</v>
      </c>
      <c r="D34" s="38"/>
      <c r="E34" s="39"/>
      <c r="F34" s="40" t="s">
        <v>34</v>
      </c>
      <c r="G34" s="41" t="n">
        <f aca="false">$K$4</f>
        <v>0</v>
      </c>
      <c r="H34" s="42" t="n">
        <f aca="false">'Příjmy a výdaje'!X445</f>
        <v>0</v>
      </c>
      <c r="I34" s="40" t="s">
        <v>35</v>
      </c>
      <c r="J34" s="43" t="n">
        <v>1</v>
      </c>
      <c r="K34" s="32" t="n">
        <f aca="false">'Příjmy a výdaje'!X27</f>
        <v>0</v>
      </c>
      <c r="L34" s="44" t="n">
        <f aca="false">H34+K34</f>
        <v>0</v>
      </c>
    </row>
    <row r="35" customFormat="false" ht="14.25" hidden="false" customHeight="true" outlineLevel="0" collapsed="false">
      <c r="A35" s="35" t="s">
        <v>73</v>
      </c>
      <c r="B35" s="36" t="s">
        <v>74</v>
      </c>
      <c r="C35" s="37" t="s">
        <v>75</v>
      </c>
      <c r="D35" s="38"/>
      <c r="E35" s="39"/>
      <c r="F35" s="40" t="s">
        <v>34</v>
      </c>
      <c r="G35" s="41" t="n">
        <f aca="false">$K$4</f>
        <v>0</v>
      </c>
      <c r="H35" s="42" t="n">
        <f aca="false">'Příjmy a výdaje'!AB445</f>
        <v>0</v>
      </c>
      <c r="I35" s="40" t="s">
        <v>35</v>
      </c>
      <c r="J35" s="43" t="n">
        <v>1</v>
      </c>
      <c r="K35" s="45" t="n">
        <f aca="false">'Příjmy a výdaje'!AB27</f>
        <v>0</v>
      </c>
      <c r="L35" s="44" t="n">
        <f aca="false">H35+K35</f>
        <v>0</v>
      </c>
    </row>
    <row r="36" customFormat="false" ht="14.25" hidden="false" customHeight="true" outlineLevel="0" collapsed="false">
      <c r="A36" s="46" t="s">
        <v>76</v>
      </c>
      <c r="B36" s="47" t="s">
        <v>77</v>
      </c>
      <c r="C36" s="48" t="s">
        <v>78</v>
      </c>
      <c r="D36" s="49"/>
      <c r="E36" s="50"/>
      <c r="F36" s="51" t="s">
        <v>34</v>
      </c>
      <c r="G36" s="52" t="n">
        <f aca="false">$K$4</f>
        <v>0</v>
      </c>
      <c r="H36" s="53" t="n">
        <f aca="false">'Příjmy a výdaje'!AE445</f>
        <v>0</v>
      </c>
      <c r="I36" s="51" t="s">
        <v>35</v>
      </c>
      <c r="J36" s="54" t="n">
        <v>1</v>
      </c>
      <c r="K36" s="32" t="n">
        <f aca="false">'Příjmy a výdaje'!AE27</f>
        <v>0</v>
      </c>
      <c r="L36" s="55" t="n">
        <f aca="false">H36+K36</f>
        <v>0</v>
      </c>
    </row>
    <row r="37" customFormat="false" ht="24.95" hidden="false" customHeight="true" outlineLevel="0" collapsed="false">
      <c r="A37" s="56"/>
      <c r="B37" s="57"/>
      <c r="C37" s="58" t="s">
        <v>79</v>
      </c>
      <c r="D37" s="58"/>
      <c r="E37" s="58"/>
      <c r="F37" s="59" t="s">
        <v>34</v>
      </c>
      <c r="G37" s="60" t="n">
        <f aca="false">$K$4</f>
        <v>0</v>
      </c>
      <c r="H37" s="61" t="n">
        <f aca="false">SUM(H21:H36)</f>
        <v>0</v>
      </c>
      <c r="I37" s="62" t="s">
        <v>35</v>
      </c>
      <c r="J37" s="63" t="n">
        <v>1</v>
      </c>
      <c r="K37" s="64" t="n">
        <f aca="false">SUM(K21:K36)</f>
        <v>0</v>
      </c>
      <c r="L37" s="65" t="n">
        <f aca="false">SUM(L21:L36)</f>
        <v>0</v>
      </c>
    </row>
    <row r="38" customFormat="false" ht="12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8"/>
    </row>
    <row r="39" customFormat="false" ht="14.25" hidden="false" customHeight="true" outlineLevel="0" collapsed="false">
      <c r="A39" s="5" t="s">
        <v>80</v>
      </c>
      <c r="B39" s="6"/>
      <c r="C39" s="6"/>
      <c r="D39" s="6"/>
      <c r="E39" s="6"/>
      <c r="F39" s="6"/>
      <c r="G39" s="6"/>
      <c r="H39" s="17"/>
      <c r="I39" s="17"/>
      <c r="J39" s="17"/>
      <c r="K39" s="17"/>
      <c r="L39" s="18"/>
    </row>
    <row r="40" customFormat="false" ht="18" hidden="false" customHeight="true" outlineLevel="0" collapsed="false">
      <c r="A40" s="19" t="s">
        <v>24</v>
      </c>
      <c r="B40" s="20" t="s">
        <v>27</v>
      </c>
      <c r="C40" s="21" t="s">
        <v>26</v>
      </c>
      <c r="D40" s="21"/>
      <c r="E40" s="21"/>
      <c r="F40" s="22" t="s">
        <v>25</v>
      </c>
      <c r="G40" s="22"/>
      <c r="H40" s="20" t="s">
        <v>28</v>
      </c>
      <c r="I40" s="23" t="s">
        <v>25</v>
      </c>
      <c r="J40" s="23"/>
      <c r="K40" s="20" t="s">
        <v>29</v>
      </c>
      <c r="L40" s="24" t="s">
        <v>81</v>
      </c>
    </row>
    <row r="41" customFormat="false" ht="14.25" hidden="false" customHeight="true" outlineLevel="0" collapsed="false">
      <c r="A41" s="35" t="s">
        <v>82</v>
      </c>
      <c r="B41" s="36" t="s">
        <v>83</v>
      </c>
      <c r="C41" s="66" t="s">
        <v>84</v>
      </c>
      <c r="D41" s="67"/>
      <c r="E41" s="68"/>
      <c r="F41" s="69" t="s">
        <v>34</v>
      </c>
      <c r="G41" s="70" t="n">
        <f aca="false">$K$4</f>
        <v>0</v>
      </c>
      <c r="H41" s="42" t="n">
        <f aca="false">'Příjmy a výdaje'!AI445</f>
        <v>0</v>
      </c>
      <c r="I41" s="71" t="s">
        <v>35</v>
      </c>
      <c r="J41" s="72" t="n">
        <v>1</v>
      </c>
      <c r="K41" s="42" t="n">
        <f aca="false">'Příjmy a výdaje'!AI27</f>
        <v>0</v>
      </c>
      <c r="L41" s="44" t="n">
        <f aca="false">H41+K41</f>
        <v>0</v>
      </c>
    </row>
    <row r="42" customFormat="false" ht="14.25" hidden="false" customHeight="true" outlineLevel="0" collapsed="false">
      <c r="A42" s="35" t="s">
        <v>85</v>
      </c>
      <c r="B42" s="36" t="s">
        <v>86</v>
      </c>
      <c r="C42" s="66" t="s">
        <v>87</v>
      </c>
      <c r="D42" s="67"/>
      <c r="E42" s="68"/>
      <c r="F42" s="69" t="s">
        <v>34</v>
      </c>
      <c r="G42" s="70" t="n">
        <f aca="false">$K$4</f>
        <v>0</v>
      </c>
      <c r="H42" s="42" t="n">
        <f aca="false">'Příjmy a výdaje'!AJ445</f>
        <v>0</v>
      </c>
      <c r="I42" s="71" t="s">
        <v>35</v>
      </c>
      <c r="J42" s="72" t="n">
        <v>1</v>
      </c>
      <c r="K42" s="42" t="n">
        <f aca="false">'Příjmy a výdaje'!AJ27</f>
        <v>0</v>
      </c>
      <c r="L42" s="44" t="n">
        <f aca="false">H42+K42</f>
        <v>0</v>
      </c>
    </row>
    <row r="43" customFormat="false" ht="14.25" hidden="false" customHeight="true" outlineLevel="0" collapsed="false">
      <c r="A43" s="35" t="s">
        <v>88</v>
      </c>
      <c r="B43" s="73"/>
      <c r="C43" s="37" t="s">
        <v>89</v>
      </c>
      <c r="D43" s="38"/>
      <c r="E43" s="74"/>
      <c r="F43" s="75" t="s">
        <v>34</v>
      </c>
      <c r="G43" s="76" t="n">
        <f aca="false">$K$4</f>
        <v>0</v>
      </c>
      <c r="H43" s="53" t="n">
        <f aca="false">'Příjmy a výdaje'!AK445</f>
        <v>0</v>
      </c>
      <c r="I43" s="71" t="s">
        <v>35</v>
      </c>
      <c r="J43" s="72" t="n">
        <v>1</v>
      </c>
      <c r="K43" s="42" t="n">
        <f aca="false">'Příjmy a výdaje'!AK27</f>
        <v>0</v>
      </c>
      <c r="L43" s="55" t="n">
        <f aca="false">H43+K43</f>
        <v>0</v>
      </c>
    </row>
    <row r="44" customFormat="false" ht="22.5" hidden="false" customHeight="true" outlineLevel="0" collapsed="false">
      <c r="A44" s="56"/>
      <c r="B44" s="57"/>
      <c r="C44" s="58" t="s">
        <v>90</v>
      </c>
      <c r="D44" s="58"/>
      <c r="E44" s="58"/>
      <c r="F44" s="77" t="s">
        <v>34</v>
      </c>
      <c r="G44" s="78" t="n">
        <f aca="false">$K$4</f>
        <v>0</v>
      </c>
      <c r="H44" s="61" t="n">
        <f aca="false">SUM(H41:H43)</f>
        <v>0</v>
      </c>
      <c r="I44" s="79" t="s">
        <v>35</v>
      </c>
      <c r="J44" s="80" t="n">
        <v>1</v>
      </c>
      <c r="K44" s="64" t="n">
        <f aca="false">SUM(K41:K43)</f>
        <v>0</v>
      </c>
      <c r="L44" s="81" t="n">
        <f aca="false">SUM(L41:L43)</f>
        <v>0</v>
      </c>
    </row>
    <row r="45" customFormat="false" ht="12.75" hidden="false" customHeight="true" outlineLevel="0" collapsed="false">
      <c r="A45" s="82"/>
      <c r="B45" s="82"/>
      <c r="C45" s="83"/>
      <c r="D45" s="83"/>
      <c r="E45" s="83"/>
      <c r="F45" s="84"/>
      <c r="G45" s="85"/>
      <c r="H45" s="86"/>
      <c r="I45" s="84"/>
      <c r="J45" s="85"/>
      <c r="K45" s="87"/>
      <c r="L45" s="88"/>
    </row>
    <row r="46" customFormat="false" ht="14.25" hidden="false" customHeight="true" outlineLevel="0" collapsed="false">
      <c r="A46" s="5" t="s">
        <v>91</v>
      </c>
      <c r="B46" s="6"/>
      <c r="C46" s="6"/>
      <c r="D46" s="6"/>
      <c r="E46" s="6"/>
      <c r="F46" s="6"/>
      <c r="G46" s="6"/>
      <c r="H46" s="17"/>
      <c r="I46" s="17"/>
      <c r="J46" s="17"/>
      <c r="K46" s="17"/>
      <c r="L46" s="18"/>
    </row>
    <row r="47" customFormat="false" ht="18" hidden="false" customHeight="true" outlineLevel="0" collapsed="false">
      <c r="A47" s="19" t="s">
        <v>24</v>
      </c>
      <c r="B47" s="20" t="s">
        <v>25</v>
      </c>
      <c r="C47" s="21" t="s">
        <v>26</v>
      </c>
      <c r="D47" s="21"/>
      <c r="E47" s="21"/>
      <c r="F47" s="22" t="s">
        <v>27</v>
      </c>
      <c r="G47" s="22"/>
      <c r="H47" s="20" t="s">
        <v>28</v>
      </c>
      <c r="I47" s="22" t="s">
        <v>27</v>
      </c>
      <c r="J47" s="22"/>
      <c r="K47" s="89" t="s">
        <v>29</v>
      </c>
      <c r="L47" s="24" t="s">
        <v>92</v>
      </c>
    </row>
    <row r="48" customFormat="false" ht="14.25" hidden="false" customHeight="true" outlineLevel="0" collapsed="false">
      <c r="A48" s="25" t="s">
        <v>93</v>
      </c>
      <c r="B48" s="90" t="str">
        <f aca="false">CONCATENATE("211.",$K$4)</f>
        <v>211.</v>
      </c>
      <c r="C48" s="91" t="s">
        <v>94</v>
      </c>
      <c r="D48" s="92"/>
      <c r="E48" s="93"/>
      <c r="F48" s="94" t="n">
        <v>261</v>
      </c>
      <c r="G48" s="94"/>
      <c r="H48" s="42" t="n">
        <f aca="false">'Příjmy a výdaje'!AG445</f>
        <v>0</v>
      </c>
      <c r="I48" s="95" t="n">
        <v>261</v>
      </c>
      <c r="J48" s="95"/>
      <c r="K48" s="42" t="n">
        <f aca="false">'Příjmy a výdaje'!AH445</f>
        <v>0</v>
      </c>
      <c r="L48" s="96" t="n">
        <f aca="false">H48+K48</f>
        <v>0</v>
      </c>
    </row>
    <row r="49" customFormat="false" ht="14.25" hidden="false" customHeight="true" outlineLevel="0" collapsed="false">
      <c r="A49" s="97" t="s">
        <v>95</v>
      </c>
      <c r="B49" s="98" t="n">
        <v>261</v>
      </c>
      <c r="C49" s="99" t="s">
        <v>96</v>
      </c>
      <c r="D49" s="99"/>
      <c r="E49" s="99"/>
      <c r="F49" s="100" t="str">
        <f aca="false">CONCATENATE("211.",$K$4)</f>
        <v>211.</v>
      </c>
      <c r="G49" s="100"/>
      <c r="H49" s="101"/>
      <c r="I49" s="102"/>
      <c r="J49" s="102"/>
      <c r="K49" s="101"/>
      <c r="L49" s="103" t="n">
        <f aca="false">'Příjmy a výdaje'!AF445</f>
        <v>0</v>
      </c>
    </row>
    <row r="50" customFormat="false" ht="22.5" hidden="false" customHeight="true" outlineLevel="0" collapsed="false">
      <c r="A50" s="56"/>
      <c r="B50" s="57"/>
      <c r="C50" s="104" t="s">
        <v>97</v>
      </c>
      <c r="D50" s="104"/>
      <c r="E50" s="104"/>
      <c r="F50" s="105"/>
      <c r="G50" s="106"/>
      <c r="H50" s="107"/>
      <c r="I50" s="62"/>
      <c r="J50" s="106"/>
      <c r="K50" s="108"/>
      <c r="L50" s="109" t="n">
        <f aca="false">L48-L49</f>
        <v>0</v>
      </c>
    </row>
    <row r="51" customFormat="false" ht="12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8"/>
    </row>
    <row r="52" customFormat="false" ht="14.25" hidden="false" customHeight="true" outlineLevel="0" collapsed="false">
      <c r="A52" s="5" t="s">
        <v>98</v>
      </c>
      <c r="B52" s="6"/>
      <c r="C52" s="110"/>
      <c r="D52" s="111"/>
      <c r="E52" s="6"/>
      <c r="F52" s="6"/>
      <c r="G52" s="6"/>
      <c r="H52" s="6"/>
      <c r="I52" s="6"/>
      <c r="J52" s="6"/>
      <c r="K52" s="6"/>
      <c r="L52" s="8"/>
    </row>
    <row r="53" customFormat="false" ht="14.25" hidden="false" customHeight="true" outlineLevel="0" collapsed="false">
      <c r="A53" s="112"/>
      <c r="B53" s="113"/>
      <c r="C53" s="114" t="s">
        <v>99</v>
      </c>
      <c r="D53" s="115"/>
      <c r="E53" s="116"/>
      <c r="F53" s="116"/>
      <c r="G53" s="117"/>
      <c r="H53" s="117"/>
      <c r="I53" s="117"/>
      <c r="J53" s="117"/>
      <c r="K53" s="118"/>
      <c r="L53" s="119" t="n">
        <f aca="false">H44+L50-H37</f>
        <v>0</v>
      </c>
    </row>
    <row r="54" customFormat="false" ht="14.25" hidden="false" customHeight="true" outlineLevel="0" collapsed="false">
      <c r="A54" s="120"/>
      <c r="B54" s="121"/>
      <c r="C54" s="122" t="s">
        <v>100</v>
      </c>
      <c r="D54" s="123"/>
      <c r="E54" s="124"/>
      <c r="F54" s="124"/>
      <c r="G54" s="125"/>
      <c r="H54" s="125"/>
      <c r="I54" s="125"/>
      <c r="J54" s="125"/>
      <c r="K54" s="126"/>
      <c r="L54" s="127" t="n">
        <f aca="false">L44-L37</f>
        <v>0</v>
      </c>
    </row>
    <row r="55" customFormat="false" ht="14.25" hidden="false" customHeight="true" outlineLevel="0" collapsed="false">
      <c r="A55" s="128"/>
      <c r="B55" s="129"/>
      <c r="C55" s="130" t="s">
        <v>101</v>
      </c>
      <c r="D55" s="131"/>
      <c r="E55" s="132"/>
      <c r="F55" s="132"/>
      <c r="G55" s="133"/>
      <c r="H55" s="133"/>
      <c r="I55" s="133"/>
      <c r="J55" s="133"/>
      <c r="K55" s="134"/>
      <c r="L55" s="127"/>
    </row>
    <row r="56" customFormat="false" ht="12.75" hidden="false" customHeight="false" outlineLevel="0" collapsed="false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</row>
    <row r="57" customFormat="false" ht="12" hidden="false" customHeight="false" outlineLevel="0" collapsed="false">
      <c r="A57" s="136" t="s">
        <v>102</v>
      </c>
      <c r="B57" s="137" t="s">
        <v>103</v>
      </c>
      <c r="C57" s="138"/>
      <c r="D57" s="139"/>
      <c r="E57" s="135"/>
      <c r="F57" s="140" t="s">
        <v>104</v>
      </c>
      <c r="G57" s="140"/>
      <c r="H57" s="137" t="s">
        <v>103</v>
      </c>
      <c r="I57" s="139"/>
      <c r="J57" s="139"/>
      <c r="K57" s="139"/>
      <c r="L57" s="135"/>
    </row>
    <row r="58" customFormat="false" ht="12.75" hidden="false" customHeight="false" outlineLevel="0" collapsed="false">
      <c r="A58" s="136"/>
      <c r="B58" s="137" t="s">
        <v>105</v>
      </c>
      <c r="C58" s="141"/>
      <c r="D58" s="142"/>
      <c r="F58" s="140"/>
      <c r="G58" s="140"/>
      <c r="H58" s="137" t="s">
        <v>105</v>
      </c>
      <c r="I58" s="142"/>
      <c r="J58" s="142"/>
      <c r="K58" s="142"/>
    </row>
    <row r="59" customFormat="false" ht="12.75" hidden="false" customHeight="false" outlineLevel="0" collapsed="false">
      <c r="A59" s="136"/>
      <c r="B59" s="143" t="s">
        <v>106</v>
      </c>
      <c r="F59" s="140"/>
      <c r="G59" s="140"/>
      <c r="H59" s="143" t="s">
        <v>106</v>
      </c>
      <c r="J59" s="144"/>
      <c r="K59" s="144"/>
    </row>
    <row r="60" customFormat="false" ht="6" hidden="false" customHeight="true" outlineLevel="0" collapsed="false"/>
    <row r="61" customFormat="false" ht="12.75" hidden="true" customHeight="true" outlineLevel="0" collapsed="false"/>
  </sheetData>
  <sheetProtection sheet="true" objects="true" scenarios="true"/>
  <protectedRanges>
    <protectedRange name="Podpisy" sqref="D57:D58 I57:K58"/>
    <protectedRange name="Hlavička1" sqref="D4:E9"/>
    <protectedRange name="Hlavička2" sqref="K4:K6"/>
  </protectedRanges>
  <mergeCells count="23">
    <mergeCell ref="A1:K1"/>
    <mergeCell ref="A2:K2"/>
    <mergeCell ref="C20:E20"/>
    <mergeCell ref="F20:G20"/>
    <mergeCell ref="I20:J20"/>
    <mergeCell ref="C37:E37"/>
    <mergeCell ref="C40:E40"/>
    <mergeCell ref="F40:G40"/>
    <mergeCell ref="I40:J40"/>
    <mergeCell ref="C44:E44"/>
    <mergeCell ref="C47:E47"/>
    <mergeCell ref="F47:G47"/>
    <mergeCell ref="I47:J47"/>
    <mergeCell ref="F48:G48"/>
    <mergeCell ref="I48:J48"/>
    <mergeCell ref="F49:G49"/>
    <mergeCell ref="I49:J49"/>
    <mergeCell ref="C50:E50"/>
    <mergeCell ref="L54:L55"/>
    <mergeCell ref="A57:A59"/>
    <mergeCell ref="F57:G59"/>
    <mergeCell ref="I57:K57"/>
    <mergeCell ref="I58:K58"/>
  </mergeCells>
  <conditionalFormatting sqref="G21:G37 K8:K9 G41:G45 G50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590277777777778" right="0.590277777777778" top="0.472222222222222" bottom="0.4722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BD446"/>
  <sheetViews>
    <sheetView showFormulas="false" showGridLines="true" showRowColHeaders="true" showZeros="true" rightToLeft="false" tabSelected="false" showOutlineSymbols="true" defaultGridColor="true" view="normal" topLeftCell="A59" colorId="64" zoomScale="100" zoomScaleNormal="100" zoomScalePageLayoutView="100" workbookViewId="0">
      <selection pane="topLeft" activeCell="C61" activeCellId="0" sqref="C6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145" width="3.42"/>
    <col collapsed="false" customWidth="true" hidden="false" outlineLevel="0" max="2" min="2" style="146" width="29.41"/>
    <col collapsed="false" customWidth="true" hidden="false" outlineLevel="0" max="3" min="3" style="147" width="11.28"/>
    <col collapsed="false" customWidth="true" hidden="false" outlineLevel="0" max="4" min="4" style="146" width="8.41"/>
    <col collapsed="false" customWidth="true" hidden="false" outlineLevel="0" max="5" min="5" style="146" width="13.56"/>
    <col collapsed="false" customWidth="true" hidden="false" outlineLevel="0" max="6" min="6" style="146" width="17.99"/>
    <col collapsed="false" customWidth="true" hidden="false" outlineLevel="0" max="7" min="7" style="147" width="10.28"/>
    <col collapsed="false" customWidth="true" hidden="true" outlineLevel="0" max="8" min="8" style="146" width="5.56"/>
    <col collapsed="false" customWidth="true" hidden="false" outlineLevel="0" max="9" min="9" style="148" width="1.41"/>
    <col collapsed="false" customWidth="true" hidden="false" outlineLevel="0" max="14" min="10" style="148" width="5.99"/>
    <col collapsed="false" customWidth="true" hidden="false" outlineLevel="0" max="15" min="15" style="0" width="11.7"/>
    <col collapsed="false" customWidth="true" hidden="true" outlineLevel="0" max="16" min="16" style="148" width="12.14"/>
    <col collapsed="false" customWidth="true" hidden="true" outlineLevel="0" max="18" min="17" style="148" width="9.14"/>
    <col collapsed="false" customWidth="true" hidden="true" outlineLevel="0" max="19" min="19" style="148" width="10.28"/>
    <col collapsed="false" customWidth="true" hidden="true" outlineLevel="0" max="26" min="20" style="148" width="9.14"/>
    <col collapsed="false" customWidth="true" hidden="true" outlineLevel="0" max="27" min="27" style="148" width="12.7"/>
    <col collapsed="false" customWidth="true" hidden="true" outlineLevel="0" max="37" min="28" style="148" width="9.14"/>
    <col collapsed="false" customWidth="true" hidden="true" outlineLevel="0" max="38" min="38" style="148" width="0.13"/>
    <col collapsed="false" customWidth="true" hidden="true" outlineLevel="0" max="39" min="39" style="148" width="9.14"/>
    <col collapsed="false" customWidth="true" hidden="true" outlineLevel="0" max="40" min="40" style="148" width="13.28"/>
    <col collapsed="false" customWidth="true" hidden="true" outlineLevel="0" max="41" min="41" style="149" width="26.42"/>
    <col collapsed="false" customWidth="true" hidden="true" outlineLevel="0" max="42" min="42" style="150" width="7.7"/>
    <col collapsed="false" customWidth="true" hidden="true" outlineLevel="0" max="43" min="43" style="150" width="6.85"/>
    <col collapsed="false" customWidth="true" hidden="false" outlineLevel="0" max="56" min="44" style="148" width="9.14"/>
  </cols>
  <sheetData>
    <row r="1" customFormat="false" ht="37.5" hidden="false" customHeight="false" outlineLevel="0" collapsed="false">
      <c r="B1" s="1" t="s">
        <v>107</v>
      </c>
      <c r="C1" s="1"/>
      <c r="D1" s="1"/>
      <c r="E1" s="1"/>
      <c r="F1" s="1"/>
      <c r="G1" s="1"/>
      <c r="H1" s="1"/>
      <c r="I1" s="151"/>
      <c r="J1" s="151"/>
      <c r="K1" s="151"/>
      <c r="L1" s="151"/>
      <c r="M1" s="151"/>
      <c r="N1" s="151"/>
    </row>
    <row r="2" customFormat="false" ht="12.75" hidden="false" customHeight="true" outlineLevel="0" collapsed="false">
      <c r="B2" s="152" t="s">
        <v>2</v>
      </c>
      <c r="C2" s="153" t="n">
        <f aca="false">'Přehled akce'!D4</f>
        <v>0</v>
      </c>
      <c r="D2" s="151"/>
      <c r="E2" s="154"/>
      <c r="F2" s="152"/>
      <c r="G2" s="154"/>
      <c r="I2" s="154"/>
    </row>
    <row r="3" customFormat="false" ht="8.25" hidden="false" customHeight="true" outlineLevel="0" collapsed="false">
      <c r="B3" s="151"/>
      <c r="C3" s="155"/>
      <c r="D3" s="151"/>
      <c r="E3" s="151"/>
      <c r="F3" s="151"/>
      <c r="G3" s="151"/>
      <c r="H3" s="151"/>
      <c r="I3" s="151"/>
      <c r="J3" s="151"/>
      <c r="K3" s="151"/>
      <c r="L3" s="151"/>
      <c r="M3" s="151"/>
      <c r="N3" s="151"/>
    </row>
    <row r="4" customFormat="false" ht="22.5" hidden="false" customHeight="true" outlineLevel="0" collapsed="false">
      <c r="B4" s="156" t="s">
        <v>108</v>
      </c>
      <c r="C4" s="156"/>
      <c r="D4" s="156"/>
      <c r="E4" s="156"/>
      <c r="F4" s="156"/>
      <c r="G4" s="156"/>
      <c r="H4" s="156"/>
      <c r="I4" s="151"/>
      <c r="J4" s="151"/>
      <c r="K4" s="151"/>
      <c r="L4" s="151"/>
      <c r="M4" s="151"/>
      <c r="N4" s="151"/>
    </row>
    <row r="5" customFormat="false" ht="13.5" hidden="false" customHeight="false" outlineLevel="0" collapsed="false">
      <c r="A5" s="157"/>
      <c r="B5" s="158" t="s">
        <v>26</v>
      </c>
      <c r="C5" s="159" t="s">
        <v>109</v>
      </c>
      <c r="D5" s="160" t="s">
        <v>24</v>
      </c>
      <c r="E5" s="161" t="s">
        <v>110</v>
      </c>
      <c r="F5" s="162" t="s">
        <v>111</v>
      </c>
      <c r="G5" s="163" t="s">
        <v>112</v>
      </c>
      <c r="H5" s="164"/>
      <c r="I5" s="165"/>
      <c r="J5" s="166" t="s">
        <v>113</v>
      </c>
      <c r="K5" s="167"/>
      <c r="L5" s="167"/>
      <c r="M5" s="167"/>
      <c r="N5" s="167"/>
      <c r="P5" s="168" t="s">
        <v>52</v>
      </c>
      <c r="Q5" s="168" t="s">
        <v>55</v>
      </c>
      <c r="R5" s="168" t="s">
        <v>49</v>
      </c>
      <c r="S5" s="168" t="s">
        <v>36</v>
      </c>
      <c r="T5" s="168" t="s">
        <v>58</v>
      </c>
      <c r="U5" s="168" t="s">
        <v>61</v>
      </c>
      <c r="V5" s="168" t="s">
        <v>45</v>
      </c>
      <c r="W5" s="168" t="s">
        <v>64</v>
      </c>
      <c r="X5" s="168" t="s">
        <v>70</v>
      </c>
      <c r="Y5" s="168" t="s">
        <v>39</v>
      </c>
      <c r="Z5" s="168" t="s">
        <v>42</v>
      </c>
      <c r="AA5" s="168" t="s">
        <v>31</v>
      </c>
      <c r="AB5" s="168" t="s">
        <v>73</v>
      </c>
      <c r="AC5" s="168" t="s">
        <v>47</v>
      </c>
      <c r="AD5" s="168" t="s">
        <v>67</v>
      </c>
      <c r="AE5" s="168" t="s">
        <v>76</v>
      </c>
      <c r="AF5" s="168" t="s">
        <v>95</v>
      </c>
      <c r="AG5" s="168" t="s">
        <v>114</v>
      </c>
      <c r="AH5" s="168" t="s">
        <v>115</v>
      </c>
      <c r="AI5" s="168" t="s">
        <v>82</v>
      </c>
      <c r="AJ5" s="168" t="s">
        <v>85</v>
      </c>
      <c r="AK5" s="168" t="s">
        <v>88</v>
      </c>
      <c r="AL5" s="148" t="s">
        <v>116</v>
      </c>
    </row>
    <row r="6" customFormat="false" ht="13.5" hidden="false" customHeight="false" outlineLevel="0" collapsed="false">
      <c r="A6" s="169" t="n">
        <v>1</v>
      </c>
      <c r="B6" s="170"/>
      <c r="C6" s="171"/>
      <c r="D6" s="172"/>
      <c r="E6" s="173"/>
      <c r="F6" s="174"/>
      <c r="G6" s="175"/>
      <c r="H6" s="176"/>
      <c r="I6" s="177"/>
      <c r="J6" s="178" t="str">
        <f aca="false">IF(AL6=C6,IF(AL6=0,"-","ok"),"chyba")</f>
        <v>-</v>
      </c>
      <c r="K6" s="179"/>
      <c r="L6" s="179"/>
      <c r="M6" s="179"/>
      <c r="N6" s="179"/>
      <c r="P6" s="148" t="n">
        <f aca="false">VALUE(IF($D6="vyb",$C6,0))+VALUE(IF($H6="vyb",$G6,0))</f>
        <v>0</v>
      </c>
      <c r="Q6" s="148" t="n">
        <f aca="false">VALUE(IF($D6="mtv",$C6,0))+VALUE(IF($H6="mtv",$G6,0))</f>
        <v>0</v>
      </c>
      <c r="R6" s="148" t="n">
        <f aca="false">VALUE(IF($D6="mat",$C6,0))+VALUE(IF($H6="mat",$G6,0))</f>
        <v>0</v>
      </c>
      <c r="S6" s="148" t="n">
        <f aca="false">VALUE(IF($D6="pot",$C6,0))+VALUE(IF($H6="pot",$G6,0))</f>
        <v>0</v>
      </c>
      <c r="T6" s="148" t="n">
        <f aca="false">VALUE(IF($D6="táb",$C6,0))+VALUE(IF($H6="táb",$G6,0))</f>
        <v>0</v>
      </c>
      <c r="U6" s="148" t="n">
        <f aca="false">VALUE(IF($D6="oma",$C6,0))+VALUE(IF($H6="oma",$G6,0))</f>
        <v>0</v>
      </c>
      <c r="V6" s="148" t="n">
        <f aca="false">VALUE(IF($D6="ces",$C6,0))+VALUE(IF($H6="ces",$G6,0))</f>
        <v>0</v>
      </c>
      <c r="W6" s="148" t="n">
        <f aca="false">VALUE(IF($D6="poš",$C6,0))+VALUE(IF($H6="poš",$G6,0))</f>
        <v>0</v>
      </c>
      <c r="X6" s="148" t="n">
        <f aca="false">VALUE(IF($D6="tel",$C6,0))+VALUE(IF($H6="tel",$G6,0))</f>
        <v>0</v>
      </c>
      <c r="Y6" s="148" t="n">
        <f aca="false">VALUE(IF($D6="dop",$C6,0))+VALUE(IF($H6="dop",$G6,0))</f>
        <v>0</v>
      </c>
      <c r="Z6" s="148" t="n">
        <f aca="false">VALUE(IF($D6="nák",$C6,0))+VALUE(IF($H6="nák",$G6,0))</f>
        <v>0</v>
      </c>
      <c r="AA6" s="148" t="n">
        <f aca="false">VALUE(IF($D6="náj",$C6,0))+VALUE(IF($H6="náj",$G6,0))</f>
        <v>0</v>
      </c>
      <c r="AB6" s="148" t="n">
        <f aca="false">VALUE(IF($D6="půj",$C6,0))+VALUE(IF($H6="půj",$G6,0))</f>
        <v>0</v>
      </c>
      <c r="AC6" s="148" t="n">
        <f aca="false">VALUE(IF($D6="vst",$C6,0))+VALUE(IF($H6="vst",$G6,0))</f>
        <v>0</v>
      </c>
      <c r="AD6" s="148" t="n">
        <f aca="false">VALUE(IF($D6="kop",$C6,0))+VALUE(IF($H6="kop",$G6,0))</f>
        <v>0</v>
      </c>
      <c r="AE6" s="148" t="n">
        <f aca="false">VALUE(IF($D6="osl",$C6,0))+VALUE(IF($H6="osl",$G6,0))</f>
        <v>0</v>
      </c>
      <c r="AF6" s="148" t="n">
        <f aca="false">VALUE(IF($D6="vra",$C6,0))+VALUE(IF($H6="vra",$G6,0))</f>
        <v>0</v>
      </c>
      <c r="AG6" s="148" t="n">
        <f aca="false">VALUE(IF($D6="zho",$C6,0))+VALUE(IF($H6="zho",$G6,0))</f>
        <v>0</v>
      </c>
      <c r="AH6" s="148" t="n">
        <f aca="false">VALUE(IF($D6="zbú",$C6,0))+VALUE(IF($H6="zbú",$G6,0))</f>
        <v>0</v>
      </c>
      <c r="AI6" s="148" t="n">
        <f aca="false">VALUE(IF($D6="pří",$C6,0))+VALUE(IF($H6="pří",$G6,0))</f>
        <v>0</v>
      </c>
      <c r="AJ6" s="148" t="n">
        <f aca="false">VALUE(IF($D6="dot",$C6,0))+VALUE(IF($H6="dot",$G6,0))</f>
        <v>0</v>
      </c>
      <c r="AK6" s="148" t="n">
        <f aca="false">VALUE(IF($D6="opř",$C6,0))+VALUE(IF($H6="opř",$G6,0))</f>
        <v>0</v>
      </c>
      <c r="AL6" s="148" t="n">
        <f aca="false">SUM(P6:AK6)</f>
        <v>0</v>
      </c>
      <c r="AN6" s="180" t="str">
        <f aca="false">CONCATENATE("BÚ"," ",'Příjmy a výdaje'!$E6)</f>
        <v>BÚ </v>
      </c>
      <c r="AO6" s="181" t="n">
        <f aca="false">IF('Příjmy a výdaje'!$G6="ano",'Příjmy a výdaje'!$B6,0)</f>
        <v>0</v>
      </c>
      <c r="AP6" s="182" t="n">
        <f aca="false">IF('Příjmy a výdaje'!$G6="ano",'Příjmy a výdaje'!$C6,0)</f>
        <v>0</v>
      </c>
      <c r="AQ6" s="183" t="n">
        <f aca="false">'Příjmy a výdaje'!$AP6</f>
        <v>0</v>
      </c>
    </row>
    <row r="7" customFormat="false" ht="12.75" hidden="false" customHeight="false" outlineLevel="0" collapsed="false">
      <c r="A7" s="169" t="n">
        <v>2</v>
      </c>
      <c r="B7" s="184"/>
      <c r="C7" s="185"/>
      <c r="D7" s="186"/>
      <c r="E7" s="187"/>
      <c r="F7" s="188"/>
      <c r="G7" s="189"/>
      <c r="H7" s="190"/>
      <c r="I7" s="177"/>
      <c r="J7" s="178" t="str">
        <f aca="false">IF(AL7=C7,IF(AL7=0,"-","ok"),"chyba")</f>
        <v>-</v>
      </c>
      <c r="K7" s="179"/>
      <c r="L7" s="179"/>
      <c r="M7" s="179"/>
      <c r="N7" s="179"/>
      <c r="P7" s="148" t="n">
        <f aca="false">VALUE(IF($D7="vyb",$C7,0))+VALUE(IF($H7="vyb",$G7,0))</f>
        <v>0</v>
      </c>
      <c r="Q7" s="148" t="n">
        <f aca="false">VALUE(IF($D7="mtv",$C7,0))+VALUE(IF($H7="mtv",$G7,0))</f>
        <v>0</v>
      </c>
      <c r="R7" s="148" t="n">
        <f aca="false">VALUE(IF($D7="mat",$C7,0))+VALUE(IF($H7="mat",$G7,0))</f>
        <v>0</v>
      </c>
      <c r="S7" s="148" t="n">
        <f aca="false">VALUE(IF($D7="pot",$C7,0))+VALUE(IF($H7="pot",$G7,0))</f>
        <v>0</v>
      </c>
      <c r="T7" s="148" t="n">
        <f aca="false">VALUE(IF($D7="táb",$C7,0))+VALUE(IF($H7="táb",$G7,0))</f>
        <v>0</v>
      </c>
      <c r="U7" s="148" t="n">
        <f aca="false">VALUE(IF($D7="oma",$C7,0))+VALUE(IF($H7="oma",$G7,0))</f>
        <v>0</v>
      </c>
      <c r="V7" s="148" t="n">
        <f aca="false">VALUE(IF($D7="ces",$C7,0))+VALUE(IF($H7="ces",$G7,0))</f>
        <v>0</v>
      </c>
      <c r="W7" s="148" t="n">
        <f aca="false">VALUE(IF($D7="poš",$C7,0))+VALUE(IF($H7="poš",$G7,0))</f>
        <v>0</v>
      </c>
      <c r="X7" s="148" t="n">
        <f aca="false">VALUE(IF($D7="tel",$C7,0))+VALUE(IF($H7="tel",$G7,0))</f>
        <v>0</v>
      </c>
      <c r="Y7" s="148" t="n">
        <f aca="false">VALUE(IF($D7="dop",$C7,0))+VALUE(IF($H7="dop",$G7,0))</f>
        <v>0</v>
      </c>
      <c r="Z7" s="148" t="n">
        <f aca="false">VALUE(IF($D7="nák",$C7,0))+VALUE(IF($H7="nák",$G7,0))</f>
        <v>0</v>
      </c>
      <c r="AA7" s="148" t="n">
        <f aca="false">VALUE(IF($D7="náj",$C7,0))+VALUE(IF($H7="náj",$G7,0))</f>
        <v>0</v>
      </c>
      <c r="AB7" s="148" t="n">
        <f aca="false">VALUE(IF($D7="půj",$C7,0))+VALUE(IF($H7="půj",$G7,0))</f>
        <v>0</v>
      </c>
      <c r="AC7" s="148" t="n">
        <f aca="false">VALUE(IF($D7="vst",$C7,0))+VALUE(IF($H7="vst",$G7,0))</f>
        <v>0</v>
      </c>
      <c r="AD7" s="148" t="n">
        <f aca="false">VALUE(IF($D7="kop",$C7,0))+VALUE(IF($H7="kop",$G7,0))</f>
        <v>0</v>
      </c>
      <c r="AE7" s="148" t="n">
        <f aca="false">VALUE(IF($D7="osl",$C7,0))+VALUE(IF($H7="osl",$G7,0))</f>
        <v>0</v>
      </c>
      <c r="AF7" s="148" t="n">
        <f aca="false">VALUE(IF($D7="vra",$C7,0))+VALUE(IF($H7="vra",$G7,0))</f>
        <v>0</v>
      </c>
      <c r="AG7" s="148" t="n">
        <f aca="false">VALUE(IF($D7="zho",$C7,0))+VALUE(IF($H7="zho",$G7,0))</f>
        <v>0</v>
      </c>
      <c r="AH7" s="148" t="n">
        <f aca="false">VALUE(IF($D7="zbú",$C7,0))+VALUE(IF($H7="zbú",$G7,0))</f>
        <v>0</v>
      </c>
      <c r="AI7" s="148" t="n">
        <f aca="false">VALUE(IF($D7="pří",$C7,0))+VALUE(IF($H7="pří",$G7,0))</f>
        <v>0</v>
      </c>
      <c r="AJ7" s="148" t="n">
        <f aca="false">VALUE(IF($D7="dot",$C7,0))+VALUE(IF($H7="dot",$G7,0))</f>
        <v>0</v>
      </c>
      <c r="AK7" s="148" t="n">
        <f aca="false">VALUE(IF($D7="opř",$C7,0))+VALUE(IF($H7="opř",$G7,0))</f>
        <v>0</v>
      </c>
      <c r="AL7" s="148" t="n">
        <f aca="false">SUM(P7:AK7)</f>
        <v>0</v>
      </c>
      <c r="AN7" s="180" t="str">
        <f aca="false">CONCATENATE("BÚ"," ",'Příjmy a výdaje'!$E7)</f>
        <v>BÚ </v>
      </c>
      <c r="AO7" s="181" t="n">
        <f aca="false">IF('Příjmy a výdaje'!$G7="ano",'Příjmy a výdaje'!$B7,0)</f>
        <v>0</v>
      </c>
      <c r="AP7" s="182" t="n">
        <f aca="false">IF('Příjmy a výdaje'!$G7="ano",'Příjmy a výdaje'!$C7,0)</f>
        <v>0</v>
      </c>
      <c r="AQ7" s="183" t="n">
        <f aca="false">'Příjmy a výdaje'!$AP7</f>
        <v>0</v>
      </c>
    </row>
    <row r="8" customFormat="false" ht="12.75" hidden="false" customHeight="false" outlineLevel="0" collapsed="false">
      <c r="A8" s="169" t="n">
        <v>3</v>
      </c>
      <c r="B8" s="184"/>
      <c r="C8" s="185"/>
      <c r="D8" s="186"/>
      <c r="E8" s="187"/>
      <c r="F8" s="188"/>
      <c r="G8" s="189"/>
      <c r="H8" s="190"/>
      <c r="I8" s="177"/>
      <c r="J8" s="191" t="str">
        <f aca="false">IF(AL8=C8,IF(AL8=0,"-","ok"),"chyba")</f>
        <v>-</v>
      </c>
      <c r="K8" s="179"/>
      <c r="L8" s="179"/>
      <c r="M8" s="179"/>
      <c r="N8" s="179"/>
      <c r="P8" s="148" t="n">
        <f aca="false">VALUE(IF($D8="vyb",$C8,0))+VALUE(IF($H8="vyb",$G8,0))</f>
        <v>0</v>
      </c>
      <c r="Q8" s="148" t="n">
        <f aca="false">VALUE(IF($D8="mtv",$C8,0))+VALUE(IF($H8="mtv",$G8,0))</f>
        <v>0</v>
      </c>
      <c r="R8" s="148" t="n">
        <f aca="false">VALUE(IF($D8="mat",$C8,0))+VALUE(IF($H8="mat",$G8,0))</f>
        <v>0</v>
      </c>
      <c r="S8" s="148" t="n">
        <f aca="false">VALUE(IF($D8="pot",$C8,0))+VALUE(IF($H8="pot",$G8,0))</f>
        <v>0</v>
      </c>
      <c r="T8" s="148" t="n">
        <f aca="false">VALUE(IF($D8="táb",$C8,0))+VALUE(IF($H8="táb",$G8,0))</f>
        <v>0</v>
      </c>
      <c r="U8" s="148" t="n">
        <f aca="false">VALUE(IF($D8="oma",$C8,0))+VALUE(IF($H8="oma",$G8,0))</f>
        <v>0</v>
      </c>
      <c r="V8" s="148" t="n">
        <f aca="false">VALUE(IF($D8="ces",$C8,0))+VALUE(IF($H8="ces",$G8,0))</f>
        <v>0</v>
      </c>
      <c r="W8" s="148" t="n">
        <f aca="false">VALUE(IF($D8="poš",$C8,0))+VALUE(IF($H8="poš",$G8,0))</f>
        <v>0</v>
      </c>
      <c r="X8" s="148" t="n">
        <f aca="false">VALUE(IF($D8="tel",$C8,0))+VALUE(IF($H8="tel",$G8,0))</f>
        <v>0</v>
      </c>
      <c r="Y8" s="148" t="n">
        <f aca="false">VALUE(IF($D8="dop",$C8,0))+VALUE(IF($H8="dop",$G8,0))</f>
        <v>0</v>
      </c>
      <c r="Z8" s="148" t="n">
        <f aca="false">VALUE(IF($D8="nák",$C8,0))+VALUE(IF($H8="nák",$G8,0))</f>
        <v>0</v>
      </c>
      <c r="AA8" s="148" t="n">
        <f aca="false">VALUE(IF($D8="náj",$C8,0))+VALUE(IF($H8="náj",$G8,0))</f>
        <v>0</v>
      </c>
      <c r="AB8" s="148" t="n">
        <f aca="false">VALUE(IF($D8="půj",$C8,0))+VALUE(IF($H8="půj",$G8,0))</f>
        <v>0</v>
      </c>
      <c r="AC8" s="148" t="n">
        <f aca="false">VALUE(IF($D8="vst",$C8,0))+VALUE(IF($H8="vst",$G8,0))</f>
        <v>0</v>
      </c>
      <c r="AD8" s="148" t="n">
        <f aca="false">VALUE(IF($D8="kop",$C8,0))+VALUE(IF($H8="kop",$G8,0))</f>
        <v>0</v>
      </c>
      <c r="AE8" s="148" t="n">
        <f aca="false">VALUE(IF($D8="osl",$C8,0))+VALUE(IF($H8="osl",$G8,0))</f>
        <v>0</v>
      </c>
      <c r="AF8" s="148" t="n">
        <f aca="false">VALUE(IF($D8="vra",$C8,0))+VALUE(IF($H8="vra",$G8,0))</f>
        <v>0</v>
      </c>
      <c r="AG8" s="148" t="n">
        <f aca="false">VALUE(IF($D8="zho",$C8,0))+VALUE(IF($H8="zho",$G8,0))</f>
        <v>0</v>
      </c>
      <c r="AH8" s="148" t="n">
        <f aca="false">VALUE(IF($D8="zbú",$C8,0))+VALUE(IF($H8="zbú",$G8,0))</f>
        <v>0</v>
      </c>
      <c r="AI8" s="148" t="n">
        <f aca="false">VALUE(IF($D8="pří",$C8,0))+VALUE(IF($H8="pří",$G8,0))</f>
        <v>0</v>
      </c>
      <c r="AJ8" s="148" t="n">
        <f aca="false">VALUE(IF($D8="dot",$C8,0))+VALUE(IF($H8="dot",$G8,0))</f>
        <v>0</v>
      </c>
      <c r="AK8" s="148" t="n">
        <f aca="false">VALUE(IF($D8="opř",$C8,0))+VALUE(IF($H8="opř",$G8,0))</f>
        <v>0</v>
      </c>
      <c r="AL8" s="148" t="n">
        <f aca="false">SUM(P8:AK8)</f>
        <v>0</v>
      </c>
      <c r="AN8" s="180" t="str">
        <f aca="false">CONCATENATE("BÚ"," ",'Příjmy a výdaje'!$E8)</f>
        <v>BÚ </v>
      </c>
      <c r="AO8" s="181" t="n">
        <f aca="false">IF('Příjmy a výdaje'!$G8="ano",'Příjmy a výdaje'!$B8,0)</f>
        <v>0</v>
      </c>
      <c r="AP8" s="182" t="n">
        <f aca="false">IF('Příjmy a výdaje'!$G8="ano",'Příjmy a výdaje'!$C8,0)</f>
        <v>0</v>
      </c>
      <c r="AQ8" s="183" t="n">
        <f aca="false">'Příjmy a výdaje'!$AP8</f>
        <v>0</v>
      </c>
    </row>
    <row r="9" customFormat="false" ht="12.75" hidden="false" customHeight="false" outlineLevel="0" collapsed="false">
      <c r="A9" s="169" t="n">
        <v>4</v>
      </c>
      <c r="B9" s="184"/>
      <c r="C9" s="185"/>
      <c r="D9" s="186"/>
      <c r="E9" s="187"/>
      <c r="F9" s="188"/>
      <c r="G9" s="189"/>
      <c r="H9" s="190"/>
      <c r="I9" s="177"/>
      <c r="J9" s="192" t="str">
        <f aca="false">IF(AL9=C9,IF(AL9=0,"-","ok"),"chyba")</f>
        <v>-</v>
      </c>
      <c r="K9" s="179"/>
      <c r="L9" s="179"/>
      <c r="M9" s="179"/>
      <c r="N9" s="179"/>
      <c r="P9" s="148" t="n">
        <f aca="false">VALUE(IF($D9="vyb",$C9,0))+VALUE(IF($H9="vyb",$G9,0))</f>
        <v>0</v>
      </c>
      <c r="Q9" s="148" t="n">
        <f aca="false">VALUE(IF($D9="mtv",$C9,0))+VALUE(IF($H9="mtv",$G9,0))</f>
        <v>0</v>
      </c>
      <c r="R9" s="148" t="n">
        <f aca="false">VALUE(IF($D9="mat",$C9,0))+VALUE(IF($H9="mat",$G9,0))</f>
        <v>0</v>
      </c>
      <c r="S9" s="148" t="n">
        <f aca="false">VALUE(IF($D9="pot",$C9,0))+VALUE(IF($H9="pot",$G9,0))</f>
        <v>0</v>
      </c>
      <c r="T9" s="148" t="n">
        <f aca="false">VALUE(IF($D9="táb",$C9,0))+VALUE(IF($H9="táb",$G9,0))</f>
        <v>0</v>
      </c>
      <c r="U9" s="148" t="n">
        <f aca="false">VALUE(IF($D9="oma",$C9,0))+VALUE(IF($H9="oma",$G9,0))</f>
        <v>0</v>
      </c>
      <c r="V9" s="148" t="n">
        <f aca="false">VALUE(IF($D9="ces",$C9,0))+VALUE(IF($H9="ces",$G9,0))</f>
        <v>0</v>
      </c>
      <c r="W9" s="148" t="n">
        <f aca="false">VALUE(IF($D9="poš",$C9,0))+VALUE(IF($H9="poš",$G9,0))</f>
        <v>0</v>
      </c>
      <c r="X9" s="148" t="n">
        <f aca="false">VALUE(IF($D9="tel",$C9,0))+VALUE(IF($H9="tel",$G9,0))</f>
        <v>0</v>
      </c>
      <c r="Y9" s="148" t="n">
        <f aca="false">VALUE(IF($D9="dop",$C9,0))+VALUE(IF($H9="dop",$G9,0))</f>
        <v>0</v>
      </c>
      <c r="Z9" s="148" t="n">
        <f aca="false">VALUE(IF($D9="nák",$C9,0))+VALUE(IF($H9="nák",$G9,0))</f>
        <v>0</v>
      </c>
      <c r="AA9" s="148" t="n">
        <f aca="false">VALUE(IF($D9="náj",$C9,0))+VALUE(IF($H9="náj",$G9,0))</f>
        <v>0</v>
      </c>
      <c r="AB9" s="148" t="n">
        <f aca="false">VALUE(IF($D9="půj",$C9,0))+VALUE(IF($H9="půj",$G9,0))</f>
        <v>0</v>
      </c>
      <c r="AC9" s="148" t="n">
        <f aca="false">VALUE(IF($D9="vst",$C9,0))+VALUE(IF($H9="vst",$G9,0))</f>
        <v>0</v>
      </c>
      <c r="AD9" s="148" t="n">
        <f aca="false">VALUE(IF($D9="kop",$C9,0))+VALUE(IF($H9="kop",$G9,0))</f>
        <v>0</v>
      </c>
      <c r="AE9" s="148" t="n">
        <f aca="false">VALUE(IF($D9="osl",$C9,0))+VALUE(IF($H9="osl",$G9,0))</f>
        <v>0</v>
      </c>
      <c r="AF9" s="148" t="n">
        <f aca="false">VALUE(IF($D9="vra",$C9,0))+VALUE(IF($H9="vra",$G9,0))</f>
        <v>0</v>
      </c>
      <c r="AG9" s="148" t="n">
        <f aca="false">VALUE(IF($D9="zho",$C9,0))+VALUE(IF($H9="zho",$G9,0))</f>
        <v>0</v>
      </c>
      <c r="AH9" s="148" t="n">
        <f aca="false">VALUE(IF($D9="zbú",$C9,0))+VALUE(IF($H9="zbú",$G9,0))</f>
        <v>0</v>
      </c>
      <c r="AI9" s="148" t="n">
        <f aca="false">VALUE(IF($D9="pří",$C9,0))+VALUE(IF($H9="pří",$G9,0))</f>
        <v>0</v>
      </c>
      <c r="AJ9" s="148" t="n">
        <f aca="false">VALUE(IF($D9="dot",$C9,0))+VALUE(IF($H9="dot",$G9,0))</f>
        <v>0</v>
      </c>
      <c r="AK9" s="148" t="n">
        <f aca="false">VALUE(IF($D9="opř",$C9,0))+VALUE(IF($H9="opř",$G9,0))</f>
        <v>0</v>
      </c>
      <c r="AL9" s="148" t="n">
        <f aca="false">SUM(P9:AK9)</f>
        <v>0</v>
      </c>
      <c r="AN9" s="180" t="str">
        <f aca="false">CONCATENATE("BÚ"," ",'Příjmy a výdaje'!$E9)</f>
        <v>BÚ </v>
      </c>
      <c r="AO9" s="181" t="n">
        <f aca="false">IF('Příjmy a výdaje'!$G9="ano",'Příjmy a výdaje'!$B9,0)</f>
        <v>0</v>
      </c>
      <c r="AP9" s="182" t="n">
        <f aca="false">IF('Příjmy a výdaje'!$G9="ano",'Příjmy a výdaje'!$C9,0)</f>
        <v>0</v>
      </c>
      <c r="AQ9" s="183" t="n">
        <f aca="false">'Příjmy a výdaje'!$AP9</f>
        <v>0</v>
      </c>
    </row>
    <row r="10" customFormat="false" ht="12.75" hidden="false" customHeight="false" outlineLevel="0" collapsed="false">
      <c r="A10" s="169" t="n">
        <v>5</v>
      </c>
      <c r="B10" s="184"/>
      <c r="C10" s="185"/>
      <c r="D10" s="186"/>
      <c r="E10" s="187"/>
      <c r="F10" s="193"/>
      <c r="G10" s="189"/>
      <c r="H10" s="190"/>
      <c r="I10" s="177"/>
      <c r="J10" s="192" t="str">
        <f aca="false">IF(AL10=C10,IF(AL10=0,"-","ok"),"chyba")</f>
        <v>-</v>
      </c>
      <c r="K10" s="179"/>
      <c r="L10" s="179"/>
      <c r="M10" s="179"/>
      <c r="N10" s="179"/>
      <c r="P10" s="148" t="n">
        <f aca="false">VALUE(IF($D10="vyb",$C10,0))+VALUE(IF($H10="vyb",$G10,0))</f>
        <v>0</v>
      </c>
      <c r="Q10" s="148" t="n">
        <f aca="false">VALUE(IF($D10="mtv",$C10,0))+VALUE(IF($H10="mtv",$G10,0))</f>
        <v>0</v>
      </c>
      <c r="R10" s="148" t="n">
        <f aca="false">VALUE(IF($D10="mat",$C10,0))+VALUE(IF($H10="mat",$G10,0))</f>
        <v>0</v>
      </c>
      <c r="S10" s="148" t="n">
        <f aca="false">VALUE(IF($D10="pot",$C10,0))+VALUE(IF($H10="pot",$G10,0))</f>
        <v>0</v>
      </c>
      <c r="T10" s="148" t="n">
        <f aca="false">VALUE(IF($D10="táb",$C10,0))+VALUE(IF($H10="táb",$G10,0))</f>
        <v>0</v>
      </c>
      <c r="U10" s="148" t="n">
        <f aca="false">VALUE(IF($D10="oma",$C10,0))+VALUE(IF($H10="oma",$G10,0))</f>
        <v>0</v>
      </c>
      <c r="V10" s="148" t="n">
        <f aca="false">VALUE(IF($D10="ces",$C10,0))+VALUE(IF($H10="ces",$G10,0))</f>
        <v>0</v>
      </c>
      <c r="W10" s="148" t="n">
        <f aca="false">VALUE(IF($D10="poš",$C10,0))+VALUE(IF($H10="poš",$G10,0))</f>
        <v>0</v>
      </c>
      <c r="X10" s="148" t="n">
        <f aca="false">VALUE(IF($D10="tel",$C10,0))+VALUE(IF($H10="tel",$G10,0))</f>
        <v>0</v>
      </c>
      <c r="Y10" s="148" t="n">
        <f aca="false">VALUE(IF($D10="dop",$C10,0))+VALUE(IF($H10="dop",$G10,0))</f>
        <v>0</v>
      </c>
      <c r="Z10" s="148" t="n">
        <f aca="false">VALUE(IF($D10="nák",$C10,0))+VALUE(IF($H10="nák",$G10,0))</f>
        <v>0</v>
      </c>
      <c r="AA10" s="148" t="n">
        <f aca="false">VALUE(IF($D10="náj",$C10,0))+VALUE(IF($H10="náj",$G10,0))</f>
        <v>0</v>
      </c>
      <c r="AB10" s="148" t="n">
        <f aca="false">VALUE(IF($D10="půj",$C10,0))+VALUE(IF($H10="půj",$G10,0))</f>
        <v>0</v>
      </c>
      <c r="AC10" s="148" t="n">
        <f aca="false">VALUE(IF($D10="vst",$C10,0))+VALUE(IF($H10="vst",$G10,0))</f>
        <v>0</v>
      </c>
      <c r="AD10" s="148" t="n">
        <f aca="false">VALUE(IF($D10="kop",$C10,0))+VALUE(IF($H10="kop",$G10,0))</f>
        <v>0</v>
      </c>
      <c r="AE10" s="148" t="n">
        <f aca="false">VALUE(IF($D10="osl",$C10,0))+VALUE(IF($H10="osl",$G10,0))</f>
        <v>0</v>
      </c>
      <c r="AF10" s="148" t="n">
        <f aca="false">VALUE(IF($D10="vra",$C10,0))+VALUE(IF($H10="vra",$G10,0))</f>
        <v>0</v>
      </c>
      <c r="AG10" s="148" t="n">
        <f aca="false">VALUE(IF($D10="zho",$C10,0))+VALUE(IF($H10="zho",$G10,0))</f>
        <v>0</v>
      </c>
      <c r="AH10" s="148" t="n">
        <f aca="false">VALUE(IF($D10="zbú",$C10,0))+VALUE(IF($H10="zbú",$G10,0))</f>
        <v>0</v>
      </c>
      <c r="AI10" s="148" t="n">
        <f aca="false">VALUE(IF($D10="pří",$C10,0))+VALUE(IF($H10="pří",$G10,0))</f>
        <v>0</v>
      </c>
      <c r="AJ10" s="148" t="n">
        <f aca="false">VALUE(IF($D10="dot",$C10,0))+VALUE(IF($H10="dot",$G10,0))</f>
        <v>0</v>
      </c>
      <c r="AK10" s="148" t="n">
        <f aca="false">VALUE(IF($D10="opř",$C10,0))+VALUE(IF($H10="opř",$G10,0))</f>
        <v>0</v>
      </c>
      <c r="AL10" s="148" t="n">
        <f aca="false">SUM(P10:AK10)</f>
        <v>0</v>
      </c>
      <c r="AN10" s="180" t="str">
        <f aca="false">CONCATENATE("BÚ"," ",'Příjmy a výdaje'!$E10)</f>
        <v>BÚ </v>
      </c>
      <c r="AO10" s="181" t="n">
        <f aca="false">IF('Příjmy a výdaje'!$G10="ano",'Příjmy a výdaje'!$B10,0)</f>
        <v>0</v>
      </c>
      <c r="AP10" s="182" t="n">
        <f aca="false">IF('Příjmy a výdaje'!$G10="ano",'Příjmy a výdaje'!$C10,0)</f>
        <v>0</v>
      </c>
      <c r="AQ10" s="183" t="n">
        <f aca="false">'Příjmy a výdaje'!$AP10</f>
        <v>0</v>
      </c>
    </row>
    <row r="11" customFormat="false" ht="12.75" hidden="false" customHeight="false" outlineLevel="0" collapsed="false">
      <c r="A11" s="169" t="n">
        <v>6</v>
      </c>
      <c r="B11" s="184"/>
      <c r="C11" s="194"/>
      <c r="D11" s="174"/>
      <c r="E11" s="187"/>
      <c r="F11" s="188"/>
      <c r="G11" s="189"/>
      <c r="H11" s="190"/>
      <c r="I11" s="195"/>
      <c r="J11" s="192" t="str">
        <f aca="false">IF(AL11=C11,IF(AL11=0,"-","ok"),"chyba")</f>
        <v>-</v>
      </c>
      <c r="K11" s="179"/>
      <c r="L11" s="179"/>
      <c r="M11" s="179"/>
      <c r="N11" s="179"/>
      <c r="P11" s="148" t="n">
        <f aca="false">VALUE(IF($D11="vyb",$C11,0))+VALUE(IF($H11="vyb",$G11,0))</f>
        <v>0</v>
      </c>
      <c r="Q11" s="148" t="n">
        <f aca="false">VALUE(IF($D11="mtv",$C11,0))+VALUE(IF($H11="mtv",$G11,0))</f>
        <v>0</v>
      </c>
      <c r="R11" s="148" t="n">
        <f aca="false">VALUE(IF($D11="mat",$C11,0))+VALUE(IF($H11="mat",$G11,0))</f>
        <v>0</v>
      </c>
      <c r="S11" s="148" t="n">
        <f aca="false">VALUE(IF($D11="pot",$C11,0))+VALUE(IF($H11="pot",$G11,0))</f>
        <v>0</v>
      </c>
      <c r="T11" s="148" t="n">
        <f aca="false">VALUE(IF($D11="táb",$C11,0))+VALUE(IF($H11="táb",$G11,0))</f>
        <v>0</v>
      </c>
      <c r="U11" s="148" t="n">
        <f aca="false">VALUE(IF($D11="oma",$C11,0))+VALUE(IF($H11="oma",$G11,0))</f>
        <v>0</v>
      </c>
      <c r="V11" s="148" t="n">
        <f aca="false">VALUE(IF($D11="ces",$C11,0))+VALUE(IF($H11="ces",$G11,0))</f>
        <v>0</v>
      </c>
      <c r="W11" s="148" t="n">
        <f aca="false">VALUE(IF($D11="poš",$C11,0))+VALUE(IF($H11="poš",$G11,0))</f>
        <v>0</v>
      </c>
      <c r="X11" s="148" t="n">
        <f aca="false">VALUE(IF($D11="tel",$C11,0))+VALUE(IF($H11="tel",$G11,0))</f>
        <v>0</v>
      </c>
      <c r="Y11" s="148" t="n">
        <f aca="false">VALUE(IF($D11="dop",$C11,0))+VALUE(IF($H11="dop",$G11,0))</f>
        <v>0</v>
      </c>
      <c r="Z11" s="148" t="n">
        <f aca="false">VALUE(IF($D11="nák",$C11,0))+VALUE(IF($H11="nák",$G11,0))</f>
        <v>0</v>
      </c>
      <c r="AA11" s="148" t="n">
        <f aca="false">VALUE(IF($D11="náj",$C11,0))+VALUE(IF($H11="náj",$G11,0))</f>
        <v>0</v>
      </c>
      <c r="AB11" s="148" t="n">
        <f aca="false">VALUE(IF($D11="půj",$C11,0))+VALUE(IF($H11="půj",$G11,0))</f>
        <v>0</v>
      </c>
      <c r="AC11" s="148" t="n">
        <f aca="false">VALUE(IF($D11="vst",$C11,0))+VALUE(IF($H11="vst",$G11,0))</f>
        <v>0</v>
      </c>
      <c r="AD11" s="148" t="n">
        <f aca="false">VALUE(IF($D11="kop",$C11,0))+VALUE(IF($H11="kop",$G11,0))</f>
        <v>0</v>
      </c>
      <c r="AE11" s="148" t="n">
        <f aca="false">VALUE(IF($D11="osl",$C11,0))+VALUE(IF($H11="osl",$G11,0))</f>
        <v>0</v>
      </c>
      <c r="AF11" s="148" t="n">
        <f aca="false">VALUE(IF($D11="vra",$C11,0))+VALUE(IF($H11="vra",$G11,0))</f>
        <v>0</v>
      </c>
      <c r="AG11" s="148" t="n">
        <f aca="false">VALUE(IF($D11="zho",$C11,0))+VALUE(IF($H11="zho",$G11,0))</f>
        <v>0</v>
      </c>
      <c r="AH11" s="148" t="n">
        <f aca="false">VALUE(IF($D11="zbú",$C11,0))+VALUE(IF($H11="zbú",$G11,0))</f>
        <v>0</v>
      </c>
      <c r="AI11" s="148" t="n">
        <f aca="false">VALUE(IF($D11="pří",$C11,0))+VALUE(IF($H11="pří",$G11,0))</f>
        <v>0</v>
      </c>
      <c r="AJ11" s="148" t="n">
        <f aca="false">VALUE(IF($D11="dot",$C11,0))+VALUE(IF($H11="dot",$G11,0))</f>
        <v>0</v>
      </c>
      <c r="AK11" s="148" t="n">
        <f aca="false">VALUE(IF($D11="opř",$C11,0))+VALUE(IF($H11="opř",$G11,0))</f>
        <v>0</v>
      </c>
      <c r="AL11" s="148" t="n">
        <f aca="false">SUM(P11:AK11)</f>
        <v>0</v>
      </c>
      <c r="AN11" s="180" t="str">
        <f aca="false">CONCATENATE("BÚ"," ",'Příjmy a výdaje'!$E11)</f>
        <v>BÚ </v>
      </c>
      <c r="AO11" s="181" t="n">
        <f aca="false">IF('Příjmy a výdaje'!$G11="ano",'Příjmy a výdaje'!$B11,0)</f>
        <v>0</v>
      </c>
      <c r="AP11" s="182" t="n">
        <f aca="false">IF('Příjmy a výdaje'!$G11="ano",'Příjmy a výdaje'!$C11,0)</f>
        <v>0</v>
      </c>
      <c r="AQ11" s="183" t="n">
        <f aca="false">'Příjmy a výdaje'!$AP11</f>
        <v>0</v>
      </c>
    </row>
    <row r="12" customFormat="false" ht="12.75" hidden="false" customHeight="false" outlineLevel="0" collapsed="false">
      <c r="A12" s="169" t="n">
        <v>7</v>
      </c>
      <c r="B12" s="184"/>
      <c r="C12" s="194"/>
      <c r="D12" s="174"/>
      <c r="E12" s="187"/>
      <c r="F12" s="188"/>
      <c r="G12" s="189"/>
      <c r="H12" s="190"/>
      <c r="I12" s="195"/>
      <c r="J12" s="192" t="str">
        <f aca="false">IF(AL12=C12,IF(AL12=0,"-","ok"),"chyba")</f>
        <v>-</v>
      </c>
      <c r="K12" s="179"/>
      <c r="L12" s="179"/>
      <c r="M12" s="179"/>
      <c r="N12" s="179"/>
      <c r="P12" s="148" t="n">
        <f aca="false">VALUE(IF($D12="vyb",$C12,0))+VALUE(IF($H12="vyb",$G12,0))</f>
        <v>0</v>
      </c>
      <c r="Q12" s="148" t="n">
        <f aca="false">VALUE(IF($D12="mtv",$C12,0))+VALUE(IF($H12="mtv",$G12,0))</f>
        <v>0</v>
      </c>
      <c r="R12" s="148" t="n">
        <f aca="false">VALUE(IF($D12="mat",$C12,0))+VALUE(IF($H12="mat",$G12,0))</f>
        <v>0</v>
      </c>
      <c r="S12" s="148" t="n">
        <f aca="false">VALUE(IF($D12="pot",$C12,0))+VALUE(IF($H12="pot",$G12,0))</f>
        <v>0</v>
      </c>
      <c r="T12" s="148" t="n">
        <f aca="false">VALUE(IF($D12="táb",$C12,0))+VALUE(IF($H12="táb",$G12,0))</f>
        <v>0</v>
      </c>
      <c r="U12" s="148" t="n">
        <f aca="false">VALUE(IF($D12="oma",$C12,0))+VALUE(IF($H12="oma",$G12,0))</f>
        <v>0</v>
      </c>
      <c r="V12" s="148" t="n">
        <f aca="false">VALUE(IF($D12="ces",$C12,0))+VALUE(IF($H12="ces",$G12,0))</f>
        <v>0</v>
      </c>
      <c r="W12" s="148" t="n">
        <f aca="false">VALUE(IF($D12="poš",$C12,0))+VALUE(IF($H12="poš",$G12,0))</f>
        <v>0</v>
      </c>
      <c r="X12" s="148" t="n">
        <f aca="false">VALUE(IF($D12="tel",$C12,0))+VALUE(IF($H12="tel",$G12,0))</f>
        <v>0</v>
      </c>
      <c r="Y12" s="148" t="n">
        <f aca="false">VALUE(IF($D12="dop",$C12,0))+VALUE(IF($H12="dop",$G12,0))</f>
        <v>0</v>
      </c>
      <c r="Z12" s="148" t="n">
        <f aca="false">VALUE(IF($D12="nák",$C12,0))+VALUE(IF($H12="nák",$G12,0))</f>
        <v>0</v>
      </c>
      <c r="AA12" s="148" t="n">
        <f aca="false">VALUE(IF($D12="náj",$C12,0))+VALUE(IF($H12="náj",$G12,0))</f>
        <v>0</v>
      </c>
      <c r="AB12" s="148" t="n">
        <f aca="false">VALUE(IF($D12="půj",$C12,0))+VALUE(IF($H12="půj",$G12,0))</f>
        <v>0</v>
      </c>
      <c r="AC12" s="148" t="n">
        <f aca="false">VALUE(IF($D12="vst",$C12,0))+VALUE(IF($H12="vst",$G12,0))</f>
        <v>0</v>
      </c>
      <c r="AD12" s="148" t="n">
        <f aca="false">VALUE(IF($D12="kop",$C12,0))+VALUE(IF($H12="kop",$G12,0))</f>
        <v>0</v>
      </c>
      <c r="AE12" s="148" t="n">
        <f aca="false">VALUE(IF($D12="osl",$C12,0))+VALUE(IF($H12="osl",$G12,0))</f>
        <v>0</v>
      </c>
      <c r="AF12" s="148" t="n">
        <f aca="false">VALUE(IF($D12="vra",$C12,0))+VALUE(IF($H12="vra",$G12,0))</f>
        <v>0</v>
      </c>
      <c r="AG12" s="148" t="n">
        <f aca="false">VALUE(IF($D12="zho",$C12,0))+VALUE(IF($H12="zho",$G12,0))</f>
        <v>0</v>
      </c>
      <c r="AH12" s="148" t="n">
        <f aca="false">VALUE(IF($D12="zbú",$C12,0))+VALUE(IF($H12="zbú",$G12,0))</f>
        <v>0</v>
      </c>
      <c r="AI12" s="148" t="n">
        <f aca="false">VALUE(IF($D12="pří",$C12,0))+VALUE(IF($H12="pří",$G12,0))</f>
        <v>0</v>
      </c>
      <c r="AJ12" s="148" t="n">
        <f aca="false">VALUE(IF($D12="dot",$C12,0))+VALUE(IF($H12="dot",$G12,0))</f>
        <v>0</v>
      </c>
      <c r="AK12" s="148" t="n">
        <f aca="false">VALUE(IF($D12="opř",$C12,0))+VALUE(IF($H12="opř",$G12,0))</f>
        <v>0</v>
      </c>
      <c r="AL12" s="148" t="n">
        <f aca="false">SUM(P12:AK12)</f>
        <v>0</v>
      </c>
      <c r="AN12" s="180" t="str">
        <f aca="false">CONCATENATE("BÚ"," ",'Příjmy a výdaje'!$E12)</f>
        <v>BÚ </v>
      </c>
      <c r="AO12" s="181" t="n">
        <f aca="false">IF('Příjmy a výdaje'!$G12="ano",'Příjmy a výdaje'!$B12,0)</f>
        <v>0</v>
      </c>
      <c r="AP12" s="182" t="n">
        <f aca="false">IF('Příjmy a výdaje'!$G12="ano",'Příjmy a výdaje'!$C12,0)</f>
        <v>0</v>
      </c>
      <c r="AQ12" s="183" t="n">
        <f aca="false">'Příjmy a výdaje'!$AP12</f>
        <v>0</v>
      </c>
    </row>
    <row r="13" customFormat="false" ht="12.75" hidden="false" customHeight="false" outlineLevel="0" collapsed="false">
      <c r="A13" s="169" t="n">
        <v>8</v>
      </c>
      <c r="B13" s="184"/>
      <c r="C13" s="194"/>
      <c r="D13" s="174"/>
      <c r="E13" s="187"/>
      <c r="F13" s="188"/>
      <c r="G13" s="189"/>
      <c r="H13" s="190"/>
      <c r="I13" s="195"/>
      <c r="J13" s="192" t="str">
        <f aca="false">IF(AL13=C13,IF(AL13=0,"-","ok"),"chyba")</f>
        <v>-</v>
      </c>
      <c r="K13" s="179"/>
      <c r="L13" s="179"/>
      <c r="M13" s="179"/>
      <c r="N13" s="179"/>
      <c r="P13" s="148" t="n">
        <f aca="false">VALUE(IF($D13="vyb",$C13,0))+VALUE(IF($H13="vyb",$G13,0))</f>
        <v>0</v>
      </c>
      <c r="Q13" s="148" t="n">
        <f aca="false">VALUE(IF($D13="mtv",$C13,0))+VALUE(IF($H13="mtv",$G13,0))</f>
        <v>0</v>
      </c>
      <c r="R13" s="148" t="n">
        <f aca="false">VALUE(IF($D13="mat",$C13,0))+VALUE(IF($H13="mat",$G13,0))</f>
        <v>0</v>
      </c>
      <c r="S13" s="148" t="n">
        <f aca="false">VALUE(IF($D13="pot",$C13,0))+VALUE(IF($H13="pot",$G13,0))</f>
        <v>0</v>
      </c>
      <c r="T13" s="148" t="n">
        <f aca="false">VALUE(IF($D13="táb",$C13,0))+VALUE(IF($H13="táb",$G13,0))</f>
        <v>0</v>
      </c>
      <c r="U13" s="148" t="n">
        <f aca="false">VALUE(IF($D13="oma",$C13,0))+VALUE(IF($H13="oma",$G13,0))</f>
        <v>0</v>
      </c>
      <c r="V13" s="148" t="n">
        <f aca="false">VALUE(IF($D13="ces",$C13,0))+VALUE(IF($H13="ces",$G13,0))</f>
        <v>0</v>
      </c>
      <c r="W13" s="148" t="n">
        <f aca="false">VALUE(IF($D13="poš",$C13,0))+VALUE(IF($H13="poš",$G13,0))</f>
        <v>0</v>
      </c>
      <c r="X13" s="148" t="n">
        <f aca="false">VALUE(IF($D13="tel",$C13,0))+VALUE(IF($H13="tel",$G13,0))</f>
        <v>0</v>
      </c>
      <c r="Y13" s="148" t="n">
        <f aca="false">VALUE(IF($D13="dop",$C13,0))+VALUE(IF($H13="dop",$G13,0))</f>
        <v>0</v>
      </c>
      <c r="Z13" s="148" t="n">
        <f aca="false">VALUE(IF($D13="nák",$C13,0))+VALUE(IF($H13="nák",$G13,0))</f>
        <v>0</v>
      </c>
      <c r="AA13" s="148" t="n">
        <f aca="false">VALUE(IF($D13="náj",$C13,0))+VALUE(IF($H13="náj",$G13,0))</f>
        <v>0</v>
      </c>
      <c r="AB13" s="148" t="n">
        <f aca="false">VALUE(IF($D13="půj",$C13,0))+VALUE(IF($H13="půj",$G13,0))</f>
        <v>0</v>
      </c>
      <c r="AC13" s="148" t="n">
        <f aca="false">VALUE(IF($D13="vst",$C13,0))+VALUE(IF($H13="vst",$G13,0))</f>
        <v>0</v>
      </c>
      <c r="AD13" s="148" t="n">
        <f aca="false">VALUE(IF($D13="kop",$C13,0))+VALUE(IF($H13="kop",$G13,0))</f>
        <v>0</v>
      </c>
      <c r="AE13" s="148" t="n">
        <f aca="false">VALUE(IF($D13="osl",$C13,0))+VALUE(IF($H13="osl",$G13,0))</f>
        <v>0</v>
      </c>
      <c r="AF13" s="148" t="n">
        <f aca="false">VALUE(IF($D13="vra",$C13,0))+VALUE(IF($H13="vra",$G13,0))</f>
        <v>0</v>
      </c>
      <c r="AG13" s="148" t="n">
        <f aca="false">VALUE(IF($D13="zho",$C13,0))+VALUE(IF($H13="zho",$G13,0))</f>
        <v>0</v>
      </c>
      <c r="AH13" s="148" t="n">
        <f aca="false">VALUE(IF($D13="zbú",$C13,0))+VALUE(IF($H13="zbú",$G13,0))</f>
        <v>0</v>
      </c>
      <c r="AI13" s="148" t="n">
        <f aca="false">VALUE(IF($D13="pří",$C13,0))+VALUE(IF($H13="pří",$G13,0))</f>
        <v>0</v>
      </c>
      <c r="AJ13" s="148" t="n">
        <f aca="false">VALUE(IF($D13="dot",$C13,0))+VALUE(IF($H13="dot",$G13,0))</f>
        <v>0</v>
      </c>
      <c r="AK13" s="148" t="n">
        <f aca="false">VALUE(IF($D13="opř",$C13,0))+VALUE(IF($H13="opř",$G13,0))</f>
        <v>0</v>
      </c>
      <c r="AL13" s="148" t="n">
        <f aca="false">SUM(P13:AK13)</f>
        <v>0</v>
      </c>
      <c r="AN13" s="180" t="str">
        <f aca="false">CONCATENATE("BÚ"," ",'Příjmy a výdaje'!$E13)</f>
        <v>BÚ </v>
      </c>
      <c r="AO13" s="181" t="n">
        <f aca="false">IF('Příjmy a výdaje'!$G13="ano",'Příjmy a výdaje'!$B13,0)</f>
        <v>0</v>
      </c>
      <c r="AP13" s="182" t="n">
        <f aca="false">IF('Příjmy a výdaje'!$G13="ano",'Příjmy a výdaje'!$C13,0)</f>
        <v>0</v>
      </c>
      <c r="AQ13" s="183" t="n">
        <f aca="false">'Příjmy a výdaje'!$AP13</f>
        <v>0</v>
      </c>
    </row>
    <row r="14" customFormat="false" ht="12.75" hidden="false" customHeight="false" outlineLevel="0" collapsed="false">
      <c r="A14" s="169" t="n">
        <v>9</v>
      </c>
      <c r="B14" s="184"/>
      <c r="C14" s="194"/>
      <c r="D14" s="174"/>
      <c r="E14" s="187"/>
      <c r="F14" s="188"/>
      <c r="G14" s="189"/>
      <c r="H14" s="190"/>
      <c r="I14" s="195"/>
      <c r="J14" s="192" t="str">
        <f aca="false">IF(AL14=C14,IF(AL14=0,"-","ok"),"chyba")</f>
        <v>-</v>
      </c>
      <c r="K14" s="179"/>
      <c r="L14" s="179"/>
      <c r="M14" s="179"/>
      <c r="N14" s="179"/>
      <c r="P14" s="148" t="n">
        <f aca="false">VALUE(IF($D14="vyb",$C14,0))+VALUE(IF($H14="vyb",$G14,0))</f>
        <v>0</v>
      </c>
      <c r="Q14" s="148" t="n">
        <f aca="false">VALUE(IF($D14="mtv",$C14,0))+VALUE(IF($H14="mtv",$G14,0))</f>
        <v>0</v>
      </c>
      <c r="R14" s="148" t="n">
        <f aca="false">VALUE(IF($D14="mat",$C14,0))+VALUE(IF($H14="mat",$G14,0))</f>
        <v>0</v>
      </c>
      <c r="S14" s="148" t="n">
        <f aca="false">VALUE(IF($D14="pot",$C14,0))+VALUE(IF($H14="pot",$G14,0))</f>
        <v>0</v>
      </c>
      <c r="T14" s="148" t="n">
        <f aca="false">VALUE(IF($D14="táb",$C14,0))+VALUE(IF($H14="táb",$G14,0))</f>
        <v>0</v>
      </c>
      <c r="U14" s="148" t="n">
        <f aca="false">VALUE(IF($D14="oma",$C14,0))+VALUE(IF($H14="oma",$G14,0))</f>
        <v>0</v>
      </c>
      <c r="V14" s="148" t="n">
        <f aca="false">VALUE(IF($D14="ces",$C14,0))+VALUE(IF($H14="ces",$G14,0))</f>
        <v>0</v>
      </c>
      <c r="W14" s="148" t="n">
        <f aca="false">VALUE(IF($D14="poš",$C14,0))+VALUE(IF($H14="poš",$G14,0))</f>
        <v>0</v>
      </c>
      <c r="X14" s="148" t="n">
        <f aca="false">VALUE(IF($D14="tel",$C14,0))+VALUE(IF($H14="tel",$G14,0))</f>
        <v>0</v>
      </c>
      <c r="Y14" s="148" t="n">
        <f aca="false">VALUE(IF($D14="dop",$C14,0))+VALUE(IF($H14="dop",$G14,0))</f>
        <v>0</v>
      </c>
      <c r="Z14" s="148" t="n">
        <f aca="false">VALUE(IF($D14="nák",$C14,0))+VALUE(IF($H14="nák",$G14,0))</f>
        <v>0</v>
      </c>
      <c r="AA14" s="148" t="n">
        <f aca="false">VALUE(IF($D14="náj",$C14,0))+VALUE(IF($H14="náj",$G14,0))</f>
        <v>0</v>
      </c>
      <c r="AB14" s="148" t="n">
        <f aca="false">VALUE(IF($D14="půj",$C14,0))+VALUE(IF($H14="půj",$G14,0))</f>
        <v>0</v>
      </c>
      <c r="AC14" s="148" t="n">
        <f aca="false">VALUE(IF($D14="vst",$C14,0))+VALUE(IF($H14="vst",$G14,0))</f>
        <v>0</v>
      </c>
      <c r="AD14" s="148" t="n">
        <f aca="false">VALUE(IF($D14="kop",$C14,0))+VALUE(IF($H14="kop",$G14,0))</f>
        <v>0</v>
      </c>
      <c r="AE14" s="148" t="n">
        <f aca="false">VALUE(IF($D14="osl",$C14,0))+VALUE(IF($H14="osl",$G14,0))</f>
        <v>0</v>
      </c>
      <c r="AF14" s="148" t="n">
        <f aca="false">VALUE(IF($D14="vra",$C14,0))+VALUE(IF($H14="vra",$G14,0))</f>
        <v>0</v>
      </c>
      <c r="AG14" s="148" t="n">
        <f aca="false">VALUE(IF($D14="zho",$C14,0))+VALUE(IF($H14="zho",$G14,0))</f>
        <v>0</v>
      </c>
      <c r="AH14" s="148" t="n">
        <f aca="false">VALUE(IF($D14="zbú",$C14,0))+VALUE(IF($H14="zbú",$G14,0))</f>
        <v>0</v>
      </c>
      <c r="AI14" s="148" t="n">
        <f aca="false">VALUE(IF($D14="pří",$C14,0))+VALUE(IF($H14="pří",$G14,0))</f>
        <v>0</v>
      </c>
      <c r="AJ14" s="148" t="n">
        <f aca="false">VALUE(IF($D14="dot",$C14,0))+VALUE(IF($H14="dot",$G14,0))</f>
        <v>0</v>
      </c>
      <c r="AK14" s="148" t="n">
        <f aca="false">VALUE(IF($D14="opř",$C14,0))+VALUE(IF($H14="opř",$G14,0))</f>
        <v>0</v>
      </c>
      <c r="AL14" s="148" t="n">
        <f aca="false">SUM(P14:AK14)</f>
        <v>0</v>
      </c>
      <c r="AN14" s="180" t="str">
        <f aca="false">CONCATENATE("BÚ"," ",'Příjmy a výdaje'!$E14)</f>
        <v>BÚ </v>
      </c>
      <c r="AO14" s="181" t="n">
        <f aca="false">IF('Příjmy a výdaje'!$G14="ano",'Příjmy a výdaje'!$B14,0)</f>
        <v>0</v>
      </c>
      <c r="AP14" s="182" t="n">
        <f aca="false">IF('Příjmy a výdaje'!$G14="ano",'Příjmy a výdaje'!$C14,0)</f>
        <v>0</v>
      </c>
      <c r="AQ14" s="183" t="n">
        <f aca="false">'Příjmy a výdaje'!$AP14</f>
        <v>0</v>
      </c>
    </row>
    <row r="15" customFormat="false" ht="12.75" hidden="false" customHeight="false" outlineLevel="0" collapsed="false">
      <c r="A15" s="169" t="n">
        <v>10</v>
      </c>
      <c r="B15" s="184"/>
      <c r="C15" s="194"/>
      <c r="D15" s="174"/>
      <c r="E15" s="187"/>
      <c r="F15" s="188"/>
      <c r="G15" s="189"/>
      <c r="H15" s="190"/>
      <c r="I15" s="195"/>
      <c r="J15" s="192" t="str">
        <f aca="false">IF(AL15=C15,IF(AL15=0,"-","ok"),"chyba")</f>
        <v>-</v>
      </c>
      <c r="K15" s="179"/>
      <c r="L15" s="179"/>
      <c r="M15" s="179"/>
      <c r="N15" s="179"/>
      <c r="P15" s="148" t="n">
        <f aca="false">VALUE(IF($D15="vyb",$C15,0))+VALUE(IF($H15="vyb",$G15,0))</f>
        <v>0</v>
      </c>
      <c r="Q15" s="148" t="n">
        <f aca="false">VALUE(IF($D15="mtv",$C15,0))+VALUE(IF($H15="mtv",$G15,0))</f>
        <v>0</v>
      </c>
      <c r="R15" s="148" t="n">
        <f aca="false">VALUE(IF($D15="mat",$C15,0))+VALUE(IF($H15="mat",$G15,0))</f>
        <v>0</v>
      </c>
      <c r="S15" s="148" t="n">
        <f aca="false">VALUE(IF($D15="pot",$C15,0))+VALUE(IF($H15="pot",$G15,0))</f>
        <v>0</v>
      </c>
      <c r="T15" s="148" t="n">
        <f aca="false">VALUE(IF($D15="táb",$C15,0))+VALUE(IF($H15="táb",$G15,0))</f>
        <v>0</v>
      </c>
      <c r="U15" s="148" t="n">
        <f aca="false">VALUE(IF($D15="oma",$C15,0))+VALUE(IF($H15="oma",$G15,0))</f>
        <v>0</v>
      </c>
      <c r="V15" s="148" t="n">
        <f aca="false">VALUE(IF($D15="ces",$C15,0))+VALUE(IF($H15="ces",$G15,0))</f>
        <v>0</v>
      </c>
      <c r="W15" s="148" t="n">
        <f aca="false">VALUE(IF($D15="poš",$C15,0))+VALUE(IF($H15="poš",$G15,0))</f>
        <v>0</v>
      </c>
      <c r="X15" s="148" t="n">
        <f aca="false">VALUE(IF($D15="tel",$C15,0))+VALUE(IF($H15="tel",$G15,0))</f>
        <v>0</v>
      </c>
      <c r="Y15" s="148" t="n">
        <f aca="false">VALUE(IF($D15="dop",$C15,0))+VALUE(IF($H15="dop",$G15,0))</f>
        <v>0</v>
      </c>
      <c r="Z15" s="148" t="n">
        <f aca="false">VALUE(IF($D15="nák",$C15,0))+VALUE(IF($H15="nák",$G15,0))</f>
        <v>0</v>
      </c>
      <c r="AA15" s="148" t="n">
        <f aca="false">VALUE(IF($D15="náj",$C15,0))+VALUE(IF($H15="náj",$G15,0))</f>
        <v>0</v>
      </c>
      <c r="AB15" s="148" t="n">
        <f aca="false">VALUE(IF($D15="půj",$C15,0))+VALUE(IF($H15="půj",$G15,0))</f>
        <v>0</v>
      </c>
      <c r="AC15" s="148" t="n">
        <f aca="false">VALUE(IF($D15="vst",$C15,0))+VALUE(IF($H15="vst",$G15,0))</f>
        <v>0</v>
      </c>
      <c r="AD15" s="148" t="n">
        <f aca="false">VALUE(IF($D15="kop",$C15,0))+VALUE(IF($H15="kop",$G15,0))</f>
        <v>0</v>
      </c>
      <c r="AE15" s="148" t="n">
        <f aca="false">VALUE(IF($D15="osl",$C15,0))+VALUE(IF($H15="osl",$G15,0))</f>
        <v>0</v>
      </c>
      <c r="AF15" s="148" t="n">
        <f aca="false">VALUE(IF($D15="vra",$C15,0))+VALUE(IF($H15="vra",$G15,0))</f>
        <v>0</v>
      </c>
      <c r="AG15" s="148" t="n">
        <f aca="false">VALUE(IF($D15="zho",$C15,0))+VALUE(IF($H15="zho",$G15,0))</f>
        <v>0</v>
      </c>
      <c r="AH15" s="148" t="n">
        <f aca="false">VALUE(IF($D15="zbú",$C15,0))+VALUE(IF($H15="zbú",$G15,0))</f>
        <v>0</v>
      </c>
      <c r="AI15" s="148" t="n">
        <f aca="false">VALUE(IF($D15="pří",$C15,0))+VALUE(IF($H15="pří",$G15,0))</f>
        <v>0</v>
      </c>
      <c r="AJ15" s="148" t="n">
        <f aca="false">VALUE(IF($D15="dot",$C15,0))+VALUE(IF($H15="dot",$G15,0))</f>
        <v>0</v>
      </c>
      <c r="AK15" s="148" t="n">
        <f aca="false">VALUE(IF($D15="opř",$C15,0))+VALUE(IF($H15="opř",$G15,0))</f>
        <v>0</v>
      </c>
      <c r="AL15" s="148" t="n">
        <f aca="false">SUM(P15:AK15)</f>
        <v>0</v>
      </c>
      <c r="AN15" s="180" t="str">
        <f aca="false">CONCATENATE("BÚ"," ",'Příjmy a výdaje'!$E15)</f>
        <v>BÚ </v>
      </c>
      <c r="AO15" s="181" t="n">
        <f aca="false">IF('Příjmy a výdaje'!$G15="ano",'Příjmy a výdaje'!$B15,0)</f>
        <v>0</v>
      </c>
      <c r="AP15" s="182" t="n">
        <f aca="false">IF('Příjmy a výdaje'!$G15="ano",'Příjmy a výdaje'!$C15,0)</f>
        <v>0</v>
      </c>
      <c r="AQ15" s="183" t="n">
        <f aca="false">'Příjmy a výdaje'!$AP15</f>
        <v>0</v>
      </c>
    </row>
    <row r="16" customFormat="false" ht="12.75" hidden="false" customHeight="false" outlineLevel="0" collapsed="false">
      <c r="A16" s="169" t="n">
        <v>11</v>
      </c>
      <c r="B16" s="184"/>
      <c r="C16" s="194"/>
      <c r="D16" s="174"/>
      <c r="E16" s="187"/>
      <c r="F16" s="188"/>
      <c r="G16" s="189"/>
      <c r="H16" s="190"/>
      <c r="I16" s="195"/>
      <c r="J16" s="192" t="str">
        <f aca="false">IF(AL16=C16,IF(AL16=0,"-","ok"),"chyba")</f>
        <v>-</v>
      </c>
      <c r="K16" s="179"/>
      <c r="L16" s="179"/>
      <c r="M16" s="179"/>
      <c r="N16" s="179"/>
      <c r="P16" s="148" t="n">
        <f aca="false">VALUE(IF($D16="vyb",$C16,0))+VALUE(IF($H16="vyb",$G16,0))</f>
        <v>0</v>
      </c>
      <c r="Q16" s="148" t="n">
        <f aca="false">VALUE(IF($D16="mtv",$C16,0))+VALUE(IF($H16="mtv",$G16,0))</f>
        <v>0</v>
      </c>
      <c r="R16" s="148" t="n">
        <f aca="false">VALUE(IF($D16="mat",$C16,0))+VALUE(IF($H16="mat",$G16,0))</f>
        <v>0</v>
      </c>
      <c r="S16" s="148" t="n">
        <f aca="false">VALUE(IF($D16="pot",$C16,0))+VALUE(IF($H16="pot",$G16,0))</f>
        <v>0</v>
      </c>
      <c r="T16" s="148" t="n">
        <f aca="false">VALUE(IF($D16="táb",$C16,0))+VALUE(IF($H16="táb",$G16,0))</f>
        <v>0</v>
      </c>
      <c r="U16" s="148" t="n">
        <f aca="false">VALUE(IF($D16="oma",$C16,0))+VALUE(IF($H16="oma",$G16,0))</f>
        <v>0</v>
      </c>
      <c r="V16" s="148" t="n">
        <f aca="false">VALUE(IF($D16="ces",$C16,0))+VALUE(IF($H16="ces",$G16,0))</f>
        <v>0</v>
      </c>
      <c r="W16" s="148" t="n">
        <f aca="false">VALUE(IF($D16="poš",$C16,0))+VALUE(IF($H16="poš",$G16,0))</f>
        <v>0</v>
      </c>
      <c r="X16" s="148" t="n">
        <f aca="false">VALUE(IF($D16="tel",$C16,0))+VALUE(IF($H16="tel",$G16,0))</f>
        <v>0</v>
      </c>
      <c r="Y16" s="148" t="n">
        <f aca="false">VALUE(IF($D16="dop",$C16,0))+VALUE(IF($H16="dop",$G16,0))</f>
        <v>0</v>
      </c>
      <c r="Z16" s="148" t="n">
        <f aca="false">VALUE(IF($D16="nák",$C16,0))+VALUE(IF($H16="nák",$G16,0))</f>
        <v>0</v>
      </c>
      <c r="AA16" s="148" t="n">
        <f aca="false">VALUE(IF($D16="náj",$C16,0))+VALUE(IF($H16="náj",$G16,0))</f>
        <v>0</v>
      </c>
      <c r="AB16" s="148" t="n">
        <f aca="false">VALUE(IF($D16="půj",$C16,0))+VALUE(IF($H16="půj",$G16,0))</f>
        <v>0</v>
      </c>
      <c r="AC16" s="148" t="n">
        <f aca="false">VALUE(IF($D16="vst",$C16,0))+VALUE(IF($H16="vst",$G16,0))</f>
        <v>0</v>
      </c>
      <c r="AD16" s="148" t="n">
        <f aca="false">VALUE(IF($D16="kop",$C16,0))+VALUE(IF($H16="kop",$G16,0))</f>
        <v>0</v>
      </c>
      <c r="AE16" s="148" t="n">
        <f aca="false">VALUE(IF($D16="osl",$C16,0))+VALUE(IF($H16="osl",$G16,0))</f>
        <v>0</v>
      </c>
      <c r="AF16" s="148" t="n">
        <f aca="false">VALUE(IF($D16="vra",$C16,0))+VALUE(IF($H16="vra",$G16,0))</f>
        <v>0</v>
      </c>
      <c r="AG16" s="148" t="n">
        <f aca="false">VALUE(IF($D16="zho",$C16,0))+VALUE(IF($H16="zho",$G16,0))</f>
        <v>0</v>
      </c>
      <c r="AH16" s="148" t="n">
        <f aca="false">VALUE(IF($D16="zbú",$C16,0))+VALUE(IF($H16="zbú",$G16,0))</f>
        <v>0</v>
      </c>
      <c r="AI16" s="148" t="n">
        <f aca="false">VALUE(IF($D16="pří",$C16,0))+VALUE(IF($H16="pří",$G16,0))</f>
        <v>0</v>
      </c>
      <c r="AJ16" s="148" t="n">
        <f aca="false">VALUE(IF($D16="dot",$C16,0))+VALUE(IF($H16="dot",$G16,0))</f>
        <v>0</v>
      </c>
      <c r="AK16" s="148" t="n">
        <f aca="false">VALUE(IF($D16="opř",$C16,0))+VALUE(IF($H16="opř",$G16,0))</f>
        <v>0</v>
      </c>
      <c r="AL16" s="148" t="n">
        <f aca="false">SUM(P16:AK16)</f>
        <v>0</v>
      </c>
      <c r="AN16" s="180" t="str">
        <f aca="false">CONCATENATE("BÚ"," ",'Příjmy a výdaje'!$E16)</f>
        <v>BÚ </v>
      </c>
      <c r="AO16" s="181" t="n">
        <f aca="false">IF('Příjmy a výdaje'!$G16="ano",'Příjmy a výdaje'!$B16,0)</f>
        <v>0</v>
      </c>
      <c r="AP16" s="182" t="n">
        <f aca="false">IF('Příjmy a výdaje'!$G16="ano",'Příjmy a výdaje'!$C16,0)</f>
        <v>0</v>
      </c>
      <c r="AQ16" s="183" t="n">
        <f aca="false">'Příjmy a výdaje'!$AP16</f>
        <v>0</v>
      </c>
    </row>
    <row r="17" customFormat="false" ht="12.75" hidden="false" customHeight="false" outlineLevel="0" collapsed="false">
      <c r="A17" s="169" t="n">
        <v>12</v>
      </c>
      <c r="B17" s="184"/>
      <c r="C17" s="194"/>
      <c r="D17" s="174"/>
      <c r="E17" s="187"/>
      <c r="F17" s="188"/>
      <c r="G17" s="189"/>
      <c r="H17" s="190"/>
      <c r="I17" s="195"/>
      <c r="J17" s="192" t="str">
        <f aca="false">IF(AL17=C17,IF(AL17=0,"-","ok"),"chyba")</f>
        <v>-</v>
      </c>
      <c r="K17" s="179"/>
      <c r="L17" s="179"/>
      <c r="M17" s="179"/>
      <c r="N17" s="179"/>
      <c r="P17" s="148" t="n">
        <f aca="false">VALUE(IF($D17="vyb",$C17,0))+VALUE(IF($H17="vyb",$G17,0))</f>
        <v>0</v>
      </c>
      <c r="Q17" s="148" t="n">
        <f aca="false">VALUE(IF($D17="mtv",$C17,0))+VALUE(IF($H17="mtv",$G17,0))</f>
        <v>0</v>
      </c>
      <c r="R17" s="148" t="n">
        <f aca="false">VALUE(IF($D17="mat",$C17,0))+VALUE(IF($H17="mat",$G17,0))</f>
        <v>0</v>
      </c>
      <c r="S17" s="148" t="n">
        <f aca="false">VALUE(IF($D17="pot",$C17,0))+VALUE(IF($H17="pot",$G17,0))</f>
        <v>0</v>
      </c>
      <c r="T17" s="148" t="n">
        <f aca="false">VALUE(IF($D17="táb",$C17,0))+VALUE(IF($H17="táb",$G17,0))</f>
        <v>0</v>
      </c>
      <c r="U17" s="148" t="n">
        <f aca="false">VALUE(IF($D17="oma",$C17,0))+VALUE(IF($H17="oma",$G17,0))</f>
        <v>0</v>
      </c>
      <c r="V17" s="148" t="n">
        <f aca="false">VALUE(IF($D17="ces",$C17,0))+VALUE(IF($H17="ces",$G17,0))</f>
        <v>0</v>
      </c>
      <c r="W17" s="148" t="n">
        <f aca="false">VALUE(IF($D17="poš",$C17,0))+VALUE(IF($H17="poš",$G17,0))</f>
        <v>0</v>
      </c>
      <c r="X17" s="148" t="n">
        <f aca="false">VALUE(IF($D17="tel",$C17,0))+VALUE(IF($H17="tel",$G17,0))</f>
        <v>0</v>
      </c>
      <c r="Y17" s="148" t="n">
        <f aca="false">VALUE(IF($D17="dop",$C17,0))+VALUE(IF($H17="dop",$G17,0))</f>
        <v>0</v>
      </c>
      <c r="Z17" s="148" t="n">
        <f aca="false">VALUE(IF($D17="nák",$C17,0))+VALUE(IF($H17="nák",$G17,0))</f>
        <v>0</v>
      </c>
      <c r="AA17" s="148" t="n">
        <f aca="false">VALUE(IF($D17="náj",$C17,0))+VALUE(IF($H17="náj",$G17,0))</f>
        <v>0</v>
      </c>
      <c r="AB17" s="148" t="n">
        <f aca="false">VALUE(IF($D17="půj",$C17,0))+VALUE(IF($H17="půj",$G17,0))</f>
        <v>0</v>
      </c>
      <c r="AC17" s="148" t="n">
        <f aca="false">VALUE(IF($D17="vst",$C17,0))+VALUE(IF($H17="vst",$G17,0))</f>
        <v>0</v>
      </c>
      <c r="AD17" s="148" t="n">
        <f aca="false">VALUE(IF($D17="kop",$C17,0))+VALUE(IF($H17="kop",$G17,0))</f>
        <v>0</v>
      </c>
      <c r="AE17" s="148" t="n">
        <f aca="false">VALUE(IF($D17="osl",$C17,0))+VALUE(IF($H17="osl",$G17,0))</f>
        <v>0</v>
      </c>
      <c r="AF17" s="148" t="n">
        <f aca="false">VALUE(IF($D17="vra",$C17,0))+VALUE(IF($H17="vra",$G17,0))</f>
        <v>0</v>
      </c>
      <c r="AG17" s="148" t="n">
        <f aca="false">VALUE(IF($D17="zho",$C17,0))+VALUE(IF($H17="zho",$G17,0))</f>
        <v>0</v>
      </c>
      <c r="AH17" s="148" t="n">
        <f aca="false">VALUE(IF($D17="zbú",$C17,0))+VALUE(IF($H17="zbú",$G17,0))</f>
        <v>0</v>
      </c>
      <c r="AI17" s="148" t="n">
        <f aca="false">VALUE(IF($D17="pří",$C17,0))+VALUE(IF($H17="pří",$G17,0))</f>
        <v>0</v>
      </c>
      <c r="AJ17" s="148" t="n">
        <f aca="false">VALUE(IF($D17="dot",$C17,0))+VALUE(IF($H17="dot",$G17,0))</f>
        <v>0</v>
      </c>
      <c r="AK17" s="148" t="n">
        <f aca="false">VALUE(IF($D17="opř",$C17,0))+VALUE(IF($H17="opř",$G17,0))</f>
        <v>0</v>
      </c>
      <c r="AL17" s="148" t="n">
        <f aca="false">SUM(P17:AK17)</f>
        <v>0</v>
      </c>
      <c r="AN17" s="180" t="str">
        <f aca="false">CONCATENATE("BÚ"," ",'Příjmy a výdaje'!$E17)</f>
        <v>BÚ </v>
      </c>
      <c r="AO17" s="181" t="n">
        <f aca="false">IF('Příjmy a výdaje'!$G17="ano",'Příjmy a výdaje'!$B17,0)</f>
        <v>0</v>
      </c>
      <c r="AP17" s="182" t="n">
        <f aca="false">IF('Příjmy a výdaje'!$G17="ano",'Příjmy a výdaje'!$C17,0)</f>
        <v>0</v>
      </c>
      <c r="AQ17" s="183" t="n">
        <f aca="false">'Příjmy a výdaje'!$AP17</f>
        <v>0</v>
      </c>
    </row>
    <row r="18" customFormat="false" ht="12.75" hidden="false" customHeight="false" outlineLevel="0" collapsed="false">
      <c r="A18" s="169" t="n">
        <v>13</v>
      </c>
      <c r="B18" s="184"/>
      <c r="C18" s="194"/>
      <c r="D18" s="174"/>
      <c r="E18" s="187"/>
      <c r="F18" s="188"/>
      <c r="G18" s="189"/>
      <c r="H18" s="190"/>
      <c r="I18" s="195"/>
      <c r="J18" s="192" t="str">
        <f aca="false">IF(AL18=C18,IF(AL18=0,"-","ok"),"chyba")</f>
        <v>-</v>
      </c>
      <c r="K18" s="179"/>
      <c r="L18" s="179"/>
      <c r="M18" s="179"/>
      <c r="N18" s="179"/>
      <c r="P18" s="148" t="n">
        <f aca="false">VALUE(IF($D18="vyb",$C18,0))+VALUE(IF($H18="vyb",$G18,0))</f>
        <v>0</v>
      </c>
      <c r="Q18" s="148" t="n">
        <f aca="false">VALUE(IF($D18="mtv",$C18,0))+VALUE(IF($H18="mtv",$G18,0))</f>
        <v>0</v>
      </c>
      <c r="R18" s="148" t="n">
        <f aca="false">VALUE(IF($D18="mat",$C18,0))+VALUE(IF($H18="mat",$G18,0))</f>
        <v>0</v>
      </c>
      <c r="S18" s="148" t="n">
        <f aca="false">VALUE(IF($D18="pot",$C18,0))+VALUE(IF($H18="pot",$G18,0))</f>
        <v>0</v>
      </c>
      <c r="T18" s="148" t="n">
        <f aca="false">VALUE(IF($D18="táb",$C18,0))+VALUE(IF($H18="táb",$G18,0))</f>
        <v>0</v>
      </c>
      <c r="U18" s="148" t="n">
        <f aca="false">VALUE(IF($D18="oma",$C18,0))+VALUE(IF($H18="oma",$G18,0))</f>
        <v>0</v>
      </c>
      <c r="V18" s="148" t="n">
        <f aca="false">VALUE(IF($D18="ces",$C18,0))+VALUE(IF($H18="ces",$G18,0))</f>
        <v>0</v>
      </c>
      <c r="W18" s="148" t="n">
        <f aca="false">VALUE(IF($D18="poš",$C18,0))+VALUE(IF($H18="poš",$G18,0))</f>
        <v>0</v>
      </c>
      <c r="X18" s="148" t="n">
        <f aca="false">VALUE(IF($D18="tel",$C18,0))+VALUE(IF($H18="tel",$G18,0))</f>
        <v>0</v>
      </c>
      <c r="Y18" s="148" t="n">
        <f aca="false">VALUE(IF($D18="dop",$C18,0))+VALUE(IF($H18="dop",$G18,0))</f>
        <v>0</v>
      </c>
      <c r="Z18" s="148" t="n">
        <f aca="false">VALUE(IF($D18="nák",$C18,0))+VALUE(IF($H18="nák",$G18,0))</f>
        <v>0</v>
      </c>
      <c r="AA18" s="148" t="n">
        <f aca="false">VALUE(IF($D18="náj",$C18,0))+VALUE(IF($H18="náj",$G18,0))</f>
        <v>0</v>
      </c>
      <c r="AB18" s="148" t="n">
        <f aca="false">VALUE(IF($D18="půj",$C18,0))+VALUE(IF($H18="půj",$G18,0))</f>
        <v>0</v>
      </c>
      <c r="AC18" s="148" t="n">
        <f aca="false">VALUE(IF($D18="vst",$C18,0))+VALUE(IF($H18="vst",$G18,0))</f>
        <v>0</v>
      </c>
      <c r="AD18" s="148" t="n">
        <f aca="false">VALUE(IF($D18="kop",$C18,0))+VALUE(IF($H18="kop",$G18,0))</f>
        <v>0</v>
      </c>
      <c r="AE18" s="148" t="n">
        <f aca="false">VALUE(IF($D18="osl",$C18,0))+VALUE(IF($H18="osl",$G18,0))</f>
        <v>0</v>
      </c>
      <c r="AF18" s="148" t="n">
        <f aca="false">VALUE(IF($D18="vra",$C18,0))+VALUE(IF($H18="vra",$G18,0))</f>
        <v>0</v>
      </c>
      <c r="AG18" s="148" t="n">
        <f aca="false">VALUE(IF($D18="zho",$C18,0))+VALUE(IF($H18="zho",$G18,0))</f>
        <v>0</v>
      </c>
      <c r="AH18" s="148" t="n">
        <f aca="false">VALUE(IF($D18="zbú",$C18,0))+VALUE(IF($H18="zbú",$G18,0))</f>
        <v>0</v>
      </c>
      <c r="AI18" s="148" t="n">
        <f aca="false">VALUE(IF($D18="pří",$C18,0))+VALUE(IF($H18="pří",$G18,0))</f>
        <v>0</v>
      </c>
      <c r="AJ18" s="148" t="n">
        <f aca="false">VALUE(IF($D18="dot",$C18,0))+VALUE(IF($H18="dot",$G18,0))</f>
        <v>0</v>
      </c>
      <c r="AK18" s="148" t="n">
        <f aca="false">VALUE(IF($D18="opř",$C18,0))+VALUE(IF($H18="opř",$G18,0))</f>
        <v>0</v>
      </c>
      <c r="AL18" s="148" t="n">
        <f aca="false">SUM(P18:AK18)</f>
        <v>0</v>
      </c>
      <c r="AN18" s="180" t="str">
        <f aca="false">CONCATENATE("BÚ"," ",'Příjmy a výdaje'!$E18)</f>
        <v>BÚ </v>
      </c>
      <c r="AO18" s="181" t="n">
        <f aca="false">IF('Příjmy a výdaje'!$G18="ano",'Příjmy a výdaje'!$B18,0)</f>
        <v>0</v>
      </c>
      <c r="AP18" s="182" t="n">
        <f aca="false">IF('Příjmy a výdaje'!$G18="ano",'Příjmy a výdaje'!$C18,0)</f>
        <v>0</v>
      </c>
      <c r="AQ18" s="183" t="n">
        <f aca="false">'Příjmy a výdaje'!$AP18</f>
        <v>0</v>
      </c>
    </row>
    <row r="19" customFormat="false" ht="12.75" hidden="false" customHeight="false" outlineLevel="0" collapsed="false">
      <c r="A19" s="169" t="n">
        <v>14</v>
      </c>
      <c r="B19" s="184"/>
      <c r="C19" s="194"/>
      <c r="D19" s="174"/>
      <c r="E19" s="187"/>
      <c r="F19" s="188"/>
      <c r="G19" s="189"/>
      <c r="H19" s="190"/>
      <c r="I19" s="195"/>
      <c r="J19" s="192" t="str">
        <f aca="false">IF(AL19=C19,IF(AL19=0,"-","ok"),"chyba")</f>
        <v>-</v>
      </c>
      <c r="K19" s="179"/>
      <c r="L19" s="179"/>
      <c r="M19" s="179"/>
      <c r="N19" s="179"/>
      <c r="P19" s="148" t="n">
        <f aca="false">VALUE(IF($D19="vyb",$C19,0))+VALUE(IF($H19="vyb",$G19,0))</f>
        <v>0</v>
      </c>
      <c r="Q19" s="148" t="n">
        <f aca="false">VALUE(IF($D19="mtv",$C19,0))+VALUE(IF($H19="mtv",$G19,0))</f>
        <v>0</v>
      </c>
      <c r="R19" s="148" t="n">
        <f aca="false">VALUE(IF($D19="mat",$C19,0))+VALUE(IF($H19="mat",$G19,0))</f>
        <v>0</v>
      </c>
      <c r="S19" s="148" t="n">
        <f aca="false">VALUE(IF($D19="pot",$C19,0))+VALUE(IF($H19="pot",$G19,0))</f>
        <v>0</v>
      </c>
      <c r="T19" s="148" t="n">
        <f aca="false">VALUE(IF($D19="táb",$C19,0))+VALUE(IF($H19="táb",$G19,0))</f>
        <v>0</v>
      </c>
      <c r="U19" s="148" t="n">
        <f aca="false">VALUE(IF($D19="oma",$C19,0))+VALUE(IF($H19="oma",$G19,0))</f>
        <v>0</v>
      </c>
      <c r="V19" s="148" t="n">
        <f aca="false">VALUE(IF($D19="ces",$C19,0))+VALUE(IF($H19="ces",$G19,0))</f>
        <v>0</v>
      </c>
      <c r="W19" s="148" t="n">
        <f aca="false">VALUE(IF($D19="poš",$C19,0))+VALUE(IF($H19="poš",$G19,0))</f>
        <v>0</v>
      </c>
      <c r="X19" s="148" t="n">
        <f aca="false">VALUE(IF($D19="tel",$C19,0))+VALUE(IF($H19="tel",$G19,0))</f>
        <v>0</v>
      </c>
      <c r="Y19" s="148" t="n">
        <f aca="false">VALUE(IF($D19="dop",$C19,0))+VALUE(IF($H19="dop",$G19,0))</f>
        <v>0</v>
      </c>
      <c r="Z19" s="148" t="n">
        <f aca="false">VALUE(IF($D19="nák",$C19,0))+VALUE(IF($H19="nák",$G19,0))</f>
        <v>0</v>
      </c>
      <c r="AA19" s="148" t="n">
        <f aca="false">VALUE(IF($D19="náj",$C19,0))+VALUE(IF($H19="náj",$G19,0))</f>
        <v>0</v>
      </c>
      <c r="AB19" s="148" t="n">
        <f aca="false">VALUE(IF($D19="půj",$C19,0))+VALUE(IF($H19="půj",$G19,0))</f>
        <v>0</v>
      </c>
      <c r="AC19" s="148" t="n">
        <f aca="false">VALUE(IF($D19="vst",$C19,0))+VALUE(IF($H19="vst",$G19,0))</f>
        <v>0</v>
      </c>
      <c r="AD19" s="148" t="n">
        <f aca="false">VALUE(IF($D19="kop",$C19,0))+VALUE(IF($H19="kop",$G19,0))</f>
        <v>0</v>
      </c>
      <c r="AE19" s="148" t="n">
        <f aca="false">VALUE(IF($D19="osl",$C19,0))+VALUE(IF($H19="osl",$G19,0))</f>
        <v>0</v>
      </c>
      <c r="AF19" s="148" t="n">
        <f aca="false">VALUE(IF($D19="vra",$C19,0))+VALUE(IF($H19="vra",$G19,0))</f>
        <v>0</v>
      </c>
      <c r="AG19" s="148" t="n">
        <f aca="false">VALUE(IF($D19="zho",$C19,0))+VALUE(IF($H19="zho",$G19,0))</f>
        <v>0</v>
      </c>
      <c r="AH19" s="148" t="n">
        <f aca="false">VALUE(IF($D19="zbú",$C19,0))+VALUE(IF($H19="zbú",$G19,0))</f>
        <v>0</v>
      </c>
      <c r="AI19" s="148" t="n">
        <f aca="false">VALUE(IF($D19="pří",$C19,0))+VALUE(IF($H19="pří",$G19,0))</f>
        <v>0</v>
      </c>
      <c r="AJ19" s="148" t="n">
        <f aca="false">VALUE(IF($D19="dot",$C19,0))+VALUE(IF($H19="dot",$G19,0))</f>
        <v>0</v>
      </c>
      <c r="AK19" s="148" t="n">
        <f aca="false">VALUE(IF($D19="opř",$C19,0))+VALUE(IF($H19="opř",$G19,0))</f>
        <v>0</v>
      </c>
      <c r="AL19" s="148" t="n">
        <f aca="false">SUM(P19:AK19)</f>
        <v>0</v>
      </c>
      <c r="AN19" s="180" t="str">
        <f aca="false">CONCATENATE("BÚ"," ",'Příjmy a výdaje'!$E19)</f>
        <v>BÚ </v>
      </c>
      <c r="AO19" s="181" t="n">
        <f aca="false">IF('Příjmy a výdaje'!$G19="ano",'Příjmy a výdaje'!$B19,0)</f>
        <v>0</v>
      </c>
      <c r="AP19" s="182" t="n">
        <f aca="false">IF('Příjmy a výdaje'!$G19="ano",'Příjmy a výdaje'!$C19,0)</f>
        <v>0</v>
      </c>
      <c r="AQ19" s="183" t="n">
        <f aca="false">'Příjmy a výdaje'!$AP19</f>
        <v>0</v>
      </c>
    </row>
    <row r="20" customFormat="false" ht="12.75" hidden="false" customHeight="false" outlineLevel="0" collapsed="false">
      <c r="A20" s="169" t="n">
        <v>15</v>
      </c>
      <c r="B20" s="184"/>
      <c r="C20" s="194"/>
      <c r="D20" s="174"/>
      <c r="E20" s="187"/>
      <c r="F20" s="188"/>
      <c r="G20" s="189"/>
      <c r="H20" s="190"/>
      <c r="I20" s="195"/>
      <c r="J20" s="192" t="str">
        <f aca="false">IF(AL20=C20,IF(AL20=0,"-","ok"),"chyba")</f>
        <v>-</v>
      </c>
      <c r="K20" s="179"/>
      <c r="L20" s="179"/>
      <c r="M20" s="179"/>
      <c r="N20" s="179"/>
      <c r="P20" s="148" t="n">
        <f aca="false">VALUE(IF($D20="vyb",$C20,0))+VALUE(IF($H20="vyb",$G20,0))</f>
        <v>0</v>
      </c>
      <c r="Q20" s="148" t="n">
        <f aca="false">VALUE(IF($D20="mtv",$C20,0))+VALUE(IF($H20="mtv",$G20,0))</f>
        <v>0</v>
      </c>
      <c r="R20" s="148" t="n">
        <f aca="false">VALUE(IF($D20="mat",$C20,0))+VALUE(IF($H20="mat",$G20,0))</f>
        <v>0</v>
      </c>
      <c r="S20" s="148" t="n">
        <f aca="false">VALUE(IF($D20="pot",$C20,0))+VALUE(IF($H20="pot",$G20,0))</f>
        <v>0</v>
      </c>
      <c r="T20" s="148" t="n">
        <f aca="false">VALUE(IF($D20="táb",$C20,0))+VALUE(IF($H20="táb",$G20,0))</f>
        <v>0</v>
      </c>
      <c r="U20" s="148" t="n">
        <f aca="false">VALUE(IF($D20="oma",$C20,0))+VALUE(IF($H20="oma",$G20,0))</f>
        <v>0</v>
      </c>
      <c r="V20" s="148" t="n">
        <f aca="false">VALUE(IF($D20="ces",$C20,0))+VALUE(IF($H20="ces",$G20,0))</f>
        <v>0</v>
      </c>
      <c r="W20" s="148" t="n">
        <f aca="false">VALUE(IF($D20="poš",$C20,0))+VALUE(IF($H20="poš",$G20,0))</f>
        <v>0</v>
      </c>
      <c r="X20" s="148" t="n">
        <f aca="false">VALUE(IF($D20="tel",$C20,0))+VALUE(IF($H20="tel",$G20,0))</f>
        <v>0</v>
      </c>
      <c r="Y20" s="148" t="n">
        <f aca="false">VALUE(IF($D20="dop",$C20,0))+VALUE(IF($H20="dop",$G20,0))</f>
        <v>0</v>
      </c>
      <c r="Z20" s="148" t="n">
        <f aca="false">VALUE(IF($D20="nák",$C20,0))+VALUE(IF($H20="nák",$G20,0))</f>
        <v>0</v>
      </c>
      <c r="AA20" s="148" t="n">
        <f aca="false">VALUE(IF($D20="náj",$C20,0))+VALUE(IF($H20="náj",$G20,0))</f>
        <v>0</v>
      </c>
      <c r="AB20" s="148" t="n">
        <f aca="false">VALUE(IF($D20="půj",$C20,0))+VALUE(IF($H20="půj",$G20,0))</f>
        <v>0</v>
      </c>
      <c r="AC20" s="148" t="n">
        <f aca="false">VALUE(IF($D20="vst",$C20,0))+VALUE(IF($H20="vst",$G20,0))</f>
        <v>0</v>
      </c>
      <c r="AD20" s="148" t="n">
        <f aca="false">VALUE(IF($D20="kop",$C20,0))+VALUE(IF($H20="kop",$G20,0))</f>
        <v>0</v>
      </c>
      <c r="AE20" s="148" t="n">
        <f aca="false">VALUE(IF($D20="osl",$C20,0))+VALUE(IF($H20="osl",$G20,0))</f>
        <v>0</v>
      </c>
      <c r="AF20" s="148" t="n">
        <f aca="false">VALUE(IF($D20="vra",$C20,0))+VALUE(IF($H20="vra",$G20,0))</f>
        <v>0</v>
      </c>
      <c r="AG20" s="148" t="n">
        <f aca="false">VALUE(IF($D20="zho",$C20,0))+VALUE(IF($H20="zho",$G20,0))</f>
        <v>0</v>
      </c>
      <c r="AH20" s="148" t="n">
        <f aca="false">VALUE(IF($D20="zbú",$C20,0))+VALUE(IF($H20="zbú",$G20,0))</f>
        <v>0</v>
      </c>
      <c r="AI20" s="148" t="n">
        <f aca="false">VALUE(IF($D20="pří",$C20,0))+VALUE(IF($H20="pří",$G20,0))</f>
        <v>0</v>
      </c>
      <c r="AJ20" s="148" t="n">
        <f aca="false">VALUE(IF($D20="dot",$C20,0))+VALUE(IF($H20="dot",$G20,0))</f>
        <v>0</v>
      </c>
      <c r="AK20" s="148" t="n">
        <f aca="false">VALUE(IF($D20="opř",$C20,0))+VALUE(IF($H20="opř",$G20,0))</f>
        <v>0</v>
      </c>
      <c r="AL20" s="148" t="n">
        <f aca="false">SUM(P20:AK20)</f>
        <v>0</v>
      </c>
      <c r="AN20" s="180" t="str">
        <f aca="false">CONCATENATE("BÚ"," ",'Příjmy a výdaje'!$E20)</f>
        <v>BÚ </v>
      </c>
      <c r="AO20" s="181" t="n">
        <f aca="false">IF('Příjmy a výdaje'!$G20="ano",'Příjmy a výdaje'!$B20,0)</f>
        <v>0</v>
      </c>
      <c r="AP20" s="182" t="n">
        <f aca="false">IF('Příjmy a výdaje'!$G20="ano",'Příjmy a výdaje'!$C20,0)</f>
        <v>0</v>
      </c>
      <c r="AQ20" s="183" t="n">
        <f aca="false">'Příjmy a výdaje'!$AP20</f>
        <v>0</v>
      </c>
    </row>
    <row r="21" customFormat="false" ht="12.75" hidden="false" customHeight="false" outlineLevel="0" collapsed="false">
      <c r="A21" s="169" t="n">
        <v>16</v>
      </c>
      <c r="B21" s="184"/>
      <c r="C21" s="194"/>
      <c r="D21" s="174"/>
      <c r="E21" s="187"/>
      <c r="F21" s="188"/>
      <c r="G21" s="189"/>
      <c r="H21" s="190"/>
      <c r="I21" s="195"/>
      <c r="J21" s="192" t="str">
        <f aca="false">IF(AL21=C21,IF(AL21=0,"-","ok"),"chyba")</f>
        <v>-</v>
      </c>
      <c r="K21" s="179"/>
      <c r="L21" s="179"/>
      <c r="M21" s="179"/>
      <c r="N21" s="179"/>
      <c r="P21" s="148" t="n">
        <f aca="false">VALUE(IF($D21="vyb",$C21,0))+VALUE(IF($H21="vyb",$G21,0))</f>
        <v>0</v>
      </c>
      <c r="Q21" s="148" t="n">
        <f aca="false">VALUE(IF($D21="mtv",$C21,0))+VALUE(IF($H21="mtv",$G21,0))</f>
        <v>0</v>
      </c>
      <c r="R21" s="148" t="n">
        <f aca="false">VALUE(IF($D21="mat",$C21,0))+VALUE(IF($H21="mat",$G21,0))</f>
        <v>0</v>
      </c>
      <c r="S21" s="148" t="n">
        <f aca="false">VALUE(IF($D21="pot",$C21,0))+VALUE(IF($H21="pot",$G21,0))</f>
        <v>0</v>
      </c>
      <c r="T21" s="148" t="n">
        <f aca="false">VALUE(IF($D21="táb",$C21,0))+VALUE(IF($H21="táb",$G21,0))</f>
        <v>0</v>
      </c>
      <c r="U21" s="148" t="n">
        <f aca="false">VALUE(IF($D21="oma",$C21,0))+VALUE(IF($H21="oma",$G21,0))</f>
        <v>0</v>
      </c>
      <c r="V21" s="148" t="n">
        <f aca="false">VALUE(IF($D21="ces",$C21,0))+VALUE(IF($H21="ces",$G21,0))</f>
        <v>0</v>
      </c>
      <c r="W21" s="148" t="n">
        <f aca="false">VALUE(IF($D21="poš",$C21,0))+VALUE(IF($H21="poš",$G21,0))</f>
        <v>0</v>
      </c>
      <c r="X21" s="148" t="n">
        <f aca="false">VALUE(IF($D21="tel",$C21,0))+VALUE(IF($H21="tel",$G21,0))</f>
        <v>0</v>
      </c>
      <c r="Y21" s="148" t="n">
        <f aca="false">VALUE(IF($D21="dop",$C21,0))+VALUE(IF($H21="dop",$G21,0))</f>
        <v>0</v>
      </c>
      <c r="Z21" s="148" t="n">
        <f aca="false">VALUE(IF($D21="nák",$C21,0))+VALUE(IF($H21="nák",$G21,0))</f>
        <v>0</v>
      </c>
      <c r="AA21" s="148" t="n">
        <f aca="false">VALUE(IF($D21="náj",$C21,0))+VALUE(IF($H21="náj",$G21,0))</f>
        <v>0</v>
      </c>
      <c r="AB21" s="148" t="n">
        <f aca="false">VALUE(IF($D21="půj",$C21,0))+VALUE(IF($H21="půj",$G21,0))</f>
        <v>0</v>
      </c>
      <c r="AC21" s="148" t="n">
        <f aca="false">VALUE(IF($D21="vst",$C21,0))+VALUE(IF($H21="vst",$G21,0))</f>
        <v>0</v>
      </c>
      <c r="AD21" s="148" t="n">
        <f aca="false">VALUE(IF($D21="kop",$C21,0))+VALUE(IF($H21="kop",$G21,0))</f>
        <v>0</v>
      </c>
      <c r="AE21" s="148" t="n">
        <f aca="false">VALUE(IF($D21="osl",$C21,0))+VALUE(IF($H21="osl",$G21,0))</f>
        <v>0</v>
      </c>
      <c r="AF21" s="148" t="n">
        <f aca="false">VALUE(IF($D21="vra",$C21,0))+VALUE(IF($H21="vra",$G21,0))</f>
        <v>0</v>
      </c>
      <c r="AG21" s="148" t="n">
        <f aca="false">VALUE(IF($D21="zho",$C21,0))+VALUE(IF($H21="zho",$G21,0))</f>
        <v>0</v>
      </c>
      <c r="AH21" s="148" t="n">
        <f aca="false">VALUE(IF($D21="zbú",$C21,0))+VALUE(IF($H21="zbú",$G21,0))</f>
        <v>0</v>
      </c>
      <c r="AI21" s="148" t="n">
        <f aca="false">VALUE(IF($D21="pří",$C21,0))+VALUE(IF($H21="pří",$G21,0))</f>
        <v>0</v>
      </c>
      <c r="AJ21" s="148" t="n">
        <f aca="false">VALUE(IF($D21="dot",$C21,0))+VALUE(IF($H21="dot",$G21,0))</f>
        <v>0</v>
      </c>
      <c r="AK21" s="148" t="n">
        <f aca="false">VALUE(IF($D21="opř",$C21,0))+VALUE(IF($H21="opř",$G21,0))</f>
        <v>0</v>
      </c>
      <c r="AL21" s="148" t="n">
        <f aca="false">SUM(P21:AK21)</f>
        <v>0</v>
      </c>
      <c r="AN21" s="180" t="str">
        <f aca="false">CONCATENATE("BÚ"," ",'Příjmy a výdaje'!$E21)</f>
        <v>BÚ </v>
      </c>
      <c r="AO21" s="181" t="n">
        <f aca="false">IF('Příjmy a výdaje'!$G21="ano",'Příjmy a výdaje'!$B21,0)</f>
        <v>0</v>
      </c>
      <c r="AP21" s="182" t="n">
        <f aca="false">IF('Příjmy a výdaje'!$G21="ano",'Příjmy a výdaje'!$C21,0)</f>
        <v>0</v>
      </c>
      <c r="AQ21" s="183" t="n">
        <f aca="false">'Příjmy a výdaje'!$AP21</f>
        <v>0</v>
      </c>
    </row>
    <row r="22" customFormat="false" ht="12.75" hidden="false" customHeight="false" outlineLevel="0" collapsed="false">
      <c r="A22" s="169" t="n">
        <v>17</v>
      </c>
      <c r="B22" s="184"/>
      <c r="C22" s="194"/>
      <c r="D22" s="174"/>
      <c r="E22" s="187"/>
      <c r="F22" s="188"/>
      <c r="G22" s="189"/>
      <c r="H22" s="190"/>
      <c r="I22" s="195"/>
      <c r="J22" s="192" t="str">
        <f aca="false">IF(AL22=C22,IF(AL22=0,"-","ok"),"chyba")</f>
        <v>-</v>
      </c>
      <c r="K22" s="179"/>
      <c r="L22" s="179"/>
      <c r="M22" s="179"/>
      <c r="N22" s="179"/>
      <c r="P22" s="148" t="n">
        <f aca="false">VALUE(IF($D22="vyb",$C22,0))+VALUE(IF($H22="vyb",$G22,0))</f>
        <v>0</v>
      </c>
      <c r="Q22" s="148" t="n">
        <f aca="false">VALUE(IF($D22="mtv",$C22,0))+VALUE(IF($H22="mtv",$G22,0))</f>
        <v>0</v>
      </c>
      <c r="R22" s="148" t="n">
        <f aca="false">VALUE(IF($D22="mat",$C22,0))+VALUE(IF($H22="mat",$G22,0))</f>
        <v>0</v>
      </c>
      <c r="S22" s="148" t="n">
        <f aca="false">VALUE(IF($D22="pot",$C22,0))+VALUE(IF($H22="pot",$G22,0))</f>
        <v>0</v>
      </c>
      <c r="T22" s="148" t="n">
        <f aca="false">VALUE(IF($D22="táb",$C22,0))+VALUE(IF($H22="táb",$G22,0))</f>
        <v>0</v>
      </c>
      <c r="U22" s="148" t="n">
        <f aca="false">VALUE(IF($D22="oma",$C22,0))+VALUE(IF($H22="oma",$G22,0))</f>
        <v>0</v>
      </c>
      <c r="V22" s="148" t="n">
        <f aca="false">VALUE(IF($D22="ces",$C22,0))+VALUE(IF($H22="ces",$G22,0))</f>
        <v>0</v>
      </c>
      <c r="W22" s="148" t="n">
        <f aca="false">VALUE(IF($D22="poš",$C22,0))+VALUE(IF($H22="poš",$G22,0))</f>
        <v>0</v>
      </c>
      <c r="X22" s="148" t="n">
        <f aca="false">VALUE(IF($D22="tel",$C22,0))+VALUE(IF($H22="tel",$G22,0))</f>
        <v>0</v>
      </c>
      <c r="Y22" s="148" t="n">
        <f aca="false">VALUE(IF($D22="dop",$C22,0))+VALUE(IF($H22="dop",$G22,0))</f>
        <v>0</v>
      </c>
      <c r="Z22" s="148" t="n">
        <f aca="false">VALUE(IF($D22="nák",$C22,0))+VALUE(IF($H22="nák",$G22,0))</f>
        <v>0</v>
      </c>
      <c r="AA22" s="148" t="n">
        <f aca="false">VALUE(IF($D22="náj",$C22,0))+VALUE(IF($H22="náj",$G22,0))</f>
        <v>0</v>
      </c>
      <c r="AB22" s="148" t="n">
        <f aca="false">VALUE(IF($D22="půj",$C22,0))+VALUE(IF($H22="půj",$G22,0))</f>
        <v>0</v>
      </c>
      <c r="AC22" s="148" t="n">
        <f aca="false">VALUE(IF($D22="vst",$C22,0))+VALUE(IF($H22="vst",$G22,0))</f>
        <v>0</v>
      </c>
      <c r="AD22" s="148" t="n">
        <f aca="false">VALUE(IF($D22="kop",$C22,0))+VALUE(IF($H22="kop",$G22,0))</f>
        <v>0</v>
      </c>
      <c r="AE22" s="148" t="n">
        <f aca="false">VALUE(IF($D22="osl",$C22,0))+VALUE(IF($H22="osl",$G22,0))</f>
        <v>0</v>
      </c>
      <c r="AF22" s="148" t="n">
        <f aca="false">VALUE(IF($D22="vra",$C22,0))+VALUE(IF($H22="vra",$G22,0))</f>
        <v>0</v>
      </c>
      <c r="AG22" s="148" t="n">
        <f aca="false">VALUE(IF($D22="zho",$C22,0))+VALUE(IF($H22="zho",$G22,0))</f>
        <v>0</v>
      </c>
      <c r="AH22" s="148" t="n">
        <f aca="false">VALUE(IF($D22="zbú",$C22,0))+VALUE(IF($H22="zbú",$G22,0))</f>
        <v>0</v>
      </c>
      <c r="AI22" s="148" t="n">
        <f aca="false">VALUE(IF($D22="pří",$C22,0))+VALUE(IF($H22="pří",$G22,0))</f>
        <v>0</v>
      </c>
      <c r="AJ22" s="148" t="n">
        <f aca="false">VALUE(IF($D22="dot",$C22,0))+VALUE(IF($H22="dot",$G22,0))</f>
        <v>0</v>
      </c>
      <c r="AK22" s="148" t="n">
        <f aca="false">VALUE(IF($D22="opř",$C22,0))+VALUE(IF($H22="opř",$G22,0))</f>
        <v>0</v>
      </c>
      <c r="AL22" s="148" t="n">
        <f aca="false">SUM(P22:AK22)</f>
        <v>0</v>
      </c>
      <c r="AN22" s="180" t="str">
        <f aca="false">CONCATENATE("BÚ"," ",'Příjmy a výdaje'!$E22)</f>
        <v>BÚ </v>
      </c>
      <c r="AO22" s="181" t="n">
        <f aca="false">IF('Příjmy a výdaje'!$G22="ano",'Příjmy a výdaje'!$B22,0)</f>
        <v>0</v>
      </c>
      <c r="AP22" s="182" t="n">
        <f aca="false">IF('Příjmy a výdaje'!$G22="ano",'Příjmy a výdaje'!$C22,0)</f>
        <v>0</v>
      </c>
      <c r="AQ22" s="183" t="n">
        <f aca="false">'Příjmy a výdaje'!$AP22</f>
        <v>0</v>
      </c>
    </row>
    <row r="23" customFormat="false" ht="12.75" hidden="false" customHeight="false" outlineLevel="0" collapsed="false">
      <c r="A23" s="169" t="n">
        <v>18</v>
      </c>
      <c r="B23" s="184"/>
      <c r="C23" s="194"/>
      <c r="D23" s="174"/>
      <c r="E23" s="187"/>
      <c r="F23" s="188"/>
      <c r="G23" s="189"/>
      <c r="H23" s="190"/>
      <c r="I23" s="195"/>
      <c r="J23" s="192" t="str">
        <f aca="false">IF(AL23=C23,IF(AL23=0,"-","ok"),"chyba")</f>
        <v>-</v>
      </c>
      <c r="K23" s="179"/>
      <c r="L23" s="179"/>
      <c r="M23" s="179"/>
      <c r="N23" s="179"/>
      <c r="P23" s="148" t="n">
        <f aca="false">VALUE(IF($D23="vyb",$C23,0))+VALUE(IF($H23="vyb",$G23,0))</f>
        <v>0</v>
      </c>
      <c r="Q23" s="148" t="n">
        <f aca="false">VALUE(IF($D23="mtv",$C23,0))+VALUE(IF($H23="mtv",$G23,0))</f>
        <v>0</v>
      </c>
      <c r="R23" s="148" t="n">
        <f aca="false">VALUE(IF($D23="mat",$C23,0))+VALUE(IF($H23="mat",$G23,0))</f>
        <v>0</v>
      </c>
      <c r="S23" s="148" t="n">
        <f aca="false">VALUE(IF($D23="pot",$C23,0))+VALUE(IF($H23="pot",$G23,0))</f>
        <v>0</v>
      </c>
      <c r="T23" s="148" t="n">
        <f aca="false">VALUE(IF($D23="táb",$C23,0))+VALUE(IF($H23="táb",$G23,0))</f>
        <v>0</v>
      </c>
      <c r="U23" s="148" t="n">
        <f aca="false">VALUE(IF($D23="oma",$C23,0))+VALUE(IF($H23="oma",$G23,0))</f>
        <v>0</v>
      </c>
      <c r="V23" s="148" t="n">
        <f aca="false">VALUE(IF($D23="ces",$C23,0))+VALUE(IF($H23="ces",$G23,0))</f>
        <v>0</v>
      </c>
      <c r="W23" s="148" t="n">
        <f aca="false">VALUE(IF($D23="poš",$C23,0))+VALUE(IF($H23="poš",$G23,0))</f>
        <v>0</v>
      </c>
      <c r="X23" s="148" t="n">
        <f aca="false">VALUE(IF($D23="tel",$C23,0))+VALUE(IF($H23="tel",$G23,0))</f>
        <v>0</v>
      </c>
      <c r="Y23" s="148" t="n">
        <f aca="false">VALUE(IF($D23="dop",$C23,0))+VALUE(IF($H23="dop",$G23,0))</f>
        <v>0</v>
      </c>
      <c r="Z23" s="148" t="n">
        <f aca="false">VALUE(IF($D23="nák",$C23,0))+VALUE(IF($H23="nák",$G23,0))</f>
        <v>0</v>
      </c>
      <c r="AA23" s="148" t="n">
        <f aca="false">VALUE(IF($D23="náj",$C23,0))+VALUE(IF($H23="náj",$G23,0))</f>
        <v>0</v>
      </c>
      <c r="AB23" s="148" t="n">
        <f aca="false">VALUE(IF($D23="půj",$C23,0))+VALUE(IF($H23="půj",$G23,0))</f>
        <v>0</v>
      </c>
      <c r="AC23" s="148" t="n">
        <f aca="false">VALUE(IF($D23="vst",$C23,0))+VALUE(IF($H23="vst",$G23,0))</f>
        <v>0</v>
      </c>
      <c r="AD23" s="148" t="n">
        <f aca="false">VALUE(IF($D23="kop",$C23,0))+VALUE(IF($H23="kop",$G23,0))</f>
        <v>0</v>
      </c>
      <c r="AE23" s="148" t="n">
        <f aca="false">VALUE(IF($D23="osl",$C23,0))+VALUE(IF($H23="osl",$G23,0))</f>
        <v>0</v>
      </c>
      <c r="AF23" s="148" t="n">
        <f aca="false">VALUE(IF($D23="vra",$C23,0))+VALUE(IF($H23="vra",$G23,0))</f>
        <v>0</v>
      </c>
      <c r="AG23" s="148" t="n">
        <f aca="false">VALUE(IF($D23="zho",$C23,0))+VALUE(IF($H23="zho",$G23,0))</f>
        <v>0</v>
      </c>
      <c r="AH23" s="148" t="n">
        <f aca="false">VALUE(IF($D23="zbú",$C23,0))+VALUE(IF($H23="zbú",$G23,0))</f>
        <v>0</v>
      </c>
      <c r="AI23" s="148" t="n">
        <f aca="false">VALUE(IF($D23="pří",$C23,0))+VALUE(IF($H23="pří",$G23,0))</f>
        <v>0</v>
      </c>
      <c r="AJ23" s="148" t="n">
        <f aca="false">VALUE(IF($D23="dot",$C23,0))+VALUE(IF($H23="dot",$G23,0))</f>
        <v>0</v>
      </c>
      <c r="AK23" s="148" t="n">
        <f aca="false">VALUE(IF($D23="opř",$C23,0))+VALUE(IF($H23="opř",$G23,0))</f>
        <v>0</v>
      </c>
      <c r="AL23" s="148" t="n">
        <f aca="false">SUM(P23:AK23)</f>
        <v>0</v>
      </c>
      <c r="AN23" s="180" t="str">
        <f aca="false">CONCATENATE("BÚ"," ",'Příjmy a výdaje'!$E23)</f>
        <v>BÚ </v>
      </c>
      <c r="AO23" s="181" t="n">
        <f aca="false">IF('Příjmy a výdaje'!$G23="ano",'Příjmy a výdaje'!$B23,0)</f>
        <v>0</v>
      </c>
      <c r="AP23" s="182" t="n">
        <f aca="false">IF('Příjmy a výdaje'!$G23="ano",'Příjmy a výdaje'!$C23,0)</f>
        <v>0</v>
      </c>
      <c r="AQ23" s="183" t="n">
        <f aca="false">'Příjmy a výdaje'!$AP23</f>
        <v>0</v>
      </c>
    </row>
    <row r="24" customFormat="false" ht="12.75" hidden="false" customHeight="false" outlineLevel="0" collapsed="false">
      <c r="A24" s="169" t="n">
        <v>19</v>
      </c>
      <c r="B24" s="184"/>
      <c r="C24" s="194"/>
      <c r="D24" s="174"/>
      <c r="E24" s="187"/>
      <c r="F24" s="188"/>
      <c r="G24" s="189"/>
      <c r="H24" s="190"/>
      <c r="I24" s="195"/>
      <c r="J24" s="192" t="str">
        <f aca="false">IF(AL24=C24,IF(AL24=0,"-","ok"),"chyba")</f>
        <v>-</v>
      </c>
      <c r="K24" s="179"/>
      <c r="L24" s="179"/>
      <c r="M24" s="179"/>
      <c r="N24" s="179"/>
      <c r="P24" s="148" t="n">
        <f aca="false">VALUE(IF($D24="vyb",$C24,0))+VALUE(IF($H24="vyb",$G24,0))</f>
        <v>0</v>
      </c>
      <c r="Q24" s="148" t="n">
        <f aca="false">VALUE(IF($D24="mtv",$C24,0))+VALUE(IF($H24="mtv",$G24,0))</f>
        <v>0</v>
      </c>
      <c r="R24" s="148" t="n">
        <f aca="false">VALUE(IF($D24="mat",$C24,0))+VALUE(IF($H24="mat",$G24,0))</f>
        <v>0</v>
      </c>
      <c r="S24" s="148" t="n">
        <f aca="false">VALUE(IF($D24="pot",$C24,0))+VALUE(IF($H24="pot",$G24,0))</f>
        <v>0</v>
      </c>
      <c r="T24" s="148" t="n">
        <f aca="false">VALUE(IF($D24="táb",$C24,0))+VALUE(IF($H24="táb",$G24,0))</f>
        <v>0</v>
      </c>
      <c r="U24" s="148" t="n">
        <f aca="false">VALUE(IF($D24="oma",$C24,0))+VALUE(IF($H24="oma",$G24,0))</f>
        <v>0</v>
      </c>
      <c r="V24" s="148" t="n">
        <f aca="false">VALUE(IF($D24="ces",$C24,0))+VALUE(IF($H24="ces",$G24,0))</f>
        <v>0</v>
      </c>
      <c r="W24" s="148" t="n">
        <f aca="false">VALUE(IF($D24="poš",$C24,0))+VALUE(IF($H24="poš",$G24,0))</f>
        <v>0</v>
      </c>
      <c r="X24" s="148" t="n">
        <f aca="false">VALUE(IF($D24="tel",$C24,0))+VALUE(IF($H24="tel",$G24,0))</f>
        <v>0</v>
      </c>
      <c r="Y24" s="148" t="n">
        <f aca="false">VALUE(IF($D24="dop",$C24,0))+VALUE(IF($H24="dop",$G24,0))</f>
        <v>0</v>
      </c>
      <c r="Z24" s="148" t="n">
        <f aca="false">VALUE(IF($D24="nák",$C24,0))+VALUE(IF($H24="nák",$G24,0))</f>
        <v>0</v>
      </c>
      <c r="AA24" s="148" t="n">
        <f aca="false">VALUE(IF($D24="náj",$C24,0))+VALUE(IF($H24="náj",$G24,0))</f>
        <v>0</v>
      </c>
      <c r="AB24" s="148" t="n">
        <f aca="false">VALUE(IF($D24="půj",$C24,0))+VALUE(IF($H24="půj",$G24,0))</f>
        <v>0</v>
      </c>
      <c r="AC24" s="148" t="n">
        <f aca="false">VALUE(IF($D24="vst",$C24,0))+VALUE(IF($H24="vst",$G24,0))</f>
        <v>0</v>
      </c>
      <c r="AD24" s="148" t="n">
        <f aca="false">VALUE(IF($D24="kop",$C24,0))+VALUE(IF($H24="kop",$G24,0))</f>
        <v>0</v>
      </c>
      <c r="AE24" s="148" t="n">
        <f aca="false">VALUE(IF($D24="osl",$C24,0))+VALUE(IF($H24="osl",$G24,0))</f>
        <v>0</v>
      </c>
      <c r="AF24" s="148" t="n">
        <f aca="false">VALUE(IF($D24="vra",$C24,0))+VALUE(IF($H24="vra",$G24,0))</f>
        <v>0</v>
      </c>
      <c r="AG24" s="148" t="n">
        <f aca="false">VALUE(IF($D24="zho",$C24,0))+VALUE(IF($H24="zho",$G24,0))</f>
        <v>0</v>
      </c>
      <c r="AH24" s="148" t="n">
        <f aca="false">VALUE(IF($D24="zbú",$C24,0))+VALUE(IF($H24="zbú",$G24,0))</f>
        <v>0</v>
      </c>
      <c r="AI24" s="148" t="n">
        <f aca="false">VALUE(IF($D24="pří",$C24,0))+VALUE(IF($H24="pří",$G24,0))</f>
        <v>0</v>
      </c>
      <c r="AJ24" s="148" t="n">
        <f aca="false">VALUE(IF($D24="dot",$C24,0))+VALUE(IF($H24="dot",$G24,0))</f>
        <v>0</v>
      </c>
      <c r="AK24" s="148" t="n">
        <f aca="false">VALUE(IF($D24="opř",$C24,0))+VALUE(IF($H24="opř",$G24,0))</f>
        <v>0</v>
      </c>
      <c r="AL24" s="148" t="n">
        <f aca="false">SUM(P24:AK24)</f>
        <v>0</v>
      </c>
      <c r="AN24" s="180" t="str">
        <f aca="false">CONCATENATE("BÚ"," ",'Příjmy a výdaje'!$E24)</f>
        <v>BÚ </v>
      </c>
      <c r="AO24" s="181" t="n">
        <f aca="false">IF('Příjmy a výdaje'!$G24="ano",'Příjmy a výdaje'!$B24,0)</f>
        <v>0</v>
      </c>
      <c r="AP24" s="182" t="n">
        <f aca="false">IF('Příjmy a výdaje'!$G24="ano",'Příjmy a výdaje'!$C24,0)</f>
        <v>0</v>
      </c>
      <c r="AQ24" s="183" t="n">
        <f aca="false">'Příjmy a výdaje'!$AP24</f>
        <v>0</v>
      </c>
    </row>
    <row r="25" customFormat="false" ht="12.75" hidden="false" customHeight="false" outlineLevel="0" collapsed="false">
      <c r="A25" s="169" t="n">
        <v>20</v>
      </c>
      <c r="B25" s="184"/>
      <c r="C25" s="194"/>
      <c r="D25" s="174"/>
      <c r="E25" s="187"/>
      <c r="F25" s="188"/>
      <c r="G25" s="189"/>
      <c r="H25" s="190"/>
      <c r="I25" s="195"/>
      <c r="J25" s="192" t="str">
        <f aca="false">IF(AL25=C25,IF(AL25=0,"-","ok"),"chyba")</f>
        <v>-</v>
      </c>
      <c r="K25" s="179"/>
      <c r="L25" s="179"/>
      <c r="M25" s="179"/>
      <c r="N25" s="179"/>
      <c r="P25" s="148" t="n">
        <f aca="false">VALUE(IF($D25="vyb",$C25,0))+VALUE(IF($H25="vyb",$G25,0))</f>
        <v>0</v>
      </c>
      <c r="Q25" s="148" t="n">
        <f aca="false">VALUE(IF($D25="mtv",$C25,0))+VALUE(IF($H25="mtv",$G25,0))</f>
        <v>0</v>
      </c>
      <c r="R25" s="148" t="n">
        <f aca="false">VALUE(IF($D25="mat",$C25,0))+VALUE(IF($H25="mat",$G25,0))</f>
        <v>0</v>
      </c>
      <c r="S25" s="148" t="n">
        <f aca="false">VALUE(IF($D25="pot",$C25,0))+VALUE(IF($H25="pot",$G25,0))</f>
        <v>0</v>
      </c>
      <c r="T25" s="148" t="n">
        <f aca="false">VALUE(IF($D25="táb",$C25,0))+VALUE(IF($H25="táb",$G25,0))</f>
        <v>0</v>
      </c>
      <c r="U25" s="148" t="n">
        <f aca="false">VALUE(IF($D25="oma",$C25,0))+VALUE(IF($H25="oma",$G25,0))</f>
        <v>0</v>
      </c>
      <c r="V25" s="148" t="n">
        <f aca="false">VALUE(IF($D25="ces",$C25,0))+VALUE(IF($H25="ces",$G25,0))</f>
        <v>0</v>
      </c>
      <c r="W25" s="148" t="n">
        <f aca="false">VALUE(IF($D25="poš",$C25,0))+VALUE(IF($H25="poš",$G25,0))</f>
        <v>0</v>
      </c>
      <c r="X25" s="148" t="n">
        <f aca="false">VALUE(IF($D25="tel",$C25,0))+VALUE(IF($H25="tel",$G25,0))</f>
        <v>0</v>
      </c>
      <c r="Y25" s="148" t="n">
        <f aca="false">VALUE(IF($D25="dop",$C25,0))+VALUE(IF($H25="dop",$G25,0))</f>
        <v>0</v>
      </c>
      <c r="Z25" s="148" t="n">
        <f aca="false">VALUE(IF($D25="nák",$C25,0))+VALUE(IF($H25="nák",$G25,0))</f>
        <v>0</v>
      </c>
      <c r="AA25" s="148" t="n">
        <f aca="false">VALUE(IF($D25="náj",$C25,0))+VALUE(IF($H25="náj",$G25,0))</f>
        <v>0</v>
      </c>
      <c r="AB25" s="148" t="n">
        <f aca="false">VALUE(IF($D25="půj",$C25,0))+VALUE(IF($H25="půj",$G25,0))</f>
        <v>0</v>
      </c>
      <c r="AC25" s="148" t="n">
        <f aca="false">VALUE(IF($D25="vst",$C25,0))+VALUE(IF($H25="vst",$G25,0))</f>
        <v>0</v>
      </c>
      <c r="AD25" s="148" t="n">
        <f aca="false">VALUE(IF($D25="kop",$C25,0))+VALUE(IF($H25="kop",$G25,0))</f>
        <v>0</v>
      </c>
      <c r="AE25" s="148" t="n">
        <f aca="false">VALUE(IF($D25="osl",$C25,0))+VALUE(IF($H25="osl",$G25,0))</f>
        <v>0</v>
      </c>
      <c r="AF25" s="148" t="n">
        <f aca="false">VALUE(IF($D25="vra",$C25,0))+VALUE(IF($H25="vra",$G25,0))</f>
        <v>0</v>
      </c>
      <c r="AG25" s="148" t="n">
        <f aca="false">VALUE(IF($D25="zho",$C25,0))+VALUE(IF($H25="zho",$G25,0))</f>
        <v>0</v>
      </c>
      <c r="AH25" s="148" t="n">
        <f aca="false">VALUE(IF($D25="zbú",$C25,0))+VALUE(IF($H25="zbú",$G25,0))</f>
        <v>0</v>
      </c>
      <c r="AI25" s="148" t="n">
        <f aca="false">VALUE(IF($D25="pří",$C25,0))+VALUE(IF($H25="pří",$G25,0))</f>
        <v>0</v>
      </c>
      <c r="AJ25" s="148" t="n">
        <f aca="false">VALUE(IF($D25="dot",$C25,0))+VALUE(IF($H25="dot",$G25,0))</f>
        <v>0</v>
      </c>
      <c r="AK25" s="148" t="n">
        <f aca="false">VALUE(IF($D25="opř",$C25,0))+VALUE(IF($H25="opř",$G25,0))</f>
        <v>0</v>
      </c>
      <c r="AL25" s="148" t="n">
        <f aca="false">SUM(P25:AK25)</f>
        <v>0</v>
      </c>
      <c r="AN25" s="180" t="str">
        <f aca="false">CONCATENATE("BÚ"," ",'Příjmy a výdaje'!$E25)</f>
        <v>BÚ </v>
      </c>
      <c r="AO25" s="181" t="n">
        <f aca="false">IF('Příjmy a výdaje'!$G25="ano",'Příjmy a výdaje'!$B25,0)</f>
        <v>0</v>
      </c>
      <c r="AP25" s="182" t="n">
        <f aca="false">IF('Příjmy a výdaje'!$G25="ano",'Příjmy a výdaje'!$C25,0)</f>
        <v>0</v>
      </c>
      <c r="AQ25" s="183" t="n">
        <f aca="false">'Příjmy a výdaje'!$AP25</f>
        <v>0</v>
      </c>
    </row>
    <row r="26" customFormat="false" ht="13.5" hidden="false" customHeight="false" outlineLevel="0" collapsed="false">
      <c r="A26" s="196" t="n">
        <v>21</v>
      </c>
      <c r="B26" s="197"/>
      <c r="C26" s="198"/>
      <c r="D26" s="199"/>
      <c r="E26" s="200"/>
      <c r="F26" s="201"/>
      <c r="G26" s="201"/>
      <c r="H26" s="202"/>
      <c r="I26" s="195"/>
      <c r="J26" s="203" t="str">
        <f aca="false">IF(AL26=C26,IF(AL26=0,"-","ok"),"chyba")</f>
        <v>-</v>
      </c>
      <c r="K26" s="179"/>
      <c r="L26" s="179"/>
      <c r="M26" s="179"/>
      <c r="N26" s="179"/>
      <c r="P26" s="148" t="n">
        <f aca="false">VALUE(IF($D26="vyb",$C26,0))+VALUE(IF($H26="vyb",$G26,0))</f>
        <v>0</v>
      </c>
      <c r="Q26" s="148" t="n">
        <f aca="false">VALUE(IF($D26="mtv",$C26,0))+VALUE(IF($H26="mtv",$G26,0))</f>
        <v>0</v>
      </c>
      <c r="R26" s="148" t="n">
        <f aca="false">VALUE(IF($D26="mat",$C26,0))+VALUE(IF($H26="mat",$G26,0))</f>
        <v>0</v>
      </c>
      <c r="S26" s="148" t="n">
        <f aca="false">VALUE(IF($D26="pot",$C26,0))+VALUE(IF($H26="pot",$G26,0))</f>
        <v>0</v>
      </c>
      <c r="T26" s="148" t="n">
        <f aca="false">VALUE(IF($D26="táb",$C26,0))+VALUE(IF($H26="táb",$G26,0))</f>
        <v>0</v>
      </c>
      <c r="U26" s="148" t="n">
        <f aca="false">VALUE(IF($D26="oma",$C26,0))+VALUE(IF($H26="oma",$G26,0))</f>
        <v>0</v>
      </c>
      <c r="V26" s="148" t="n">
        <f aca="false">VALUE(IF($D26="ces",$C26,0))+VALUE(IF($H26="ces",$G26,0))</f>
        <v>0</v>
      </c>
      <c r="W26" s="148" t="n">
        <f aca="false">VALUE(IF($D26="poš",$C26,0))+VALUE(IF($H26="poš",$G26,0))</f>
        <v>0</v>
      </c>
      <c r="X26" s="148" t="n">
        <f aca="false">VALUE(IF($D26="tel",$C26,0))+VALUE(IF($H26="tel",$G26,0))</f>
        <v>0</v>
      </c>
      <c r="Y26" s="148" t="n">
        <f aca="false">VALUE(IF($D26="dop",$C26,0))+VALUE(IF($H26="dop",$G26,0))</f>
        <v>0</v>
      </c>
      <c r="Z26" s="148" t="n">
        <f aca="false">VALUE(IF($D26="nák",$C26,0))+VALUE(IF($H26="nák",$G26,0))</f>
        <v>0</v>
      </c>
      <c r="AA26" s="148" t="n">
        <f aca="false">VALUE(IF($D26="náj",$C26,0))+VALUE(IF($H26="náj",$G26,0))</f>
        <v>0</v>
      </c>
      <c r="AB26" s="148" t="n">
        <f aca="false">VALUE(IF($D26="půj",$C26,0))+VALUE(IF($H26="půj",$G26,0))</f>
        <v>0</v>
      </c>
      <c r="AC26" s="148" t="n">
        <f aca="false">VALUE(IF($D26="vst",$C26,0))+VALUE(IF($H26="vst",$G26,0))</f>
        <v>0</v>
      </c>
      <c r="AD26" s="148" t="n">
        <f aca="false">VALUE(IF($D26="kop",$C26,0))+VALUE(IF($H26="kop",$G26,0))</f>
        <v>0</v>
      </c>
      <c r="AE26" s="148" t="n">
        <f aca="false">VALUE(IF($D26="osl",$C26,0))+VALUE(IF($H26="osl",$G26,0))</f>
        <v>0</v>
      </c>
      <c r="AF26" s="148" t="n">
        <f aca="false">VALUE(IF($D26="vra",$C26,0))+VALUE(IF($H26="vra",$G26,0))</f>
        <v>0</v>
      </c>
      <c r="AG26" s="148" t="n">
        <f aca="false">VALUE(IF($D26="zho",$C26,0))+VALUE(IF($H26="zho",$G26,0))</f>
        <v>0</v>
      </c>
      <c r="AH26" s="148" t="n">
        <f aca="false">VALUE(IF($D26="zbú",$C26,0))+VALUE(IF($H26="zbú",$G26,0))</f>
        <v>0</v>
      </c>
      <c r="AI26" s="148" t="n">
        <f aca="false">VALUE(IF($D26="pří",$C26,0))+VALUE(IF($H26="pří",$G26,0))</f>
        <v>0</v>
      </c>
      <c r="AJ26" s="148" t="n">
        <f aca="false">VALUE(IF($D26="dot",$C26,0))+VALUE(IF($H26="dot",$G26,0))</f>
        <v>0</v>
      </c>
      <c r="AK26" s="148" t="n">
        <f aca="false">VALUE(IF($D26="opř",$C26,0))+VALUE(IF($H26="opř",$G26,0))</f>
        <v>0</v>
      </c>
      <c r="AL26" s="148" t="n">
        <f aca="false">SUM(P26:AK26)</f>
        <v>0</v>
      </c>
      <c r="AN26" s="180"/>
      <c r="AO26" s="181"/>
      <c r="AP26" s="182"/>
      <c r="AQ26" s="183"/>
    </row>
    <row r="27" customFormat="false" ht="12.75" hidden="false" customHeight="false" outlineLevel="0" collapsed="false">
      <c r="A27" s="204"/>
      <c r="B27" s="205"/>
      <c r="C27" s="206"/>
      <c r="D27" s="207"/>
      <c r="E27" s="207"/>
      <c r="F27" s="207"/>
      <c r="G27" s="208"/>
      <c r="H27" s="207"/>
      <c r="I27" s="209"/>
      <c r="J27" s="210"/>
      <c r="K27" s="179"/>
      <c r="L27" s="179"/>
      <c r="M27" s="179"/>
      <c r="N27" s="179"/>
      <c r="P27" s="211" t="n">
        <f aca="false">SUM(P6:P26)</f>
        <v>0</v>
      </c>
      <c r="Q27" s="211" t="n">
        <f aca="false">SUM(Q6:Q26)</f>
        <v>0</v>
      </c>
      <c r="R27" s="211" t="n">
        <f aca="false">SUM(R6:R26)</f>
        <v>0</v>
      </c>
      <c r="S27" s="211" t="n">
        <f aca="false">SUM(S6:S26)</f>
        <v>0</v>
      </c>
      <c r="T27" s="211" t="n">
        <f aca="false">SUM(T6:T26)</f>
        <v>0</v>
      </c>
      <c r="U27" s="211" t="n">
        <f aca="false">SUM(U6:U26)</f>
        <v>0</v>
      </c>
      <c r="V27" s="211" t="n">
        <f aca="false">SUM(V6:V26)</f>
        <v>0</v>
      </c>
      <c r="W27" s="211" t="n">
        <f aca="false">SUM(W6:W26)</f>
        <v>0</v>
      </c>
      <c r="X27" s="211" t="n">
        <f aca="false">SUM(X6:X26)</f>
        <v>0</v>
      </c>
      <c r="Y27" s="211" t="n">
        <f aca="false">SUM(Y6:Y26)</f>
        <v>0</v>
      </c>
      <c r="Z27" s="211" t="n">
        <f aca="false">SUM(Z6:Z26)</f>
        <v>0</v>
      </c>
      <c r="AA27" s="211" t="n">
        <f aca="false">SUM(AA6:AA26)</f>
        <v>0</v>
      </c>
      <c r="AB27" s="211" t="n">
        <f aca="false">SUM(AB6:AB26)</f>
        <v>0</v>
      </c>
      <c r="AC27" s="211" t="n">
        <f aca="false">SUM(AC6:AC26)</f>
        <v>0</v>
      </c>
      <c r="AD27" s="211" t="n">
        <f aca="false">SUM(AD6:AD26)</f>
        <v>0</v>
      </c>
      <c r="AE27" s="211" t="n">
        <f aca="false">SUM(AE6:AE26)</f>
        <v>0</v>
      </c>
      <c r="AF27" s="211" t="n">
        <f aca="false">SUM(AF6:AF26)</f>
        <v>0</v>
      </c>
      <c r="AG27" s="211" t="n">
        <f aca="false">SUM(AG6:AG26)</f>
        <v>0</v>
      </c>
      <c r="AH27" s="211" t="n">
        <f aca="false">SUM(AH6:AH26)</f>
        <v>0</v>
      </c>
      <c r="AI27" s="211" t="n">
        <f aca="false">SUM(AI6:AI26)</f>
        <v>0</v>
      </c>
      <c r="AJ27" s="211" t="n">
        <f aca="false">SUM(AJ6:AJ26)</f>
        <v>0</v>
      </c>
      <c r="AK27" s="211" t="n">
        <f aca="false">SUM(AK6:AK26)</f>
        <v>0</v>
      </c>
      <c r="AN27" s="180"/>
      <c r="AO27" s="181"/>
      <c r="AP27" s="182"/>
      <c r="AQ27" s="183"/>
    </row>
    <row r="28" customFormat="false" ht="22.5" hidden="false" customHeight="true" outlineLevel="0" collapsed="false">
      <c r="A28" s="204"/>
      <c r="B28" s="156" t="s">
        <v>117</v>
      </c>
      <c r="C28" s="156"/>
      <c r="D28" s="156"/>
      <c r="E28" s="156"/>
      <c r="F28" s="156"/>
      <c r="G28" s="156"/>
      <c r="H28" s="156"/>
      <c r="I28" s="151"/>
      <c r="J28" s="212"/>
      <c r="K28" s="151"/>
      <c r="L28" s="151"/>
      <c r="M28" s="151"/>
      <c r="N28" s="151"/>
      <c r="AN28" s="180"/>
      <c r="AO28" s="181"/>
      <c r="AP28" s="182"/>
      <c r="AQ28" s="183"/>
    </row>
    <row r="29" customFormat="false" ht="13.5" hidden="false" customHeight="false" outlineLevel="0" collapsed="false">
      <c r="A29" s="213"/>
      <c r="B29" s="158" t="s">
        <v>26</v>
      </c>
      <c r="C29" s="159" t="s">
        <v>109</v>
      </c>
      <c r="D29" s="160" t="s">
        <v>24</v>
      </c>
      <c r="E29" s="214" t="s">
        <v>110</v>
      </c>
      <c r="F29" s="162" t="s">
        <v>118</v>
      </c>
      <c r="G29" s="163" t="s">
        <v>119</v>
      </c>
      <c r="H29" s="215"/>
      <c r="I29" s="165"/>
      <c r="J29" s="166" t="s">
        <v>113</v>
      </c>
      <c r="K29" s="167"/>
      <c r="L29" s="167"/>
      <c r="M29" s="167"/>
      <c r="N29" s="167"/>
      <c r="P29" s="168" t="s">
        <v>52</v>
      </c>
      <c r="Q29" s="168" t="s">
        <v>55</v>
      </c>
      <c r="R29" s="168" t="s">
        <v>49</v>
      </c>
      <c r="S29" s="168" t="s">
        <v>36</v>
      </c>
      <c r="T29" s="168" t="s">
        <v>58</v>
      </c>
      <c r="U29" s="168" t="s">
        <v>61</v>
      </c>
      <c r="V29" s="168" t="s">
        <v>45</v>
      </c>
      <c r="W29" s="168" t="s">
        <v>64</v>
      </c>
      <c r="X29" s="168" t="s">
        <v>70</v>
      </c>
      <c r="Y29" s="168" t="s">
        <v>39</v>
      </c>
      <c r="Z29" s="168" t="s">
        <v>42</v>
      </c>
      <c r="AA29" s="168" t="s">
        <v>31</v>
      </c>
      <c r="AB29" s="168" t="s">
        <v>73</v>
      </c>
      <c r="AC29" s="168" t="s">
        <v>47</v>
      </c>
      <c r="AD29" s="168" t="s">
        <v>67</v>
      </c>
      <c r="AE29" s="168" t="s">
        <v>76</v>
      </c>
      <c r="AF29" s="168" t="s">
        <v>95</v>
      </c>
      <c r="AG29" s="168" t="s">
        <v>114</v>
      </c>
      <c r="AH29" s="168" t="s">
        <v>115</v>
      </c>
      <c r="AI29" s="168" t="s">
        <v>82</v>
      </c>
      <c r="AJ29" s="168" t="s">
        <v>85</v>
      </c>
      <c r="AK29" s="168" t="s">
        <v>88</v>
      </c>
      <c r="AL29" s="148" t="s">
        <v>116</v>
      </c>
      <c r="AN29" s="180"/>
      <c r="AO29" s="181"/>
      <c r="AP29" s="182"/>
      <c r="AQ29" s="183"/>
    </row>
    <row r="30" customFormat="false" ht="13.5" hidden="false" customHeight="false" outlineLevel="0" collapsed="false">
      <c r="A30" s="216" t="n">
        <v>22</v>
      </c>
      <c r="B30" s="217"/>
      <c r="C30" s="171"/>
      <c r="D30" s="172"/>
      <c r="E30" s="218"/>
      <c r="F30" s="219"/>
      <c r="G30" s="220"/>
      <c r="H30" s="176"/>
      <c r="I30" s="177"/>
      <c r="J30" s="178" t="str">
        <f aca="false">IF(AL30=C30,IF(AL30=0,"-","ok"),"chyba")</f>
        <v>-</v>
      </c>
      <c r="K30" s="179"/>
      <c r="L30" s="179"/>
      <c r="M30" s="179"/>
      <c r="N30" s="179"/>
      <c r="P30" s="148" t="n">
        <f aca="false">VALUE(IF($D30="vyb",$C30,0))+VALUE(IF($H30="vyb",$G30,0))</f>
        <v>0</v>
      </c>
      <c r="Q30" s="148" t="n">
        <f aca="false">VALUE(IF($D30="mtv",$C30,0))+VALUE(IF($H30="mtv",$G30,0))</f>
        <v>0</v>
      </c>
      <c r="R30" s="148" t="n">
        <f aca="false">VALUE(IF($D30="mat",$C30,0))+VALUE(IF($H30="mat",$G30,0))</f>
        <v>0</v>
      </c>
      <c r="S30" s="148" t="n">
        <f aca="false">VALUE(IF($D30="pot",$C30,0))+VALUE(IF($H30="pot",$G30,0))</f>
        <v>0</v>
      </c>
      <c r="T30" s="148" t="n">
        <f aca="false">VALUE(IF($D30="táb",$C30,0))+VALUE(IF($H30="táb",$G30,0))</f>
        <v>0</v>
      </c>
      <c r="U30" s="148" t="n">
        <f aca="false">VALUE(IF($D30="oma",$C30,0))+VALUE(IF($H30="oma",$G30,0))</f>
        <v>0</v>
      </c>
      <c r="V30" s="148" t="n">
        <f aca="false">VALUE(IF($D30="ces",$C30,0))+VALUE(IF($H30="ces",$G30,0))</f>
        <v>0</v>
      </c>
      <c r="W30" s="148" t="n">
        <f aca="false">VALUE(IF($D30="poš",$C30,0))+VALUE(IF($H30="poš",$G30,0))</f>
        <v>0</v>
      </c>
      <c r="X30" s="148" t="n">
        <f aca="false">VALUE(IF($D30="tel",$C30,0))+VALUE(IF($H30="tel",$G30,0))</f>
        <v>0</v>
      </c>
      <c r="Y30" s="148" t="n">
        <f aca="false">VALUE(IF($D30="dop",$C30,0))+VALUE(IF($H30="dop",$G30,0))</f>
        <v>0</v>
      </c>
      <c r="Z30" s="148" t="n">
        <f aca="false">VALUE(IF($D30="nák",$C30,0))+VALUE(IF($H30="nák",$G30,0))</f>
        <v>0</v>
      </c>
      <c r="AA30" s="148" t="n">
        <f aca="false">VALUE(IF($D30="náj",$C30,0))+VALUE(IF($H30="náj",$G30,0))</f>
        <v>0</v>
      </c>
      <c r="AB30" s="148" t="n">
        <f aca="false">VALUE(IF($D30="půj",$C30,0))+VALUE(IF($H30="půj",$G30,0))</f>
        <v>0</v>
      </c>
      <c r="AC30" s="148" t="n">
        <f aca="false">VALUE(IF($D30="vst",$C30,0))+VALUE(IF($H30="vst",$G30,0))</f>
        <v>0</v>
      </c>
      <c r="AD30" s="148" t="n">
        <f aca="false">VALUE(IF($D30="kop",$C30,0))+VALUE(IF($H30="kop",$G30,0))</f>
        <v>0</v>
      </c>
      <c r="AE30" s="148" t="n">
        <f aca="false">VALUE(IF($D30="osl",$C30,0))+VALUE(IF($H30="osl",$G30,0))</f>
        <v>0</v>
      </c>
      <c r="AF30" s="148" t="n">
        <f aca="false">VALUE(IF($D30="vra",$C30,0))+VALUE(IF($H30="vra",$G30,0))</f>
        <v>0</v>
      </c>
      <c r="AG30" s="148" t="n">
        <f aca="false">VALUE(IF($D30="zho",$C30,0))+VALUE(IF($H30="zho",$G30,0))</f>
        <v>0</v>
      </c>
      <c r="AH30" s="148" t="n">
        <f aca="false">VALUE(IF($D30="zbú",$C30,0))+VALUE(IF($H30="zbú",$G30,0))</f>
        <v>0</v>
      </c>
      <c r="AI30" s="148" t="n">
        <f aca="false">VALUE(IF($D30="pří",$C30,0))+VALUE(IF($H30="pří",$G30,0))</f>
        <v>0</v>
      </c>
      <c r="AJ30" s="148" t="n">
        <f aca="false">VALUE(IF($D30="dot",$C30,0))+VALUE(IF($H30="dot",$G30,0))</f>
        <v>0</v>
      </c>
      <c r="AK30" s="148" t="n">
        <f aca="false">VALUE(IF($D30="opř",$C30,0))+VALUE(IF($H30="opř",$G30,0))</f>
        <v>0</v>
      </c>
      <c r="AL30" s="148" t="n">
        <f aca="false">SUM(P30:AK30)</f>
        <v>0</v>
      </c>
      <c r="AN30" s="180"/>
      <c r="AO30" s="181"/>
      <c r="AP30" s="182"/>
      <c r="AQ30" s="183"/>
    </row>
    <row r="31" customFormat="false" ht="12.75" hidden="false" customHeight="false" outlineLevel="0" collapsed="false">
      <c r="A31" s="221" t="n">
        <v>23</v>
      </c>
      <c r="B31" s="222"/>
      <c r="C31" s="185"/>
      <c r="D31" s="186"/>
      <c r="E31" s="186"/>
      <c r="F31" s="223"/>
      <c r="G31" s="224"/>
      <c r="H31" s="190"/>
      <c r="I31" s="177"/>
      <c r="J31" s="178" t="str">
        <f aca="false">IF(AL31=C31,IF(AL31=0,"-","ok"),"chyba")</f>
        <v>-</v>
      </c>
      <c r="K31" s="179"/>
      <c r="L31" s="179"/>
      <c r="M31" s="179"/>
      <c r="N31" s="179"/>
      <c r="P31" s="148" t="n">
        <f aca="false">VALUE(IF($D31="vyb",$C31,0))+VALUE(IF($H31="vyb",$G31,0))</f>
        <v>0</v>
      </c>
      <c r="Q31" s="148" t="n">
        <f aca="false">VALUE(IF($D31="mtv",$C31,0))+VALUE(IF($H31="mtv",$G31,0))</f>
        <v>0</v>
      </c>
      <c r="R31" s="148" t="n">
        <f aca="false">VALUE(IF($D31="mat",$C31,0))+VALUE(IF($H31="mat",$G31,0))</f>
        <v>0</v>
      </c>
      <c r="S31" s="148" t="n">
        <f aca="false">VALUE(IF($D31="pot",$C31,0))+VALUE(IF($H31="pot",$G31,0))</f>
        <v>0</v>
      </c>
      <c r="T31" s="148" t="n">
        <f aca="false">VALUE(IF($D31="táb",$C31,0))+VALUE(IF($H31="táb",$G31,0))</f>
        <v>0</v>
      </c>
      <c r="U31" s="148" t="n">
        <f aca="false">VALUE(IF($D31="oma",$C31,0))+VALUE(IF($H31="oma",$G31,0))</f>
        <v>0</v>
      </c>
      <c r="V31" s="148" t="n">
        <f aca="false">VALUE(IF($D31="ces",$C31,0))+VALUE(IF($H31="ces",$G31,0))</f>
        <v>0</v>
      </c>
      <c r="W31" s="148" t="n">
        <f aca="false">VALUE(IF($D31="poš",$C31,0))+VALUE(IF($H31="poš",$G31,0))</f>
        <v>0</v>
      </c>
      <c r="X31" s="148" t="n">
        <f aca="false">VALUE(IF($D31="tel",$C31,0))+VALUE(IF($H31="tel",$G31,0))</f>
        <v>0</v>
      </c>
      <c r="Y31" s="148" t="n">
        <f aca="false">VALUE(IF($D31="dop",$C31,0))+VALUE(IF($H31="dop",$G31,0))</f>
        <v>0</v>
      </c>
      <c r="Z31" s="148" t="n">
        <f aca="false">VALUE(IF($D31="nák",$C31,0))+VALUE(IF($H31="nák",$G31,0))</f>
        <v>0</v>
      </c>
      <c r="AA31" s="148" t="n">
        <f aca="false">VALUE(IF($D31="náj",$C31,0))+VALUE(IF($H31="náj",$G31,0))</f>
        <v>0</v>
      </c>
      <c r="AB31" s="148" t="n">
        <f aca="false">VALUE(IF($D31="půj",$C31,0))+VALUE(IF($H31="půj",$G31,0))</f>
        <v>0</v>
      </c>
      <c r="AC31" s="148" t="n">
        <f aca="false">VALUE(IF($D31="vst",$C31,0))+VALUE(IF($H31="vst",$G31,0))</f>
        <v>0</v>
      </c>
      <c r="AD31" s="148" t="n">
        <f aca="false">VALUE(IF($D31="kop",$C31,0))+VALUE(IF($H31="kop",$G31,0))</f>
        <v>0</v>
      </c>
      <c r="AE31" s="148" t="n">
        <f aca="false">VALUE(IF($D31="osl",$C31,0))+VALUE(IF($H31="osl",$G31,0))</f>
        <v>0</v>
      </c>
      <c r="AF31" s="148" t="n">
        <f aca="false">VALUE(IF($D31="vra",$C31,0))+VALUE(IF($H31="vra",$G31,0))</f>
        <v>0</v>
      </c>
      <c r="AG31" s="148" t="n">
        <f aca="false">VALUE(IF($D31="zho",$C31,0))+VALUE(IF($H31="zho",$G31,0))</f>
        <v>0</v>
      </c>
      <c r="AH31" s="148" t="n">
        <f aca="false">VALUE(IF($D31="zbú",$C31,0))+VALUE(IF($H31="zbú",$G31,0))</f>
        <v>0</v>
      </c>
      <c r="AI31" s="148" t="n">
        <f aca="false">VALUE(IF($D31="pří",$C31,0))+VALUE(IF($H31="pří",$G31,0))</f>
        <v>0</v>
      </c>
      <c r="AJ31" s="148" t="n">
        <f aca="false">VALUE(IF($D31="dot",$C31,0))+VALUE(IF($H31="dot",$G31,0))</f>
        <v>0</v>
      </c>
      <c r="AK31" s="148" t="n">
        <f aca="false">VALUE(IF($D31="opř",$C31,0))+VALUE(IF($H31="opř",$G31,0))</f>
        <v>0</v>
      </c>
      <c r="AL31" s="148" t="n">
        <f aca="false">SUM(P31:AK31)</f>
        <v>0</v>
      </c>
      <c r="AN31" s="180"/>
      <c r="AO31" s="181"/>
      <c r="AP31" s="182"/>
      <c r="AQ31" s="183"/>
    </row>
    <row r="32" customFormat="false" ht="12.75" hidden="false" customHeight="false" outlineLevel="0" collapsed="false">
      <c r="A32" s="221" t="n">
        <v>24</v>
      </c>
      <c r="B32" s="222"/>
      <c r="C32" s="185"/>
      <c r="D32" s="186"/>
      <c r="E32" s="186"/>
      <c r="F32" s="223"/>
      <c r="G32" s="224"/>
      <c r="H32" s="190"/>
      <c r="I32" s="177"/>
      <c r="J32" s="178" t="str">
        <f aca="false">IF(AL32=C32,IF(AL32=0,"-","ok"),"chyba")</f>
        <v>-</v>
      </c>
      <c r="K32" s="179"/>
      <c r="L32" s="179"/>
      <c r="M32" s="179"/>
      <c r="N32" s="179"/>
      <c r="P32" s="148" t="n">
        <f aca="false">VALUE(IF($D32="vyb",$C32,0))+VALUE(IF($H32="vyb",$G32,0))</f>
        <v>0</v>
      </c>
      <c r="Q32" s="148" t="n">
        <f aca="false">VALUE(IF($D32="mtv",$C32,0))+VALUE(IF($H32="mtv",$G32,0))</f>
        <v>0</v>
      </c>
      <c r="R32" s="148" t="n">
        <f aca="false">VALUE(IF($D32="mat",$C32,0))+VALUE(IF($H32="mat",$G32,0))</f>
        <v>0</v>
      </c>
      <c r="S32" s="148" t="n">
        <f aca="false">VALUE(IF($D32="pot",$C32,0))+VALUE(IF($H32="pot",$G32,0))</f>
        <v>0</v>
      </c>
      <c r="T32" s="148" t="n">
        <f aca="false">VALUE(IF($D32="táb",$C32,0))+VALUE(IF($H32="táb",$G32,0))</f>
        <v>0</v>
      </c>
      <c r="U32" s="148" t="n">
        <f aca="false">VALUE(IF($D32="oma",$C32,0))+VALUE(IF($H32="oma",$G32,0))</f>
        <v>0</v>
      </c>
      <c r="V32" s="148" t="n">
        <f aca="false">VALUE(IF($D32="ces",$C32,0))+VALUE(IF($H32="ces",$G32,0))</f>
        <v>0</v>
      </c>
      <c r="W32" s="148" t="n">
        <f aca="false">VALUE(IF($D32="poš",$C32,0))+VALUE(IF($H32="poš",$G32,0))</f>
        <v>0</v>
      </c>
      <c r="X32" s="148" t="n">
        <f aca="false">VALUE(IF($D32="tel",$C32,0))+VALUE(IF($H32="tel",$G32,0))</f>
        <v>0</v>
      </c>
      <c r="Y32" s="148" t="n">
        <f aca="false">VALUE(IF($D32="dop",$C32,0))+VALUE(IF($H32="dop",$G32,0))</f>
        <v>0</v>
      </c>
      <c r="Z32" s="148" t="n">
        <f aca="false">VALUE(IF($D32="nák",$C32,0))+VALUE(IF($H32="nák",$G32,0))</f>
        <v>0</v>
      </c>
      <c r="AA32" s="148" t="n">
        <f aca="false">VALUE(IF($D32="náj",$C32,0))+VALUE(IF($H32="náj",$G32,0))</f>
        <v>0</v>
      </c>
      <c r="AB32" s="148" t="n">
        <f aca="false">VALUE(IF($D32="půj",$C32,0))+VALUE(IF($H32="půj",$G32,0))</f>
        <v>0</v>
      </c>
      <c r="AC32" s="148" t="n">
        <f aca="false">VALUE(IF($D32="vst",$C32,0))+VALUE(IF($H32="vst",$G32,0))</f>
        <v>0</v>
      </c>
      <c r="AD32" s="148" t="n">
        <f aca="false">VALUE(IF($D32="kop",$C32,0))+VALUE(IF($H32="kop",$G32,0))</f>
        <v>0</v>
      </c>
      <c r="AE32" s="148" t="n">
        <f aca="false">VALUE(IF($D32="osl",$C32,0))+VALUE(IF($H32="osl",$G32,0))</f>
        <v>0</v>
      </c>
      <c r="AF32" s="148" t="n">
        <f aca="false">VALUE(IF($D32="vra",$C32,0))+VALUE(IF($H32="vra",$G32,0))</f>
        <v>0</v>
      </c>
      <c r="AG32" s="148" t="n">
        <f aca="false">VALUE(IF($D32="zho",$C32,0))+VALUE(IF($H32="zho",$G32,0))</f>
        <v>0</v>
      </c>
      <c r="AH32" s="148" t="n">
        <f aca="false">VALUE(IF($D32="zbú",$C32,0))+VALUE(IF($H32="zbú",$G32,0))</f>
        <v>0</v>
      </c>
      <c r="AI32" s="148" t="n">
        <f aca="false">VALUE(IF($D32="pří",$C32,0))+VALUE(IF($H32="pří",$G32,0))</f>
        <v>0</v>
      </c>
      <c r="AJ32" s="148" t="n">
        <f aca="false">VALUE(IF($D32="dot",$C32,0))+VALUE(IF($H32="dot",$G32,0))</f>
        <v>0</v>
      </c>
      <c r="AK32" s="148" t="n">
        <f aca="false">VALUE(IF($D32="opř",$C32,0))+VALUE(IF($H32="opř",$G32,0))</f>
        <v>0</v>
      </c>
      <c r="AL32" s="148" t="n">
        <f aca="false">SUM(P32:AK32)</f>
        <v>0</v>
      </c>
      <c r="AN32" s="180"/>
      <c r="AO32" s="181"/>
      <c r="AP32" s="182"/>
      <c r="AQ32" s="183"/>
    </row>
    <row r="33" customFormat="false" ht="12.75" hidden="false" customHeight="false" outlineLevel="0" collapsed="false">
      <c r="A33" s="221" t="n">
        <v>25</v>
      </c>
      <c r="B33" s="222"/>
      <c r="C33" s="185"/>
      <c r="D33" s="186"/>
      <c r="E33" s="186"/>
      <c r="F33" s="223"/>
      <c r="G33" s="224"/>
      <c r="H33" s="190"/>
      <c r="I33" s="177"/>
      <c r="J33" s="178" t="str">
        <f aca="false">IF(AL33=C33,IF(AL33=0,"-","ok"),"chyba")</f>
        <v>-</v>
      </c>
      <c r="K33" s="179"/>
      <c r="L33" s="179"/>
      <c r="M33" s="179"/>
      <c r="N33" s="179"/>
      <c r="P33" s="148" t="n">
        <f aca="false">VALUE(IF($D33="vyb",$C33,0))+VALUE(IF($H33="vyb",$G33,0))</f>
        <v>0</v>
      </c>
      <c r="Q33" s="148" t="n">
        <f aca="false">VALUE(IF($D33="mtv",$C33,0))+VALUE(IF($H33="mtv",$G33,0))</f>
        <v>0</v>
      </c>
      <c r="R33" s="148" t="n">
        <f aca="false">VALUE(IF($D33="mat",$C33,0))+VALUE(IF($H33="mat",$G33,0))</f>
        <v>0</v>
      </c>
      <c r="S33" s="148" t="n">
        <f aca="false">VALUE(IF($D33="pot",$C33,0))+VALUE(IF($H33="pot",$G33,0))</f>
        <v>0</v>
      </c>
      <c r="T33" s="148" t="n">
        <f aca="false">VALUE(IF($D33="táb",$C33,0))+VALUE(IF($H33="táb",$G33,0))</f>
        <v>0</v>
      </c>
      <c r="U33" s="148" t="n">
        <f aca="false">VALUE(IF($D33="oma",$C33,0))+VALUE(IF($H33="oma",$G33,0))</f>
        <v>0</v>
      </c>
      <c r="V33" s="148" t="n">
        <f aca="false">VALUE(IF($D33="ces",$C33,0))+VALUE(IF($H33="ces",$G33,0))</f>
        <v>0</v>
      </c>
      <c r="W33" s="148" t="n">
        <f aca="false">VALUE(IF($D33="poš",$C33,0))+VALUE(IF($H33="poš",$G33,0))</f>
        <v>0</v>
      </c>
      <c r="X33" s="148" t="n">
        <f aca="false">VALUE(IF($D33="tel",$C33,0))+VALUE(IF($H33="tel",$G33,0))</f>
        <v>0</v>
      </c>
      <c r="Y33" s="148" t="n">
        <f aca="false">VALUE(IF($D33="dop",$C33,0))+VALUE(IF($H33="dop",$G33,0))</f>
        <v>0</v>
      </c>
      <c r="Z33" s="148" t="n">
        <f aca="false">VALUE(IF($D33="nák",$C33,0))+VALUE(IF($H33="nák",$G33,0))</f>
        <v>0</v>
      </c>
      <c r="AA33" s="148" t="n">
        <f aca="false">VALUE(IF($D33="náj",$C33,0))+VALUE(IF($H33="náj",$G33,0))</f>
        <v>0</v>
      </c>
      <c r="AB33" s="148" t="n">
        <f aca="false">VALUE(IF($D33="půj",$C33,0))+VALUE(IF($H33="půj",$G33,0))</f>
        <v>0</v>
      </c>
      <c r="AC33" s="148" t="n">
        <f aca="false">VALUE(IF($D33="vst",$C33,0))+VALUE(IF($H33="vst",$G33,0))</f>
        <v>0</v>
      </c>
      <c r="AD33" s="148" t="n">
        <f aca="false">VALUE(IF($D33="kop",$C33,0))+VALUE(IF($H33="kop",$G33,0))</f>
        <v>0</v>
      </c>
      <c r="AE33" s="148" t="n">
        <f aca="false">VALUE(IF($D33="osl",$C33,0))+VALUE(IF($H33="osl",$G33,0))</f>
        <v>0</v>
      </c>
      <c r="AF33" s="148" t="n">
        <f aca="false">VALUE(IF($D33="vra",$C33,0))+VALUE(IF($H33="vra",$G33,0))</f>
        <v>0</v>
      </c>
      <c r="AG33" s="148" t="n">
        <f aca="false">VALUE(IF($D33="zho",$C33,0))+VALUE(IF($H33="zho",$G33,0))</f>
        <v>0</v>
      </c>
      <c r="AH33" s="148" t="n">
        <f aca="false">VALUE(IF($D33="zbú",$C33,0))+VALUE(IF($H33="zbú",$G33,0))</f>
        <v>0</v>
      </c>
      <c r="AI33" s="148" t="n">
        <f aca="false">VALUE(IF($D33="pří",$C33,0))+VALUE(IF($H33="pří",$G33,0))</f>
        <v>0</v>
      </c>
      <c r="AJ33" s="148" t="n">
        <f aca="false">VALUE(IF($D33="dot",$C33,0))+VALUE(IF($H33="dot",$G33,0))</f>
        <v>0</v>
      </c>
      <c r="AK33" s="148" t="n">
        <f aca="false">VALUE(IF($D33="opř",$C33,0))+VALUE(IF($H33="opř",$G33,0))</f>
        <v>0</v>
      </c>
      <c r="AL33" s="148" t="n">
        <f aca="false">SUM(P33:AK33)</f>
        <v>0</v>
      </c>
      <c r="AN33" s="180"/>
      <c r="AO33" s="181"/>
      <c r="AP33" s="182"/>
      <c r="AQ33" s="183"/>
    </row>
    <row r="34" customFormat="false" ht="12.75" hidden="false" customHeight="false" outlineLevel="0" collapsed="false">
      <c r="A34" s="221" t="n">
        <v>26</v>
      </c>
      <c r="B34" s="222"/>
      <c r="C34" s="185"/>
      <c r="D34" s="186"/>
      <c r="E34" s="186"/>
      <c r="F34" s="223"/>
      <c r="G34" s="224"/>
      <c r="H34" s="190"/>
      <c r="I34" s="177"/>
      <c r="J34" s="178" t="str">
        <f aca="false">IF(AL34=C34,IF(AL34=0,"-","ok"),"chyba")</f>
        <v>-</v>
      </c>
      <c r="K34" s="179"/>
      <c r="L34" s="179"/>
      <c r="M34" s="179"/>
      <c r="N34" s="179"/>
      <c r="P34" s="148" t="n">
        <f aca="false">VALUE(IF($D34="vyb",$C34,0))+VALUE(IF($H34="vyb",$G34,0))</f>
        <v>0</v>
      </c>
      <c r="Q34" s="148" t="n">
        <f aca="false">VALUE(IF($D34="mtv",$C34,0))+VALUE(IF($H34="mtv",$G34,0))</f>
        <v>0</v>
      </c>
      <c r="R34" s="148" t="n">
        <f aca="false">VALUE(IF($D34="mat",$C34,0))+VALUE(IF($H34="mat",$G34,0))</f>
        <v>0</v>
      </c>
      <c r="S34" s="148" t="n">
        <f aca="false">VALUE(IF($D34="pot",$C34,0))+VALUE(IF($H34="pot",$G34,0))</f>
        <v>0</v>
      </c>
      <c r="T34" s="148" t="n">
        <f aca="false">VALUE(IF($D34="táb",$C34,0))+VALUE(IF($H34="táb",$G34,0))</f>
        <v>0</v>
      </c>
      <c r="U34" s="148" t="n">
        <f aca="false">VALUE(IF($D34="oma",$C34,0))+VALUE(IF($H34="oma",$G34,0))</f>
        <v>0</v>
      </c>
      <c r="V34" s="148" t="n">
        <f aca="false">VALUE(IF($D34="ces",$C34,0))+VALUE(IF($H34="ces",$G34,0))</f>
        <v>0</v>
      </c>
      <c r="W34" s="148" t="n">
        <f aca="false">VALUE(IF($D34="poš",$C34,0))+VALUE(IF($H34="poš",$G34,0))</f>
        <v>0</v>
      </c>
      <c r="X34" s="148" t="n">
        <f aca="false">VALUE(IF($D34="tel",$C34,0))+VALUE(IF($H34="tel",$G34,0))</f>
        <v>0</v>
      </c>
      <c r="Y34" s="148" t="n">
        <f aca="false">VALUE(IF($D34="dop",$C34,0))+VALUE(IF($H34="dop",$G34,0))</f>
        <v>0</v>
      </c>
      <c r="Z34" s="148" t="n">
        <f aca="false">VALUE(IF($D34="nák",$C34,0))+VALUE(IF($H34="nák",$G34,0))</f>
        <v>0</v>
      </c>
      <c r="AA34" s="148" t="n">
        <f aca="false">VALUE(IF($D34="náj",$C34,0))+VALUE(IF($H34="náj",$G34,0))</f>
        <v>0</v>
      </c>
      <c r="AB34" s="148" t="n">
        <f aca="false">VALUE(IF($D34="půj",$C34,0))+VALUE(IF($H34="půj",$G34,0))</f>
        <v>0</v>
      </c>
      <c r="AC34" s="148" t="n">
        <f aca="false">VALUE(IF($D34="vst",$C34,0))+VALUE(IF($H34="vst",$G34,0))</f>
        <v>0</v>
      </c>
      <c r="AD34" s="148" t="n">
        <f aca="false">VALUE(IF($D34="kop",$C34,0))+VALUE(IF($H34="kop",$G34,0))</f>
        <v>0</v>
      </c>
      <c r="AE34" s="148" t="n">
        <f aca="false">VALUE(IF($D34="osl",$C34,0))+VALUE(IF($H34="osl",$G34,0))</f>
        <v>0</v>
      </c>
      <c r="AF34" s="148" t="n">
        <f aca="false">VALUE(IF($D34="vra",$C34,0))+VALUE(IF($H34="vra",$G34,0))</f>
        <v>0</v>
      </c>
      <c r="AG34" s="148" t="n">
        <f aca="false">VALUE(IF($D34="zho",$C34,0))+VALUE(IF($H34="zho",$G34,0))</f>
        <v>0</v>
      </c>
      <c r="AH34" s="148" t="n">
        <f aca="false">VALUE(IF($D34="zbú",$C34,0))+VALUE(IF($H34="zbú",$G34,0))</f>
        <v>0</v>
      </c>
      <c r="AI34" s="148" t="n">
        <f aca="false">VALUE(IF($D34="pří",$C34,0))+VALUE(IF($H34="pří",$G34,0))</f>
        <v>0</v>
      </c>
      <c r="AJ34" s="148" t="n">
        <f aca="false">VALUE(IF($D34="dot",$C34,0))+VALUE(IF($H34="dot",$G34,0))</f>
        <v>0</v>
      </c>
      <c r="AK34" s="148" t="n">
        <f aca="false">VALUE(IF($D34="opř",$C34,0))+VALUE(IF($H34="opř",$G34,0))</f>
        <v>0</v>
      </c>
      <c r="AL34" s="148" t="n">
        <f aca="false">SUM(P34:AK34)</f>
        <v>0</v>
      </c>
      <c r="AN34" s="180"/>
      <c r="AO34" s="181"/>
      <c r="AP34" s="182"/>
      <c r="AQ34" s="183"/>
    </row>
    <row r="35" customFormat="false" ht="12.75" hidden="false" customHeight="false" outlineLevel="0" collapsed="false">
      <c r="A35" s="221" t="n">
        <v>27</v>
      </c>
      <c r="B35" s="222"/>
      <c r="C35" s="185"/>
      <c r="D35" s="186"/>
      <c r="E35" s="186"/>
      <c r="F35" s="223"/>
      <c r="G35" s="224"/>
      <c r="H35" s="190"/>
      <c r="I35" s="177"/>
      <c r="J35" s="178" t="str">
        <f aca="false">IF(AL35=C35,IF(AL35=0,"-","ok"),"chyba")</f>
        <v>-</v>
      </c>
      <c r="K35" s="179"/>
      <c r="L35" s="179"/>
      <c r="M35" s="179"/>
      <c r="N35" s="179"/>
      <c r="P35" s="148" t="n">
        <f aca="false">VALUE(IF($D35="vyb",$C35,0))+VALUE(IF($H35="vyb",$G35,0))</f>
        <v>0</v>
      </c>
      <c r="Q35" s="148" t="n">
        <f aca="false">VALUE(IF($D35="mtv",$C35,0))+VALUE(IF($H35="mtv",$G35,0))</f>
        <v>0</v>
      </c>
      <c r="R35" s="148" t="n">
        <f aca="false">VALUE(IF($D35="mat",$C35,0))+VALUE(IF($H35="mat",$G35,0))</f>
        <v>0</v>
      </c>
      <c r="S35" s="148" t="n">
        <f aca="false">VALUE(IF($D35="pot",$C35,0))+VALUE(IF($H35="pot",$G35,0))</f>
        <v>0</v>
      </c>
      <c r="T35" s="148" t="n">
        <f aca="false">VALUE(IF($D35="táb",$C35,0))+VALUE(IF($H35="táb",$G35,0))</f>
        <v>0</v>
      </c>
      <c r="U35" s="148" t="n">
        <f aca="false">VALUE(IF($D35="oma",$C35,0))+VALUE(IF($H35="oma",$G35,0))</f>
        <v>0</v>
      </c>
      <c r="V35" s="148" t="n">
        <f aca="false">VALUE(IF($D35="ces",$C35,0))+VALUE(IF($H35="ces",$G35,0))</f>
        <v>0</v>
      </c>
      <c r="W35" s="148" t="n">
        <f aca="false">VALUE(IF($D35="poš",$C35,0))+VALUE(IF($H35="poš",$G35,0))</f>
        <v>0</v>
      </c>
      <c r="X35" s="148" t="n">
        <f aca="false">VALUE(IF($D35="tel",$C35,0))+VALUE(IF($H35="tel",$G35,0))</f>
        <v>0</v>
      </c>
      <c r="Y35" s="148" t="n">
        <f aca="false">VALUE(IF($D35="dop",$C35,0))+VALUE(IF($H35="dop",$G35,0))</f>
        <v>0</v>
      </c>
      <c r="Z35" s="148" t="n">
        <f aca="false">VALUE(IF($D35="nák",$C35,0))+VALUE(IF($H35="nák",$G35,0))</f>
        <v>0</v>
      </c>
      <c r="AA35" s="148" t="n">
        <f aca="false">VALUE(IF($D35="náj",$C35,0))+VALUE(IF($H35="náj",$G35,0))</f>
        <v>0</v>
      </c>
      <c r="AB35" s="148" t="n">
        <f aca="false">VALUE(IF($D35="půj",$C35,0))+VALUE(IF($H35="půj",$G35,0))</f>
        <v>0</v>
      </c>
      <c r="AC35" s="148" t="n">
        <f aca="false">VALUE(IF($D35="vst",$C35,0))+VALUE(IF($H35="vst",$G35,0))</f>
        <v>0</v>
      </c>
      <c r="AD35" s="148" t="n">
        <f aca="false">VALUE(IF($D35="kop",$C35,0))+VALUE(IF($H35="kop",$G35,0))</f>
        <v>0</v>
      </c>
      <c r="AE35" s="148" t="n">
        <f aca="false">VALUE(IF($D35="osl",$C35,0))+VALUE(IF($H35="osl",$G35,0))</f>
        <v>0</v>
      </c>
      <c r="AF35" s="148" t="n">
        <f aca="false">VALUE(IF($D35="vra",$C35,0))+VALUE(IF($H35="vra",$G35,0))</f>
        <v>0</v>
      </c>
      <c r="AG35" s="148" t="n">
        <f aca="false">VALUE(IF($D35="zho",$C35,0))+VALUE(IF($H35="zho",$G35,0))</f>
        <v>0</v>
      </c>
      <c r="AH35" s="148" t="n">
        <f aca="false">VALUE(IF($D35="zbú",$C35,0))+VALUE(IF($H35="zbú",$G35,0))</f>
        <v>0</v>
      </c>
      <c r="AI35" s="148" t="n">
        <f aca="false">VALUE(IF($D35="pří",$C35,0))+VALUE(IF($H35="pří",$G35,0))</f>
        <v>0</v>
      </c>
      <c r="AJ35" s="148" t="n">
        <f aca="false">VALUE(IF($D35="dot",$C35,0))+VALUE(IF($H35="dot",$G35,0))</f>
        <v>0</v>
      </c>
      <c r="AK35" s="148" t="n">
        <f aca="false">VALUE(IF($D35="opř",$C35,0))+VALUE(IF($H35="opř",$G35,0))</f>
        <v>0</v>
      </c>
      <c r="AL35" s="148" t="n">
        <f aca="false">SUM(P35:AK35)</f>
        <v>0</v>
      </c>
      <c r="AN35" s="180"/>
      <c r="AO35" s="181"/>
      <c r="AP35" s="182"/>
      <c r="AQ35" s="183"/>
    </row>
    <row r="36" customFormat="false" ht="12.75" hidden="false" customHeight="false" outlineLevel="0" collapsed="false">
      <c r="A36" s="221" t="n">
        <v>28</v>
      </c>
      <c r="B36" s="222"/>
      <c r="C36" s="185"/>
      <c r="D36" s="186"/>
      <c r="E36" s="186"/>
      <c r="F36" s="223"/>
      <c r="G36" s="224"/>
      <c r="H36" s="190"/>
      <c r="I36" s="177"/>
      <c r="J36" s="178" t="str">
        <f aca="false">IF(AL36=C36,IF(AL36=0,"-","ok"),"chyba")</f>
        <v>-</v>
      </c>
      <c r="K36" s="179"/>
      <c r="L36" s="179"/>
      <c r="M36" s="179"/>
      <c r="N36" s="179"/>
      <c r="P36" s="148" t="n">
        <f aca="false">VALUE(IF($D36="vyb",$C36,0))+VALUE(IF($H36="vyb",$G36,0))</f>
        <v>0</v>
      </c>
      <c r="Q36" s="148" t="n">
        <f aca="false">VALUE(IF($D36="mtv",$C36,0))+VALUE(IF($H36="mtv",$G36,0))</f>
        <v>0</v>
      </c>
      <c r="R36" s="148" t="n">
        <f aca="false">VALUE(IF($D36="mat",$C36,0))+VALUE(IF($H36="mat",$G36,0))</f>
        <v>0</v>
      </c>
      <c r="S36" s="148" t="n">
        <f aca="false">VALUE(IF($D36="pot",$C36,0))+VALUE(IF($H36="pot",$G36,0))</f>
        <v>0</v>
      </c>
      <c r="T36" s="148" t="n">
        <f aca="false">VALUE(IF($D36="táb",$C36,0))+VALUE(IF($H36="táb",$G36,0))</f>
        <v>0</v>
      </c>
      <c r="U36" s="148" t="n">
        <f aca="false">VALUE(IF($D36="oma",$C36,0))+VALUE(IF($H36="oma",$G36,0))</f>
        <v>0</v>
      </c>
      <c r="V36" s="148" t="n">
        <f aca="false">VALUE(IF($D36="ces",$C36,0))+VALUE(IF($H36="ces",$G36,0))</f>
        <v>0</v>
      </c>
      <c r="W36" s="148" t="n">
        <f aca="false">VALUE(IF($D36="poš",$C36,0))+VALUE(IF($H36="poš",$G36,0))</f>
        <v>0</v>
      </c>
      <c r="X36" s="148" t="n">
        <f aca="false">VALUE(IF($D36="tel",$C36,0))+VALUE(IF($H36="tel",$G36,0))</f>
        <v>0</v>
      </c>
      <c r="Y36" s="148" t="n">
        <f aca="false">VALUE(IF($D36="dop",$C36,0))+VALUE(IF($H36="dop",$G36,0))</f>
        <v>0</v>
      </c>
      <c r="Z36" s="148" t="n">
        <f aca="false">VALUE(IF($D36="nák",$C36,0))+VALUE(IF($H36="nák",$G36,0))</f>
        <v>0</v>
      </c>
      <c r="AA36" s="148" t="n">
        <f aca="false">VALUE(IF($D36="náj",$C36,0))+VALUE(IF($H36="náj",$G36,0))</f>
        <v>0</v>
      </c>
      <c r="AB36" s="148" t="n">
        <f aca="false">VALUE(IF($D36="půj",$C36,0))+VALUE(IF($H36="půj",$G36,0))</f>
        <v>0</v>
      </c>
      <c r="AC36" s="148" t="n">
        <f aca="false">VALUE(IF($D36="vst",$C36,0))+VALUE(IF($H36="vst",$G36,0))</f>
        <v>0</v>
      </c>
      <c r="AD36" s="148" t="n">
        <f aca="false">VALUE(IF($D36="kop",$C36,0))+VALUE(IF($H36="kop",$G36,0))</f>
        <v>0</v>
      </c>
      <c r="AE36" s="148" t="n">
        <f aca="false">VALUE(IF($D36="osl",$C36,0))+VALUE(IF($H36="osl",$G36,0))</f>
        <v>0</v>
      </c>
      <c r="AF36" s="148" t="n">
        <f aca="false">VALUE(IF($D36="vra",$C36,0))+VALUE(IF($H36="vra",$G36,0))</f>
        <v>0</v>
      </c>
      <c r="AG36" s="148" t="n">
        <f aca="false">VALUE(IF($D36="zho",$C36,0))+VALUE(IF($H36="zho",$G36,0))</f>
        <v>0</v>
      </c>
      <c r="AH36" s="148" t="n">
        <f aca="false">VALUE(IF($D36="zbú",$C36,0))+VALUE(IF($H36="zbú",$G36,0))</f>
        <v>0</v>
      </c>
      <c r="AI36" s="148" t="n">
        <f aca="false">VALUE(IF($D36="pří",$C36,0))+VALUE(IF($H36="pří",$G36,0))</f>
        <v>0</v>
      </c>
      <c r="AJ36" s="148" t="n">
        <f aca="false">VALUE(IF($D36="dot",$C36,0))+VALUE(IF($H36="dot",$G36,0))</f>
        <v>0</v>
      </c>
      <c r="AK36" s="148" t="n">
        <f aca="false">VALUE(IF($D36="opř",$C36,0))+VALUE(IF($H36="opř",$G36,0))</f>
        <v>0</v>
      </c>
      <c r="AL36" s="148" t="n">
        <f aca="false">SUM(P36:AK36)</f>
        <v>0</v>
      </c>
      <c r="AN36" s="180"/>
      <c r="AO36" s="181"/>
      <c r="AP36" s="182"/>
      <c r="AQ36" s="183"/>
    </row>
    <row r="37" customFormat="false" ht="12.75" hidden="false" customHeight="false" outlineLevel="0" collapsed="false">
      <c r="A37" s="221" t="n">
        <v>29</v>
      </c>
      <c r="B37" s="222"/>
      <c r="C37" s="185"/>
      <c r="D37" s="186"/>
      <c r="E37" s="186"/>
      <c r="F37" s="223"/>
      <c r="G37" s="224"/>
      <c r="H37" s="190"/>
      <c r="I37" s="177"/>
      <c r="J37" s="178" t="str">
        <f aca="false">IF(AL37=C37,IF(AL37=0,"-","ok"),"chyba")</f>
        <v>-</v>
      </c>
      <c r="K37" s="179"/>
      <c r="L37" s="179"/>
      <c r="M37" s="179"/>
      <c r="N37" s="179"/>
      <c r="P37" s="148" t="n">
        <f aca="false">VALUE(IF($D37="vyb",$C37,0))+VALUE(IF($H37="vyb",$G37,0))</f>
        <v>0</v>
      </c>
      <c r="Q37" s="148" t="n">
        <f aca="false">VALUE(IF($D37="mtv",$C37,0))+VALUE(IF($H37="mtv",$G37,0))</f>
        <v>0</v>
      </c>
      <c r="R37" s="148" t="n">
        <f aca="false">VALUE(IF($D37="mat",$C37,0))+VALUE(IF($H37="mat",$G37,0))</f>
        <v>0</v>
      </c>
      <c r="S37" s="148" t="n">
        <f aca="false">VALUE(IF($D37="pot",$C37,0))+VALUE(IF($H37="pot",$G37,0))</f>
        <v>0</v>
      </c>
      <c r="T37" s="148" t="n">
        <f aca="false">VALUE(IF($D37="táb",$C37,0))+VALUE(IF($H37="táb",$G37,0))</f>
        <v>0</v>
      </c>
      <c r="U37" s="148" t="n">
        <f aca="false">VALUE(IF($D37="oma",$C37,0))+VALUE(IF($H37="oma",$G37,0))</f>
        <v>0</v>
      </c>
      <c r="V37" s="148" t="n">
        <f aca="false">VALUE(IF($D37="ces",$C37,0))+VALUE(IF($H37="ces",$G37,0))</f>
        <v>0</v>
      </c>
      <c r="W37" s="148" t="n">
        <f aca="false">VALUE(IF($D37="poš",$C37,0))+VALUE(IF($H37="poš",$G37,0))</f>
        <v>0</v>
      </c>
      <c r="X37" s="148" t="n">
        <f aca="false">VALUE(IF($D37="tel",$C37,0))+VALUE(IF($H37="tel",$G37,0))</f>
        <v>0</v>
      </c>
      <c r="Y37" s="148" t="n">
        <f aca="false">VALUE(IF($D37="dop",$C37,0))+VALUE(IF($H37="dop",$G37,0))</f>
        <v>0</v>
      </c>
      <c r="Z37" s="148" t="n">
        <f aca="false">VALUE(IF($D37="nák",$C37,0))+VALUE(IF($H37="nák",$G37,0))</f>
        <v>0</v>
      </c>
      <c r="AA37" s="148" t="n">
        <f aca="false">VALUE(IF($D37="náj",$C37,0))+VALUE(IF($H37="náj",$G37,0))</f>
        <v>0</v>
      </c>
      <c r="AB37" s="148" t="n">
        <f aca="false">VALUE(IF($D37="půj",$C37,0))+VALUE(IF($H37="půj",$G37,0))</f>
        <v>0</v>
      </c>
      <c r="AC37" s="148" t="n">
        <f aca="false">VALUE(IF($D37="vst",$C37,0))+VALUE(IF($H37="vst",$G37,0))</f>
        <v>0</v>
      </c>
      <c r="AD37" s="148" t="n">
        <f aca="false">VALUE(IF($D37="kop",$C37,0))+VALUE(IF($H37="kop",$G37,0))</f>
        <v>0</v>
      </c>
      <c r="AE37" s="148" t="n">
        <f aca="false">VALUE(IF($D37="osl",$C37,0))+VALUE(IF($H37="osl",$G37,0))</f>
        <v>0</v>
      </c>
      <c r="AF37" s="148" t="n">
        <f aca="false">VALUE(IF($D37="vra",$C37,0))+VALUE(IF($H37="vra",$G37,0))</f>
        <v>0</v>
      </c>
      <c r="AG37" s="148" t="n">
        <f aca="false">VALUE(IF($D37="zho",$C37,0))+VALUE(IF($H37="zho",$G37,0))</f>
        <v>0</v>
      </c>
      <c r="AH37" s="148" t="n">
        <f aca="false">VALUE(IF($D37="zbú",$C37,0))+VALUE(IF($H37="zbú",$G37,0))</f>
        <v>0</v>
      </c>
      <c r="AI37" s="148" t="n">
        <f aca="false">VALUE(IF($D37="pří",$C37,0))+VALUE(IF($H37="pří",$G37,0))</f>
        <v>0</v>
      </c>
      <c r="AJ37" s="148" t="n">
        <f aca="false">VALUE(IF($D37="dot",$C37,0))+VALUE(IF($H37="dot",$G37,0))</f>
        <v>0</v>
      </c>
      <c r="AK37" s="148" t="n">
        <f aca="false">VALUE(IF($D37="opř",$C37,0))+VALUE(IF($H37="opř",$G37,0))</f>
        <v>0</v>
      </c>
      <c r="AL37" s="148" t="n">
        <f aca="false">SUM(P37:AK37)</f>
        <v>0</v>
      </c>
      <c r="AN37" s="180"/>
      <c r="AO37" s="181"/>
      <c r="AP37" s="182"/>
      <c r="AQ37" s="183"/>
    </row>
    <row r="38" customFormat="false" ht="12.75" hidden="false" customHeight="false" outlineLevel="0" collapsed="false">
      <c r="A38" s="221" t="n">
        <v>30</v>
      </c>
      <c r="B38" s="222"/>
      <c r="C38" s="185"/>
      <c r="D38" s="186"/>
      <c r="E38" s="186"/>
      <c r="F38" s="223"/>
      <c r="G38" s="224"/>
      <c r="H38" s="190"/>
      <c r="I38" s="177"/>
      <c r="J38" s="178" t="str">
        <f aca="false">IF(AL38=C38,IF(AL38=0,"-","ok"),"chyba")</f>
        <v>-</v>
      </c>
      <c r="K38" s="179"/>
      <c r="L38" s="179"/>
      <c r="M38" s="179"/>
      <c r="N38" s="179"/>
      <c r="P38" s="148" t="n">
        <f aca="false">VALUE(IF($D38="vyb",$C38,0))+VALUE(IF($H38="vyb",$G38,0))</f>
        <v>0</v>
      </c>
      <c r="Q38" s="148" t="n">
        <f aca="false">VALUE(IF($D38="mtv",$C38,0))+VALUE(IF($H38="mtv",$G38,0))</f>
        <v>0</v>
      </c>
      <c r="R38" s="148" t="n">
        <f aca="false">VALUE(IF($D38="mat",$C38,0))+VALUE(IF($H38="mat",$G38,0))</f>
        <v>0</v>
      </c>
      <c r="S38" s="148" t="n">
        <f aca="false">VALUE(IF($D38="pot",$C38,0))+VALUE(IF($H38="pot",$G38,0))</f>
        <v>0</v>
      </c>
      <c r="T38" s="148" t="n">
        <f aca="false">VALUE(IF($D38="táb",$C38,0))+VALUE(IF($H38="táb",$G38,0))</f>
        <v>0</v>
      </c>
      <c r="U38" s="148" t="n">
        <f aca="false">VALUE(IF($D38="oma",$C38,0))+VALUE(IF($H38="oma",$G38,0))</f>
        <v>0</v>
      </c>
      <c r="V38" s="148" t="n">
        <f aca="false">VALUE(IF($D38="ces",$C38,0))+VALUE(IF($H38="ces",$G38,0))</f>
        <v>0</v>
      </c>
      <c r="W38" s="148" t="n">
        <f aca="false">VALUE(IF($D38="poš",$C38,0))+VALUE(IF($H38="poš",$G38,0))</f>
        <v>0</v>
      </c>
      <c r="X38" s="148" t="n">
        <f aca="false">VALUE(IF($D38="tel",$C38,0))+VALUE(IF($H38="tel",$G38,0))</f>
        <v>0</v>
      </c>
      <c r="Y38" s="148" t="n">
        <f aca="false">VALUE(IF($D38="dop",$C38,0))+VALUE(IF($H38="dop",$G38,0))</f>
        <v>0</v>
      </c>
      <c r="Z38" s="148" t="n">
        <f aca="false">VALUE(IF($D38="nák",$C38,0))+VALUE(IF($H38="nák",$G38,0))</f>
        <v>0</v>
      </c>
      <c r="AA38" s="148" t="n">
        <f aca="false">VALUE(IF($D38="náj",$C38,0))+VALUE(IF($H38="náj",$G38,0))</f>
        <v>0</v>
      </c>
      <c r="AB38" s="148" t="n">
        <f aca="false">VALUE(IF($D38="půj",$C38,0))+VALUE(IF($H38="půj",$G38,0))</f>
        <v>0</v>
      </c>
      <c r="AC38" s="148" t="n">
        <f aca="false">VALUE(IF($D38="vst",$C38,0))+VALUE(IF($H38="vst",$G38,0))</f>
        <v>0</v>
      </c>
      <c r="AD38" s="148" t="n">
        <f aca="false">VALUE(IF($D38="kop",$C38,0))+VALUE(IF($H38="kop",$G38,0))</f>
        <v>0</v>
      </c>
      <c r="AE38" s="148" t="n">
        <f aca="false">VALUE(IF($D38="osl",$C38,0))+VALUE(IF($H38="osl",$G38,0))</f>
        <v>0</v>
      </c>
      <c r="AF38" s="148" t="n">
        <f aca="false">VALUE(IF($D38="vra",$C38,0))+VALUE(IF($H38="vra",$G38,0))</f>
        <v>0</v>
      </c>
      <c r="AG38" s="148" t="n">
        <f aca="false">VALUE(IF($D38="zho",$C38,0))+VALUE(IF($H38="zho",$G38,0))</f>
        <v>0</v>
      </c>
      <c r="AH38" s="148" t="n">
        <f aca="false">VALUE(IF($D38="zbú",$C38,0))+VALUE(IF($H38="zbú",$G38,0))</f>
        <v>0</v>
      </c>
      <c r="AI38" s="148" t="n">
        <f aca="false">VALUE(IF($D38="pří",$C38,0))+VALUE(IF($H38="pří",$G38,0))</f>
        <v>0</v>
      </c>
      <c r="AJ38" s="148" t="n">
        <f aca="false">VALUE(IF($D38="dot",$C38,0))+VALUE(IF($H38="dot",$G38,0))</f>
        <v>0</v>
      </c>
      <c r="AK38" s="148" t="n">
        <f aca="false">VALUE(IF($D38="opř",$C38,0))+VALUE(IF($H38="opř",$G38,0))</f>
        <v>0</v>
      </c>
      <c r="AL38" s="148" t="n">
        <f aca="false">SUM(P38:AK38)</f>
        <v>0</v>
      </c>
      <c r="AN38" s="180"/>
      <c r="AO38" s="181"/>
      <c r="AP38" s="182"/>
      <c r="AQ38" s="183"/>
    </row>
    <row r="39" customFormat="false" ht="12.75" hidden="false" customHeight="false" outlineLevel="0" collapsed="false">
      <c r="A39" s="221" t="n">
        <v>31</v>
      </c>
      <c r="B39" s="222"/>
      <c r="C39" s="185"/>
      <c r="D39" s="186"/>
      <c r="E39" s="186"/>
      <c r="F39" s="223"/>
      <c r="G39" s="224"/>
      <c r="H39" s="190"/>
      <c r="I39" s="177"/>
      <c r="J39" s="178" t="str">
        <f aca="false">IF(AL39=C39,IF(AL39=0,"-","ok"),"chyba")</f>
        <v>-</v>
      </c>
      <c r="K39" s="179"/>
      <c r="L39" s="179"/>
      <c r="M39" s="179"/>
      <c r="N39" s="179"/>
      <c r="P39" s="148" t="n">
        <f aca="false">VALUE(IF($D39="vyb",$C39,0))+VALUE(IF($H39="vyb",$G39,0))</f>
        <v>0</v>
      </c>
      <c r="Q39" s="148" t="n">
        <f aca="false">VALUE(IF($D39="mtv",$C39,0))+VALUE(IF($H39="mtv",$G39,0))</f>
        <v>0</v>
      </c>
      <c r="R39" s="148" t="n">
        <f aca="false">VALUE(IF($D39="mat",$C39,0))+VALUE(IF($H39="mat",$G39,0))</f>
        <v>0</v>
      </c>
      <c r="S39" s="148" t="n">
        <f aca="false">VALUE(IF($D39="pot",$C39,0))+VALUE(IF($H39="pot",$G39,0))</f>
        <v>0</v>
      </c>
      <c r="T39" s="148" t="n">
        <f aca="false">VALUE(IF($D39="táb",$C39,0))+VALUE(IF($H39="táb",$G39,0))</f>
        <v>0</v>
      </c>
      <c r="U39" s="148" t="n">
        <f aca="false">VALUE(IF($D39="oma",$C39,0))+VALUE(IF($H39="oma",$G39,0))</f>
        <v>0</v>
      </c>
      <c r="V39" s="148" t="n">
        <f aca="false">VALUE(IF($D39="ces",$C39,0))+VALUE(IF($H39="ces",$G39,0))</f>
        <v>0</v>
      </c>
      <c r="W39" s="148" t="n">
        <f aca="false">VALUE(IF($D39="poš",$C39,0))+VALUE(IF($H39="poš",$G39,0))</f>
        <v>0</v>
      </c>
      <c r="X39" s="148" t="n">
        <f aca="false">VALUE(IF($D39="tel",$C39,0))+VALUE(IF($H39="tel",$G39,0))</f>
        <v>0</v>
      </c>
      <c r="Y39" s="148" t="n">
        <f aca="false">VALUE(IF($D39="dop",$C39,0))+VALUE(IF($H39="dop",$G39,0))</f>
        <v>0</v>
      </c>
      <c r="Z39" s="148" t="n">
        <f aca="false">VALUE(IF($D39="nák",$C39,0))+VALUE(IF($H39="nák",$G39,0))</f>
        <v>0</v>
      </c>
      <c r="AA39" s="148" t="n">
        <f aca="false">VALUE(IF($D39="náj",$C39,0))+VALUE(IF($H39="náj",$G39,0))</f>
        <v>0</v>
      </c>
      <c r="AB39" s="148" t="n">
        <f aca="false">VALUE(IF($D39="půj",$C39,0))+VALUE(IF($H39="půj",$G39,0))</f>
        <v>0</v>
      </c>
      <c r="AC39" s="148" t="n">
        <f aca="false">VALUE(IF($D39="vst",$C39,0))+VALUE(IF($H39="vst",$G39,0))</f>
        <v>0</v>
      </c>
      <c r="AD39" s="148" t="n">
        <f aca="false">VALUE(IF($D39="kop",$C39,0))+VALUE(IF($H39="kop",$G39,0))</f>
        <v>0</v>
      </c>
      <c r="AE39" s="148" t="n">
        <f aca="false">VALUE(IF($D39="osl",$C39,0))+VALUE(IF($H39="osl",$G39,0))</f>
        <v>0</v>
      </c>
      <c r="AF39" s="148" t="n">
        <f aca="false">VALUE(IF($D39="vra",$C39,0))+VALUE(IF($H39="vra",$G39,0))</f>
        <v>0</v>
      </c>
      <c r="AG39" s="148" t="n">
        <f aca="false">VALUE(IF($D39="zho",$C39,0))+VALUE(IF($H39="zho",$G39,0))</f>
        <v>0</v>
      </c>
      <c r="AH39" s="148" t="n">
        <f aca="false">VALUE(IF($D39="zbú",$C39,0))+VALUE(IF($H39="zbú",$G39,0))</f>
        <v>0</v>
      </c>
      <c r="AI39" s="148" t="n">
        <f aca="false">VALUE(IF($D39="pří",$C39,0))+VALUE(IF($H39="pří",$G39,0))</f>
        <v>0</v>
      </c>
      <c r="AJ39" s="148" t="n">
        <f aca="false">VALUE(IF($D39="dot",$C39,0))+VALUE(IF($H39="dot",$G39,0))</f>
        <v>0</v>
      </c>
      <c r="AK39" s="148" t="n">
        <f aca="false">VALUE(IF($D39="opř",$C39,0))+VALUE(IF($H39="opř",$G39,0))</f>
        <v>0</v>
      </c>
      <c r="AL39" s="148" t="n">
        <f aca="false">SUM(P39:AK39)</f>
        <v>0</v>
      </c>
      <c r="AN39" s="180"/>
      <c r="AO39" s="181"/>
      <c r="AP39" s="182"/>
      <c r="AQ39" s="183"/>
    </row>
    <row r="40" customFormat="false" ht="12.75" hidden="false" customHeight="false" outlineLevel="0" collapsed="false">
      <c r="A40" s="221" t="n">
        <v>32</v>
      </c>
      <c r="B40" s="222"/>
      <c r="C40" s="185"/>
      <c r="D40" s="186"/>
      <c r="E40" s="186"/>
      <c r="F40" s="223"/>
      <c r="G40" s="224"/>
      <c r="H40" s="190"/>
      <c r="I40" s="177"/>
      <c r="J40" s="178" t="str">
        <f aca="false">IF(AL40=C40,IF(AL40=0,"-","ok"),"chyba")</f>
        <v>-</v>
      </c>
      <c r="K40" s="179"/>
      <c r="L40" s="179"/>
      <c r="M40" s="179"/>
      <c r="N40" s="179"/>
      <c r="P40" s="148" t="n">
        <f aca="false">VALUE(IF($D40="vyb",$C40,0))+VALUE(IF($H40="vyb",$G40,0))</f>
        <v>0</v>
      </c>
      <c r="Q40" s="148" t="n">
        <f aca="false">VALUE(IF($D40="mtv",$C40,0))+VALUE(IF($H40="mtv",$G40,0))</f>
        <v>0</v>
      </c>
      <c r="R40" s="148" t="n">
        <f aca="false">VALUE(IF($D40="mat",$C40,0))+VALUE(IF($H40="mat",$G40,0))</f>
        <v>0</v>
      </c>
      <c r="S40" s="148" t="n">
        <f aca="false">VALUE(IF($D40="pot",$C40,0))+VALUE(IF($H40="pot",$G40,0))</f>
        <v>0</v>
      </c>
      <c r="T40" s="148" t="n">
        <f aca="false">VALUE(IF($D40="táb",$C40,0))+VALUE(IF($H40="táb",$G40,0))</f>
        <v>0</v>
      </c>
      <c r="U40" s="148" t="n">
        <f aca="false">VALUE(IF($D40="oma",$C40,0))+VALUE(IF($H40="oma",$G40,0))</f>
        <v>0</v>
      </c>
      <c r="V40" s="148" t="n">
        <f aca="false">VALUE(IF($D40="ces",$C40,0))+VALUE(IF($H40="ces",$G40,0))</f>
        <v>0</v>
      </c>
      <c r="W40" s="148" t="n">
        <f aca="false">VALUE(IF($D40="poš",$C40,0))+VALUE(IF($H40="poš",$G40,0))</f>
        <v>0</v>
      </c>
      <c r="X40" s="148" t="n">
        <f aca="false">VALUE(IF($D40="tel",$C40,0))+VALUE(IF($H40="tel",$G40,0))</f>
        <v>0</v>
      </c>
      <c r="Y40" s="148" t="n">
        <f aca="false">VALUE(IF($D40="dop",$C40,0))+VALUE(IF($H40="dop",$G40,0))</f>
        <v>0</v>
      </c>
      <c r="Z40" s="148" t="n">
        <f aca="false">VALUE(IF($D40="nák",$C40,0))+VALUE(IF($H40="nák",$G40,0))</f>
        <v>0</v>
      </c>
      <c r="AA40" s="148" t="n">
        <f aca="false">VALUE(IF($D40="náj",$C40,0))+VALUE(IF($H40="náj",$G40,0))</f>
        <v>0</v>
      </c>
      <c r="AB40" s="148" t="n">
        <f aca="false">VALUE(IF($D40="půj",$C40,0))+VALUE(IF($H40="půj",$G40,0))</f>
        <v>0</v>
      </c>
      <c r="AC40" s="148" t="n">
        <f aca="false">VALUE(IF($D40="vst",$C40,0))+VALUE(IF($H40="vst",$G40,0))</f>
        <v>0</v>
      </c>
      <c r="AD40" s="148" t="n">
        <f aca="false">VALUE(IF($D40="kop",$C40,0))+VALUE(IF($H40="kop",$G40,0))</f>
        <v>0</v>
      </c>
      <c r="AE40" s="148" t="n">
        <f aca="false">VALUE(IF($D40="osl",$C40,0))+VALUE(IF($H40="osl",$G40,0))</f>
        <v>0</v>
      </c>
      <c r="AF40" s="148" t="n">
        <f aca="false">VALUE(IF($D40="vra",$C40,0))+VALUE(IF($H40="vra",$G40,0))</f>
        <v>0</v>
      </c>
      <c r="AG40" s="148" t="n">
        <f aca="false">VALUE(IF($D40="zho",$C40,0))+VALUE(IF($H40="zho",$G40,0))</f>
        <v>0</v>
      </c>
      <c r="AH40" s="148" t="n">
        <f aca="false">VALUE(IF($D40="zbú",$C40,0))+VALUE(IF($H40="zbú",$G40,0))</f>
        <v>0</v>
      </c>
      <c r="AI40" s="148" t="n">
        <f aca="false">VALUE(IF($D40="pří",$C40,0))+VALUE(IF($H40="pří",$G40,0))</f>
        <v>0</v>
      </c>
      <c r="AJ40" s="148" t="n">
        <f aca="false">VALUE(IF($D40="dot",$C40,0))+VALUE(IF($H40="dot",$G40,0))</f>
        <v>0</v>
      </c>
      <c r="AK40" s="148" t="n">
        <f aca="false">VALUE(IF($D40="opř",$C40,0))+VALUE(IF($H40="opř",$G40,0))</f>
        <v>0</v>
      </c>
      <c r="AL40" s="148" t="n">
        <f aca="false">SUM(P40:AK40)</f>
        <v>0</v>
      </c>
      <c r="AN40" s="180"/>
      <c r="AO40" s="181"/>
      <c r="AP40" s="182"/>
      <c r="AQ40" s="183"/>
    </row>
    <row r="41" customFormat="false" ht="12.75" hidden="false" customHeight="false" outlineLevel="0" collapsed="false">
      <c r="A41" s="221" t="n">
        <v>33</v>
      </c>
      <c r="B41" s="222"/>
      <c r="C41" s="185"/>
      <c r="D41" s="186"/>
      <c r="E41" s="186"/>
      <c r="F41" s="223"/>
      <c r="G41" s="224"/>
      <c r="H41" s="190"/>
      <c r="I41" s="177"/>
      <c r="J41" s="178" t="str">
        <f aca="false">IF(AL41=C41,IF(AL41=0,"-","ok"),"chyba")</f>
        <v>-</v>
      </c>
      <c r="K41" s="179"/>
      <c r="L41" s="179"/>
      <c r="M41" s="179"/>
      <c r="N41" s="179"/>
      <c r="P41" s="148" t="n">
        <f aca="false">VALUE(IF($D41="vyb",$C41,0))+VALUE(IF($H41="vyb",$G41,0))</f>
        <v>0</v>
      </c>
      <c r="Q41" s="148" t="n">
        <f aca="false">VALUE(IF($D41="mtv",$C41,0))+VALUE(IF($H41="mtv",$G41,0))</f>
        <v>0</v>
      </c>
      <c r="R41" s="148" t="n">
        <f aca="false">VALUE(IF($D41="mat",$C41,0))+VALUE(IF($H41="mat",$G41,0))</f>
        <v>0</v>
      </c>
      <c r="S41" s="148" t="n">
        <f aca="false">VALUE(IF($D41="pot",$C41,0))+VALUE(IF($H41="pot",$G41,0))</f>
        <v>0</v>
      </c>
      <c r="T41" s="148" t="n">
        <f aca="false">VALUE(IF($D41="táb",$C41,0))+VALUE(IF($H41="táb",$G41,0))</f>
        <v>0</v>
      </c>
      <c r="U41" s="148" t="n">
        <f aca="false">VALUE(IF($D41="oma",$C41,0))+VALUE(IF($H41="oma",$G41,0))</f>
        <v>0</v>
      </c>
      <c r="V41" s="148" t="n">
        <f aca="false">VALUE(IF($D41="ces",$C41,0))+VALUE(IF($H41="ces",$G41,0))</f>
        <v>0</v>
      </c>
      <c r="W41" s="148" t="n">
        <f aca="false">VALUE(IF($D41="poš",$C41,0))+VALUE(IF($H41="poš",$G41,0))</f>
        <v>0</v>
      </c>
      <c r="X41" s="148" t="n">
        <f aca="false">VALUE(IF($D41="tel",$C41,0))+VALUE(IF($H41="tel",$G41,0))</f>
        <v>0</v>
      </c>
      <c r="Y41" s="148" t="n">
        <f aca="false">VALUE(IF($D41="dop",$C41,0))+VALUE(IF($H41="dop",$G41,0))</f>
        <v>0</v>
      </c>
      <c r="Z41" s="148" t="n">
        <f aca="false">VALUE(IF($D41="nák",$C41,0))+VALUE(IF($H41="nák",$G41,0))</f>
        <v>0</v>
      </c>
      <c r="AA41" s="148" t="n">
        <f aca="false">VALUE(IF($D41="náj",$C41,0))+VALUE(IF($H41="náj",$G41,0))</f>
        <v>0</v>
      </c>
      <c r="AB41" s="148" t="n">
        <f aca="false">VALUE(IF($D41="půj",$C41,0))+VALUE(IF($H41="půj",$G41,0))</f>
        <v>0</v>
      </c>
      <c r="AC41" s="148" t="n">
        <f aca="false">VALUE(IF($D41="vst",$C41,0))+VALUE(IF($H41="vst",$G41,0))</f>
        <v>0</v>
      </c>
      <c r="AD41" s="148" t="n">
        <f aca="false">VALUE(IF($D41="kop",$C41,0))+VALUE(IF($H41="kop",$G41,0))</f>
        <v>0</v>
      </c>
      <c r="AE41" s="148" t="n">
        <f aca="false">VALUE(IF($D41="osl",$C41,0))+VALUE(IF($H41="osl",$G41,0))</f>
        <v>0</v>
      </c>
      <c r="AF41" s="148" t="n">
        <f aca="false">VALUE(IF($D41="vra",$C41,0))+VALUE(IF($H41="vra",$G41,0))</f>
        <v>0</v>
      </c>
      <c r="AG41" s="148" t="n">
        <f aca="false">VALUE(IF($D41="zho",$C41,0))+VALUE(IF($H41="zho",$G41,0))</f>
        <v>0</v>
      </c>
      <c r="AH41" s="148" t="n">
        <f aca="false">VALUE(IF($D41="zbú",$C41,0))+VALUE(IF($H41="zbú",$G41,0))</f>
        <v>0</v>
      </c>
      <c r="AI41" s="148" t="n">
        <f aca="false">VALUE(IF($D41="pří",$C41,0))+VALUE(IF($H41="pří",$G41,0))</f>
        <v>0</v>
      </c>
      <c r="AJ41" s="148" t="n">
        <f aca="false">VALUE(IF($D41="dot",$C41,0))+VALUE(IF($H41="dot",$G41,0))</f>
        <v>0</v>
      </c>
      <c r="AK41" s="148" t="n">
        <f aca="false">VALUE(IF($D41="opř",$C41,0))+VALUE(IF($H41="opř",$G41,0))</f>
        <v>0</v>
      </c>
      <c r="AL41" s="148" t="n">
        <f aca="false">SUM(P41:AK41)</f>
        <v>0</v>
      </c>
      <c r="AN41" s="180"/>
      <c r="AO41" s="181"/>
      <c r="AP41" s="182"/>
      <c r="AQ41" s="183"/>
    </row>
    <row r="42" customFormat="false" ht="12.75" hidden="false" customHeight="false" outlineLevel="0" collapsed="false">
      <c r="A42" s="221" t="n">
        <v>34</v>
      </c>
      <c r="B42" s="222"/>
      <c r="C42" s="185"/>
      <c r="D42" s="186"/>
      <c r="E42" s="186"/>
      <c r="F42" s="223"/>
      <c r="G42" s="224"/>
      <c r="H42" s="190"/>
      <c r="I42" s="177"/>
      <c r="J42" s="178" t="str">
        <f aca="false">IF(AL42=C42,IF(AL42=0,"-","ok"),"chyba")</f>
        <v>-</v>
      </c>
      <c r="K42" s="179"/>
      <c r="L42" s="179"/>
      <c r="M42" s="179"/>
      <c r="N42" s="179"/>
      <c r="P42" s="148" t="n">
        <f aca="false">VALUE(IF($D42="vyb",$C42,0))+VALUE(IF($H42="vyb",$G42,0))</f>
        <v>0</v>
      </c>
      <c r="Q42" s="148" t="n">
        <f aca="false">VALUE(IF($D42="mtv",$C42,0))+VALUE(IF($H42="mtv",$G42,0))</f>
        <v>0</v>
      </c>
      <c r="R42" s="148" t="n">
        <f aca="false">VALUE(IF($D42="mat",$C42,0))+VALUE(IF($H42="mat",$G42,0))</f>
        <v>0</v>
      </c>
      <c r="S42" s="148" t="n">
        <f aca="false">VALUE(IF($D42="pot",$C42,0))+VALUE(IF($H42="pot",$G42,0))</f>
        <v>0</v>
      </c>
      <c r="T42" s="148" t="n">
        <f aca="false">VALUE(IF($D42="táb",$C42,0))+VALUE(IF($H42="táb",$G42,0))</f>
        <v>0</v>
      </c>
      <c r="U42" s="148" t="n">
        <f aca="false">VALUE(IF($D42="oma",$C42,0))+VALUE(IF($H42="oma",$G42,0))</f>
        <v>0</v>
      </c>
      <c r="V42" s="148" t="n">
        <f aca="false">VALUE(IF($D42="ces",$C42,0))+VALUE(IF($H42="ces",$G42,0))</f>
        <v>0</v>
      </c>
      <c r="W42" s="148" t="n">
        <f aca="false">VALUE(IF($D42="poš",$C42,0))+VALUE(IF($H42="poš",$G42,0))</f>
        <v>0</v>
      </c>
      <c r="X42" s="148" t="n">
        <f aca="false">VALUE(IF($D42="tel",$C42,0))+VALUE(IF($H42="tel",$G42,0))</f>
        <v>0</v>
      </c>
      <c r="Y42" s="148" t="n">
        <f aca="false">VALUE(IF($D42="dop",$C42,0))+VALUE(IF($H42="dop",$G42,0))</f>
        <v>0</v>
      </c>
      <c r="Z42" s="148" t="n">
        <f aca="false">VALUE(IF($D42="nák",$C42,0))+VALUE(IF($H42="nák",$G42,0))</f>
        <v>0</v>
      </c>
      <c r="AA42" s="148" t="n">
        <f aca="false">VALUE(IF($D42="náj",$C42,0))+VALUE(IF($H42="náj",$G42,0))</f>
        <v>0</v>
      </c>
      <c r="AB42" s="148" t="n">
        <f aca="false">VALUE(IF($D42="půj",$C42,0))+VALUE(IF($H42="půj",$G42,0))</f>
        <v>0</v>
      </c>
      <c r="AC42" s="148" t="n">
        <f aca="false">VALUE(IF($D42="vst",$C42,0))+VALUE(IF($H42="vst",$G42,0))</f>
        <v>0</v>
      </c>
      <c r="AD42" s="148" t="n">
        <f aca="false">VALUE(IF($D42="kop",$C42,0))+VALUE(IF($H42="kop",$G42,0))</f>
        <v>0</v>
      </c>
      <c r="AE42" s="148" t="n">
        <f aca="false">VALUE(IF($D42="osl",$C42,0))+VALUE(IF($H42="osl",$G42,0))</f>
        <v>0</v>
      </c>
      <c r="AF42" s="148" t="n">
        <f aca="false">VALUE(IF($D42="vra",$C42,0))+VALUE(IF($H42="vra",$G42,0))</f>
        <v>0</v>
      </c>
      <c r="AG42" s="148" t="n">
        <f aca="false">VALUE(IF($D42="zho",$C42,0))+VALUE(IF($H42="zho",$G42,0))</f>
        <v>0</v>
      </c>
      <c r="AH42" s="148" t="n">
        <f aca="false">VALUE(IF($D42="zbú",$C42,0))+VALUE(IF($H42="zbú",$G42,0))</f>
        <v>0</v>
      </c>
      <c r="AI42" s="148" t="n">
        <f aca="false">VALUE(IF($D42="pří",$C42,0))+VALUE(IF($H42="pří",$G42,0))</f>
        <v>0</v>
      </c>
      <c r="AJ42" s="148" t="n">
        <f aca="false">VALUE(IF($D42="dot",$C42,0))+VALUE(IF($H42="dot",$G42,0))</f>
        <v>0</v>
      </c>
      <c r="AK42" s="148" t="n">
        <f aca="false">VALUE(IF($D42="opř",$C42,0))+VALUE(IF($H42="opř",$G42,0))</f>
        <v>0</v>
      </c>
      <c r="AL42" s="148" t="n">
        <f aca="false">SUM(P42:AK42)</f>
        <v>0</v>
      </c>
      <c r="AN42" s="180"/>
      <c r="AO42" s="181"/>
      <c r="AP42" s="182"/>
      <c r="AQ42" s="183"/>
    </row>
    <row r="43" customFormat="false" ht="12.75" hidden="false" customHeight="false" outlineLevel="0" collapsed="false">
      <c r="A43" s="221" t="n">
        <v>35</v>
      </c>
      <c r="B43" s="222"/>
      <c r="C43" s="185"/>
      <c r="D43" s="186"/>
      <c r="E43" s="186"/>
      <c r="F43" s="223"/>
      <c r="G43" s="224"/>
      <c r="H43" s="190"/>
      <c r="I43" s="177"/>
      <c r="J43" s="178" t="str">
        <f aca="false">IF(AL43=C43,IF(AL43=0,"-","ok"),"chyba")</f>
        <v>-</v>
      </c>
      <c r="K43" s="179"/>
      <c r="L43" s="179"/>
      <c r="M43" s="179"/>
      <c r="N43" s="179"/>
      <c r="P43" s="148" t="n">
        <f aca="false">VALUE(IF($D43="vyb",$C43,0))+VALUE(IF($H43="vyb",$G43,0))</f>
        <v>0</v>
      </c>
      <c r="Q43" s="148" t="n">
        <f aca="false">VALUE(IF($D43="mtv",$C43,0))+VALUE(IF($H43="mtv",$G43,0))</f>
        <v>0</v>
      </c>
      <c r="R43" s="148" t="n">
        <f aca="false">VALUE(IF($D43="mat",$C43,0))+VALUE(IF($H43="mat",$G43,0))</f>
        <v>0</v>
      </c>
      <c r="S43" s="148" t="n">
        <f aca="false">VALUE(IF($D43="pot",$C43,0))+VALUE(IF($H43="pot",$G43,0))</f>
        <v>0</v>
      </c>
      <c r="T43" s="148" t="n">
        <f aca="false">VALUE(IF($D43="táb",$C43,0))+VALUE(IF($H43="táb",$G43,0))</f>
        <v>0</v>
      </c>
      <c r="U43" s="148" t="n">
        <f aca="false">VALUE(IF($D43="oma",$C43,0))+VALUE(IF($H43="oma",$G43,0))</f>
        <v>0</v>
      </c>
      <c r="V43" s="148" t="n">
        <f aca="false">VALUE(IF($D43="ces",$C43,0))+VALUE(IF($H43="ces",$G43,0))</f>
        <v>0</v>
      </c>
      <c r="W43" s="148" t="n">
        <f aca="false">VALUE(IF($D43="poš",$C43,0))+VALUE(IF($H43="poš",$G43,0))</f>
        <v>0</v>
      </c>
      <c r="X43" s="148" t="n">
        <f aca="false">VALUE(IF($D43="tel",$C43,0))+VALUE(IF($H43="tel",$G43,0))</f>
        <v>0</v>
      </c>
      <c r="Y43" s="148" t="n">
        <f aca="false">VALUE(IF($D43="dop",$C43,0))+VALUE(IF($H43="dop",$G43,0))</f>
        <v>0</v>
      </c>
      <c r="Z43" s="148" t="n">
        <f aca="false">VALUE(IF($D43="nák",$C43,0))+VALUE(IF($H43="nák",$G43,0))</f>
        <v>0</v>
      </c>
      <c r="AA43" s="148" t="n">
        <f aca="false">VALUE(IF($D43="náj",$C43,0))+VALUE(IF($H43="náj",$G43,0))</f>
        <v>0</v>
      </c>
      <c r="AB43" s="148" t="n">
        <f aca="false">VALUE(IF($D43="půj",$C43,0))+VALUE(IF($H43="půj",$G43,0))</f>
        <v>0</v>
      </c>
      <c r="AC43" s="148" t="n">
        <f aca="false">VALUE(IF($D43="vst",$C43,0))+VALUE(IF($H43="vst",$G43,0))</f>
        <v>0</v>
      </c>
      <c r="AD43" s="148" t="n">
        <f aca="false">VALUE(IF($D43="kop",$C43,0))+VALUE(IF($H43="kop",$G43,0))</f>
        <v>0</v>
      </c>
      <c r="AE43" s="148" t="n">
        <f aca="false">VALUE(IF($D43="osl",$C43,0))+VALUE(IF($H43="osl",$G43,0))</f>
        <v>0</v>
      </c>
      <c r="AF43" s="148" t="n">
        <f aca="false">VALUE(IF($D43="vra",$C43,0))+VALUE(IF($H43="vra",$G43,0))</f>
        <v>0</v>
      </c>
      <c r="AG43" s="148" t="n">
        <f aca="false">VALUE(IF($D43="zho",$C43,0))+VALUE(IF($H43="zho",$G43,0))</f>
        <v>0</v>
      </c>
      <c r="AH43" s="148" t="n">
        <f aca="false">VALUE(IF($D43="zbú",$C43,0))+VALUE(IF($H43="zbú",$G43,0))</f>
        <v>0</v>
      </c>
      <c r="AI43" s="148" t="n">
        <f aca="false">VALUE(IF($D43="pří",$C43,0))+VALUE(IF($H43="pří",$G43,0))</f>
        <v>0</v>
      </c>
      <c r="AJ43" s="148" t="n">
        <f aca="false">VALUE(IF($D43="dot",$C43,0))+VALUE(IF($H43="dot",$G43,0))</f>
        <v>0</v>
      </c>
      <c r="AK43" s="148" t="n">
        <f aca="false">VALUE(IF($D43="opř",$C43,0))+VALUE(IF($H43="opř",$G43,0))</f>
        <v>0</v>
      </c>
      <c r="AL43" s="148" t="n">
        <f aca="false">SUM(P43:AK43)</f>
        <v>0</v>
      </c>
      <c r="AN43" s="180"/>
      <c r="AO43" s="181"/>
      <c r="AP43" s="182"/>
      <c r="AQ43" s="183"/>
    </row>
    <row r="44" customFormat="false" ht="12.75" hidden="false" customHeight="false" outlineLevel="0" collapsed="false">
      <c r="A44" s="221" t="n">
        <v>36</v>
      </c>
      <c r="B44" s="222"/>
      <c r="C44" s="185"/>
      <c r="D44" s="186"/>
      <c r="E44" s="186"/>
      <c r="F44" s="223"/>
      <c r="G44" s="224"/>
      <c r="H44" s="190"/>
      <c r="I44" s="177"/>
      <c r="J44" s="178" t="str">
        <f aca="false">IF(AL44=C44,IF(AL44=0,"-","ok"),"chyba")</f>
        <v>-</v>
      </c>
      <c r="K44" s="179"/>
      <c r="L44" s="179"/>
      <c r="M44" s="179"/>
      <c r="N44" s="179"/>
      <c r="P44" s="148" t="n">
        <f aca="false">VALUE(IF($D44="vyb",$C44,0))+VALUE(IF($H44="vyb",$G44,0))</f>
        <v>0</v>
      </c>
      <c r="Q44" s="148" t="n">
        <f aca="false">VALUE(IF($D44="mtv",$C44,0))+VALUE(IF($H44="mtv",$G44,0))</f>
        <v>0</v>
      </c>
      <c r="R44" s="148" t="n">
        <f aca="false">VALUE(IF($D44="mat",$C44,0))+VALUE(IF($H44="mat",$G44,0))</f>
        <v>0</v>
      </c>
      <c r="S44" s="148" t="n">
        <f aca="false">VALUE(IF($D44="pot",$C44,0))+VALUE(IF($H44="pot",$G44,0))</f>
        <v>0</v>
      </c>
      <c r="T44" s="148" t="n">
        <f aca="false">VALUE(IF($D44="táb",$C44,0))+VALUE(IF($H44="táb",$G44,0))</f>
        <v>0</v>
      </c>
      <c r="U44" s="148" t="n">
        <f aca="false">VALUE(IF($D44="oma",$C44,0))+VALUE(IF($H44="oma",$G44,0))</f>
        <v>0</v>
      </c>
      <c r="V44" s="148" t="n">
        <f aca="false">VALUE(IF($D44="ces",$C44,0))+VALUE(IF($H44="ces",$G44,0))</f>
        <v>0</v>
      </c>
      <c r="W44" s="148" t="n">
        <f aca="false">VALUE(IF($D44="poš",$C44,0))+VALUE(IF($H44="poš",$G44,0))</f>
        <v>0</v>
      </c>
      <c r="X44" s="148" t="n">
        <f aca="false">VALUE(IF($D44="tel",$C44,0))+VALUE(IF($H44="tel",$G44,0))</f>
        <v>0</v>
      </c>
      <c r="Y44" s="148" t="n">
        <f aca="false">VALUE(IF($D44="dop",$C44,0))+VALUE(IF($H44="dop",$G44,0))</f>
        <v>0</v>
      </c>
      <c r="Z44" s="148" t="n">
        <f aca="false">VALUE(IF($D44="nák",$C44,0))+VALUE(IF($H44="nák",$G44,0))</f>
        <v>0</v>
      </c>
      <c r="AA44" s="148" t="n">
        <f aca="false">VALUE(IF($D44="náj",$C44,0))+VALUE(IF($H44="náj",$G44,0))</f>
        <v>0</v>
      </c>
      <c r="AB44" s="148" t="n">
        <f aca="false">VALUE(IF($D44="půj",$C44,0))+VALUE(IF($H44="půj",$G44,0))</f>
        <v>0</v>
      </c>
      <c r="AC44" s="148" t="n">
        <f aca="false">VALUE(IF($D44="vst",$C44,0))+VALUE(IF($H44="vst",$G44,0))</f>
        <v>0</v>
      </c>
      <c r="AD44" s="148" t="n">
        <f aca="false">VALUE(IF($D44="kop",$C44,0))+VALUE(IF($H44="kop",$G44,0))</f>
        <v>0</v>
      </c>
      <c r="AE44" s="148" t="n">
        <f aca="false">VALUE(IF($D44="osl",$C44,0))+VALUE(IF($H44="osl",$G44,0))</f>
        <v>0</v>
      </c>
      <c r="AF44" s="148" t="n">
        <f aca="false">VALUE(IF($D44="vra",$C44,0))+VALUE(IF($H44="vra",$G44,0))</f>
        <v>0</v>
      </c>
      <c r="AG44" s="148" t="n">
        <f aca="false">VALUE(IF($D44="zho",$C44,0))+VALUE(IF($H44="zho",$G44,0))</f>
        <v>0</v>
      </c>
      <c r="AH44" s="148" t="n">
        <f aca="false">VALUE(IF($D44="zbú",$C44,0))+VALUE(IF($H44="zbú",$G44,0))</f>
        <v>0</v>
      </c>
      <c r="AI44" s="148" t="n">
        <f aca="false">VALUE(IF($D44="pří",$C44,0))+VALUE(IF($H44="pří",$G44,0))</f>
        <v>0</v>
      </c>
      <c r="AJ44" s="148" t="n">
        <f aca="false">VALUE(IF($D44="dot",$C44,0))+VALUE(IF($H44="dot",$G44,0))</f>
        <v>0</v>
      </c>
      <c r="AK44" s="148" t="n">
        <f aca="false">VALUE(IF($D44="opř",$C44,0))+VALUE(IF($H44="opř",$G44,0))</f>
        <v>0</v>
      </c>
      <c r="AL44" s="148" t="n">
        <f aca="false">SUM(P44:AK44)</f>
        <v>0</v>
      </c>
      <c r="AN44" s="180"/>
      <c r="AO44" s="181"/>
      <c r="AP44" s="182"/>
      <c r="AQ44" s="183"/>
    </row>
    <row r="45" customFormat="false" ht="12.75" hidden="false" customHeight="false" outlineLevel="0" collapsed="false">
      <c r="A45" s="221" t="n">
        <v>37</v>
      </c>
      <c r="B45" s="222"/>
      <c r="C45" s="185"/>
      <c r="D45" s="186"/>
      <c r="E45" s="186"/>
      <c r="F45" s="223"/>
      <c r="G45" s="224"/>
      <c r="H45" s="190"/>
      <c r="I45" s="177"/>
      <c r="J45" s="178" t="str">
        <f aca="false">IF(AL45=C45,IF(AL45=0,"-","ok"),"chyba")</f>
        <v>-</v>
      </c>
      <c r="K45" s="179"/>
      <c r="L45" s="179"/>
      <c r="M45" s="179"/>
      <c r="N45" s="179"/>
      <c r="P45" s="148" t="n">
        <f aca="false">VALUE(IF($D45="vyb",$C45,0))+VALUE(IF($H45="vyb",$G45,0))</f>
        <v>0</v>
      </c>
      <c r="Q45" s="148" t="n">
        <f aca="false">VALUE(IF($D45="mtv",$C45,0))+VALUE(IF($H45="mtv",$G45,0))</f>
        <v>0</v>
      </c>
      <c r="R45" s="148" t="n">
        <f aca="false">VALUE(IF($D45="mat",$C45,0))+VALUE(IF($H45="mat",$G45,0))</f>
        <v>0</v>
      </c>
      <c r="S45" s="148" t="n">
        <f aca="false">VALUE(IF($D45="pot",$C45,0))+VALUE(IF($H45="pot",$G45,0))</f>
        <v>0</v>
      </c>
      <c r="T45" s="148" t="n">
        <f aca="false">VALUE(IF($D45="táb",$C45,0))+VALUE(IF($H45="táb",$G45,0))</f>
        <v>0</v>
      </c>
      <c r="U45" s="148" t="n">
        <f aca="false">VALUE(IF($D45="oma",$C45,0))+VALUE(IF($H45="oma",$G45,0))</f>
        <v>0</v>
      </c>
      <c r="V45" s="148" t="n">
        <f aca="false">VALUE(IF($D45="ces",$C45,0))+VALUE(IF($H45="ces",$G45,0))</f>
        <v>0</v>
      </c>
      <c r="W45" s="148" t="n">
        <f aca="false">VALUE(IF($D45="poš",$C45,0))+VALUE(IF($H45="poš",$G45,0))</f>
        <v>0</v>
      </c>
      <c r="X45" s="148" t="n">
        <f aca="false">VALUE(IF($D45="tel",$C45,0))+VALUE(IF($H45="tel",$G45,0))</f>
        <v>0</v>
      </c>
      <c r="Y45" s="148" t="n">
        <f aca="false">VALUE(IF($D45="dop",$C45,0))+VALUE(IF($H45="dop",$G45,0))</f>
        <v>0</v>
      </c>
      <c r="Z45" s="148" t="n">
        <f aca="false">VALUE(IF($D45="nák",$C45,0))+VALUE(IF($H45="nák",$G45,0))</f>
        <v>0</v>
      </c>
      <c r="AA45" s="148" t="n">
        <f aca="false">VALUE(IF($D45="náj",$C45,0))+VALUE(IF($H45="náj",$G45,0))</f>
        <v>0</v>
      </c>
      <c r="AB45" s="148" t="n">
        <f aca="false">VALUE(IF($D45="půj",$C45,0))+VALUE(IF($H45="půj",$G45,0))</f>
        <v>0</v>
      </c>
      <c r="AC45" s="148" t="n">
        <f aca="false">VALUE(IF($D45="vst",$C45,0))+VALUE(IF($H45="vst",$G45,0))</f>
        <v>0</v>
      </c>
      <c r="AD45" s="148" t="n">
        <f aca="false">VALUE(IF($D45="kop",$C45,0))+VALUE(IF($H45="kop",$G45,0))</f>
        <v>0</v>
      </c>
      <c r="AE45" s="148" t="n">
        <f aca="false">VALUE(IF($D45="osl",$C45,0))+VALUE(IF($H45="osl",$G45,0))</f>
        <v>0</v>
      </c>
      <c r="AF45" s="148" t="n">
        <f aca="false">VALUE(IF($D45="vra",$C45,0))+VALUE(IF($H45="vra",$G45,0))</f>
        <v>0</v>
      </c>
      <c r="AG45" s="148" t="n">
        <f aca="false">VALUE(IF($D45="zho",$C45,0))+VALUE(IF($H45="zho",$G45,0))</f>
        <v>0</v>
      </c>
      <c r="AH45" s="148" t="n">
        <f aca="false">VALUE(IF($D45="zbú",$C45,0))+VALUE(IF($H45="zbú",$G45,0))</f>
        <v>0</v>
      </c>
      <c r="AI45" s="148" t="n">
        <f aca="false">VALUE(IF($D45="pří",$C45,0))+VALUE(IF($H45="pří",$G45,0))</f>
        <v>0</v>
      </c>
      <c r="AJ45" s="148" t="n">
        <f aca="false">VALUE(IF($D45="dot",$C45,0))+VALUE(IF($H45="dot",$G45,0))</f>
        <v>0</v>
      </c>
      <c r="AK45" s="148" t="n">
        <f aca="false">VALUE(IF($D45="opř",$C45,0))+VALUE(IF($H45="opř",$G45,0))</f>
        <v>0</v>
      </c>
      <c r="AL45" s="148" t="n">
        <f aca="false">SUM(P45:AK45)</f>
        <v>0</v>
      </c>
      <c r="AN45" s="180"/>
      <c r="AO45" s="181"/>
      <c r="AP45" s="182"/>
      <c r="AQ45" s="183"/>
    </row>
    <row r="46" customFormat="false" ht="12.75" hidden="false" customHeight="false" outlineLevel="0" collapsed="false">
      <c r="A46" s="221" t="n">
        <v>38</v>
      </c>
      <c r="B46" s="222"/>
      <c r="C46" s="185"/>
      <c r="D46" s="186"/>
      <c r="E46" s="186"/>
      <c r="F46" s="223"/>
      <c r="G46" s="224"/>
      <c r="H46" s="190"/>
      <c r="I46" s="177"/>
      <c r="J46" s="178" t="str">
        <f aca="false">IF(AL46=C46,IF(AL46=0,"-","ok"),"chyba")</f>
        <v>-</v>
      </c>
      <c r="K46" s="179"/>
      <c r="L46" s="179"/>
      <c r="M46" s="179"/>
      <c r="N46" s="179"/>
      <c r="P46" s="148" t="n">
        <f aca="false">VALUE(IF($D46="vyb",$C46,0))+VALUE(IF($H46="vyb",$G46,0))</f>
        <v>0</v>
      </c>
      <c r="Q46" s="148" t="n">
        <f aca="false">VALUE(IF($D46="mtv",$C46,0))+VALUE(IF($H46="mtv",$G46,0))</f>
        <v>0</v>
      </c>
      <c r="R46" s="148" t="n">
        <f aca="false">VALUE(IF($D46="mat",$C46,0))+VALUE(IF($H46="mat",$G46,0))</f>
        <v>0</v>
      </c>
      <c r="S46" s="148" t="n">
        <f aca="false">VALUE(IF($D46="pot",$C46,0))+VALUE(IF($H46="pot",$G46,0))</f>
        <v>0</v>
      </c>
      <c r="T46" s="148" t="n">
        <f aca="false">VALUE(IF($D46="táb",$C46,0))+VALUE(IF($H46="táb",$G46,0))</f>
        <v>0</v>
      </c>
      <c r="U46" s="148" t="n">
        <f aca="false">VALUE(IF($D46="oma",$C46,0))+VALUE(IF($H46="oma",$G46,0))</f>
        <v>0</v>
      </c>
      <c r="V46" s="148" t="n">
        <f aca="false">VALUE(IF($D46="ces",$C46,0))+VALUE(IF($H46="ces",$G46,0))</f>
        <v>0</v>
      </c>
      <c r="W46" s="148" t="n">
        <f aca="false">VALUE(IF($D46="poš",$C46,0))+VALUE(IF($H46="poš",$G46,0))</f>
        <v>0</v>
      </c>
      <c r="X46" s="148" t="n">
        <f aca="false">VALUE(IF($D46="tel",$C46,0))+VALUE(IF($H46="tel",$G46,0))</f>
        <v>0</v>
      </c>
      <c r="Y46" s="148" t="n">
        <f aca="false">VALUE(IF($D46="dop",$C46,0))+VALUE(IF($H46="dop",$G46,0))</f>
        <v>0</v>
      </c>
      <c r="Z46" s="148" t="n">
        <f aca="false">VALUE(IF($D46="nák",$C46,0))+VALUE(IF($H46="nák",$G46,0))</f>
        <v>0</v>
      </c>
      <c r="AA46" s="148" t="n">
        <f aca="false">VALUE(IF($D46="náj",$C46,0))+VALUE(IF($H46="náj",$G46,0))</f>
        <v>0</v>
      </c>
      <c r="AB46" s="148" t="n">
        <f aca="false">VALUE(IF($D46="půj",$C46,0))+VALUE(IF($H46="půj",$G46,0))</f>
        <v>0</v>
      </c>
      <c r="AC46" s="148" t="n">
        <f aca="false">VALUE(IF($D46="vst",$C46,0))+VALUE(IF($H46="vst",$G46,0))</f>
        <v>0</v>
      </c>
      <c r="AD46" s="148" t="n">
        <f aca="false">VALUE(IF($D46="kop",$C46,0))+VALUE(IF($H46="kop",$G46,0))</f>
        <v>0</v>
      </c>
      <c r="AE46" s="148" t="n">
        <f aca="false">VALUE(IF($D46="osl",$C46,0))+VALUE(IF($H46="osl",$G46,0))</f>
        <v>0</v>
      </c>
      <c r="AF46" s="148" t="n">
        <f aca="false">VALUE(IF($D46="vra",$C46,0))+VALUE(IF($H46="vra",$G46,0))</f>
        <v>0</v>
      </c>
      <c r="AG46" s="148" t="n">
        <f aca="false">VALUE(IF($D46="zho",$C46,0))+VALUE(IF($H46="zho",$G46,0))</f>
        <v>0</v>
      </c>
      <c r="AH46" s="148" t="n">
        <f aca="false">VALUE(IF($D46="zbú",$C46,0))+VALUE(IF($H46="zbú",$G46,0))</f>
        <v>0</v>
      </c>
      <c r="AI46" s="148" t="n">
        <f aca="false">VALUE(IF($D46="pří",$C46,0))+VALUE(IF($H46="pří",$G46,0))</f>
        <v>0</v>
      </c>
      <c r="AJ46" s="148" t="n">
        <f aca="false">VALUE(IF($D46="dot",$C46,0))+VALUE(IF($H46="dot",$G46,0))</f>
        <v>0</v>
      </c>
      <c r="AK46" s="148" t="n">
        <f aca="false">VALUE(IF($D46="opř",$C46,0))+VALUE(IF($H46="opř",$G46,0))</f>
        <v>0</v>
      </c>
      <c r="AL46" s="148" t="n">
        <f aca="false">SUM(P46:AK46)</f>
        <v>0</v>
      </c>
      <c r="AN46" s="180"/>
      <c r="AO46" s="181"/>
      <c r="AP46" s="182"/>
      <c r="AQ46" s="183"/>
    </row>
    <row r="47" customFormat="false" ht="12.75" hidden="false" customHeight="false" outlineLevel="0" collapsed="false">
      <c r="A47" s="221" t="n">
        <v>39</v>
      </c>
      <c r="B47" s="222"/>
      <c r="C47" s="185"/>
      <c r="D47" s="186"/>
      <c r="E47" s="186"/>
      <c r="F47" s="223"/>
      <c r="G47" s="224"/>
      <c r="H47" s="190"/>
      <c r="I47" s="177"/>
      <c r="J47" s="178" t="str">
        <f aca="false">IF(AL47=C47,IF(AL47=0,"-","ok"),"chyba")</f>
        <v>-</v>
      </c>
      <c r="K47" s="179"/>
      <c r="L47" s="179"/>
      <c r="M47" s="179"/>
      <c r="N47" s="179"/>
      <c r="P47" s="148" t="n">
        <f aca="false">VALUE(IF($D47="vyb",$C47,0))+VALUE(IF($H47="vyb",$G47,0))</f>
        <v>0</v>
      </c>
      <c r="Q47" s="148" t="n">
        <f aca="false">VALUE(IF($D47="mtv",$C47,0))+VALUE(IF($H47="mtv",$G47,0))</f>
        <v>0</v>
      </c>
      <c r="R47" s="148" t="n">
        <f aca="false">VALUE(IF($D47="mat",$C47,0))+VALUE(IF($H47="mat",$G47,0))</f>
        <v>0</v>
      </c>
      <c r="S47" s="148" t="n">
        <f aca="false">VALUE(IF($D47="pot",$C47,0))+VALUE(IF($H47="pot",$G47,0))</f>
        <v>0</v>
      </c>
      <c r="T47" s="148" t="n">
        <f aca="false">VALUE(IF($D47="táb",$C47,0))+VALUE(IF($H47="táb",$G47,0))</f>
        <v>0</v>
      </c>
      <c r="U47" s="148" t="n">
        <f aca="false">VALUE(IF($D47="oma",$C47,0))+VALUE(IF($H47="oma",$G47,0))</f>
        <v>0</v>
      </c>
      <c r="V47" s="148" t="n">
        <f aca="false">VALUE(IF($D47="ces",$C47,0))+VALUE(IF($H47="ces",$G47,0))</f>
        <v>0</v>
      </c>
      <c r="W47" s="148" t="n">
        <f aca="false">VALUE(IF($D47="poš",$C47,0))+VALUE(IF($H47="poš",$G47,0))</f>
        <v>0</v>
      </c>
      <c r="X47" s="148" t="n">
        <f aca="false">VALUE(IF($D47="tel",$C47,0))+VALUE(IF($H47="tel",$G47,0))</f>
        <v>0</v>
      </c>
      <c r="Y47" s="148" t="n">
        <f aca="false">VALUE(IF($D47="dop",$C47,0))+VALUE(IF($H47="dop",$G47,0))</f>
        <v>0</v>
      </c>
      <c r="Z47" s="148" t="n">
        <f aca="false">VALUE(IF($D47="nák",$C47,0))+VALUE(IF($H47="nák",$G47,0))</f>
        <v>0</v>
      </c>
      <c r="AA47" s="148" t="n">
        <f aca="false">VALUE(IF($D47="náj",$C47,0))+VALUE(IF($H47="náj",$G47,0))</f>
        <v>0</v>
      </c>
      <c r="AB47" s="148" t="n">
        <f aca="false">VALUE(IF($D47="půj",$C47,0))+VALUE(IF($H47="půj",$G47,0))</f>
        <v>0</v>
      </c>
      <c r="AC47" s="148" t="n">
        <f aca="false">VALUE(IF($D47="vst",$C47,0))+VALUE(IF($H47="vst",$G47,0))</f>
        <v>0</v>
      </c>
      <c r="AD47" s="148" t="n">
        <f aca="false">VALUE(IF($D47="kop",$C47,0))+VALUE(IF($H47="kop",$G47,0))</f>
        <v>0</v>
      </c>
      <c r="AE47" s="148" t="n">
        <f aca="false">VALUE(IF($D47="osl",$C47,0))+VALUE(IF($H47="osl",$G47,0))</f>
        <v>0</v>
      </c>
      <c r="AF47" s="148" t="n">
        <f aca="false">VALUE(IF($D47="vra",$C47,0))+VALUE(IF($H47="vra",$G47,0))</f>
        <v>0</v>
      </c>
      <c r="AG47" s="148" t="n">
        <f aca="false">VALUE(IF($D47="zho",$C47,0))+VALUE(IF($H47="zho",$G47,0))</f>
        <v>0</v>
      </c>
      <c r="AH47" s="148" t="n">
        <f aca="false">VALUE(IF($D47="zbú",$C47,0))+VALUE(IF($H47="zbú",$G47,0))</f>
        <v>0</v>
      </c>
      <c r="AI47" s="148" t="n">
        <f aca="false">VALUE(IF($D47="pří",$C47,0))+VALUE(IF($H47="pří",$G47,0))</f>
        <v>0</v>
      </c>
      <c r="AJ47" s="148" t="n">
        <f aca="false">VALUE(IF($D47="dot",$C47,0))+VALUE(IF($H47="dot",$G47,0))</f>
        <v>0</v>
      </c>
      <c r="AK47" s="148" t="n">
        <f aca="false">VALUE(IF($D47="opř",$C47,0))+VALUE(IF($H47="opř",$G47,0))</f>
        <v>0</v>
      </c>
      <c r="AL47" s="148" t="n">
        <f aca="false">SUM(P47:AK47)</f>
        <v>0</v>
      </c>
      <c r="AN47" s="180"/>
      <c r="AO47" s="181"/>
      <c r="AP47" s="182"/>
      <c r="AQ47" s="183"/>
    </row>
    <row r="48" customFormat="false" ht="12.75" hidden="false" customHeight="false" outlineLevel="0" collapsed="false">
      <c r="A48" s="221" t="n">
        <v>40</v>
      </c>
      <c r="B48" s="222"/>
      <c r="C48" s="185"/>
      <c r="D48" s="186"/>
      <c r="E48" s="186"/>
      <c r="F48" s="223"/>
      <c r="G48" s="224"/>
      <c r="H48" s="190"/>
      <c r="I48" s="177"/>
      <c r="J48" s="178" t="str">
        <f aca="false">IF(AL48=C48,IF(AL48=0,"-","ok"),"chyba")</f>
        <v>-</v>
      </c>
      <c r="K48" s="179"/>
      <c r="L48" s="179"/>
      <c r="M48" s="179"/>
      <c r="N48" s="179"/>
      <c r="P48" s="148" t="n">
        <f aca="false">VALUE(IF($D48="vyb",$C48,0))+VALUE(IF($H48="vyb",$G48,0))</f>
        <v>0</v>
      </c>
      <c r="Q48" s="148" t="n">
        <f aca="false">VALUE(IF($D48="mtv",$C48,0))+VALUE(IF($H48="mtv",$G48,0))</f>
        <v>0</v>
      </c>
      <c r="R48" s="148" t="n">
        <f aca="false">VALUE(IF($D48="mat",$C48,0))+VALUE(IF($H48="mat",$G48,0))</f>
        <v>0</v>
      </c>
      <c r="S48" s="148" t="n">
        <f aca="false">VALUE(IF($D48="pot",$C48,0))+VALUE(IF($H48="pot",$G48,0))</f>
        <v>0</v>
      </c>
      <c r="T48" s="148" t="n">
        <f aca="false">VALUE(IF($D48="táb",$C48,0))+VALUE(IF($H48="táb",$G48,0))</f>
        <v>0</v>
      </c>
      <c r="U48" s="148" t="n">
        <f aca="false">VALUE(IF($D48="oma",$C48,0))+VALUE(IF($H48="oma",$G48,0))</f>
        <v>0</v>
      </c>
      <c r="V48" s="148" t="n">
        <f aca="false">VALUE(IF($D48="ces",$C48,0))+VALUE(IF($H48="ces",$G48,0))</f>
        <v>0</v>
      </c>
      <c r="W48" s="148" t="n">
        <f aca="false">VALUE(IF($D48="poš",$C48,0))+VALUE(IF($H48="poš",$G48,0))</f>
        <v>0</v>
      </c>
      <c r="X48" s="148" t="n">
        <f aca="false">VALUE(IF($D48="tel",$C48,0))+VALUE(IF($H48="tel",$G48,0))</f>
        <v>0</v>
      </c>
      <c r="Y48" s="148" t="n">
        <f aca="false">VALUE(IF($D48="dop",$C48,0))+VALUE(IF($H48="dop",$G48,0))</f>
        <v>0</v>
      </c>
      <c r="Z48" s="148" t="n">
        <f aca="false">VALUE(IF($D48="nák",$C48,0))+VALUE(IF($H48="nák",$G48,0))</f>
        <v>0</v>
      </c>
      <c r="AA48" s="148" t="n">
        <f aca="false">VALUE(IF($D48="náj",$C48,0))+VALUE(IF($H48="náj",$G48,0))</f>
        <v>0</v>
      </c>
      <c r="AB48" s="148" t="n">
        <f aca="false">VALUE(IF($D48="půj",$C48,0))+VALUE(IF($H48="půj",$G48,0))</f>
        <v>0</v>
      </c>
      <c r="AC48" s="148" t="n">
        <f aca="false">VALUE(IF($D48="vst",$C48,0))+VALUE(IF($H48="vst",$G48,0))</f>
        <v>0</v>
      </c>
      <c r="AD48" s="148" t="n">
        <f aca="false">VALUE(IF($D48="kop",$C48,0))+VALUE(IF($H48="kop",$G48,0))</f>
        <v>0</v>
      </c>
      <c r="AE48" s="148" t="n">
        <f aca="false">VALUE(IF($D48="osl",$C48,0))+VALUE(IF($H48="osl",$G48,0))</f>
        <v>0</v>
      </c>
      <c r="AF48" s="148" t="n">
        <f aca="false">VALUE(IF($D48="vra",$C48,0))+VALUE(IF($H48="vra",$G48,0))</f>
        <v>0</v>
      </c>
      <c r="AG48" s="148" t="n">
        <f aca="false">VALUE(IF($D48="zho",$C48,0))+VALUE(IF($H48="zho",$G48,0))</f>
        <v>0</v>
      </c>
      <c r="AH48" s="148" t="n">
        <f aca="false">VALUE(IF($D48="zbú",$C48,0))+VALUE(IF($H48="zbú",$G48,0))</f>
        <v>0</v>
      </c>
      <c r="AI48" s="148" t="n">
        <f aca="false">VALUE(IF($D48="pří",$C48,0))+VALUE(IF($H48="pří",$G48,0))</f>
        <v>0</v>
      </c>
      <c r="AJ48" s="148" t="n">
        <f aca="false">VALUE(IF($D48="dot",$C48,0))+VALUE(IF($H48="dot",$G48,0))</f>
        <v>0</v>
      </c>
      <c r="AK48" s="148" t="n">
        <f aca="false">VALUE(IF($D48="opř",$C48,0))+VALUE(IF($H48="opř",$G48,0))</f>
        <v>0</v>
      </c>
      <c r="AL48" s="148" t="n">
        <f aca="false">SUM(P48:AK48)</f>
        <v>0</v>
      </c>
      <c r="AN48" s="180"/>
      <c r="AO48" s="181"/>
      <c r="AP48" s="182"/>
      <c r="AQ48" s="183"/>
    </row>
    <row r="49" customFormat="false" ht="12.75" hidden="false" customHeight="false" outlineLevel="0" collapsed="false">
      <c r="A49" s="221" t="n">
        <v>41</v>
      </c>
      <c r="B49" s="222"/>
      <c r="C49" s="185"/>
      <c r="D49" s="186"/>
      <c r="E49" s="186"/>
      <c r="F49" s="223"/>
      <c r="G49" s="224"/>
      <c r="H49" s="190"/>
      <c r="I49" s="177"/>
      <c r="J49" s="178" t="str">
        <f aca="false">IF(AL49=C49,IF(AL49=0,"-","ok"),"chyba")</f>
        <v>-</v>
      </c>
      <c r="K49" s="179"/>
      <c r="L49" s="179"/>
      <c r="M49" s="179"/>
      <c r="N49" s="179"/>
      <c r="P49" s="148" t="n">
        <f aca="false">VALUE(IF($D49="vyb",$C49,0))+VALUE(IF($H49="vyb",$G49,0))</f>
        <v>0</v>
      </c>
      <c r="Q49" s="148" t="n">
        <f aca="false">VALUE(IF($D49="mtv",$C49,0))+VALUE(IF($H49="mtv",$G49,0))</f>
        <v>0</v>
      </c>
      <c r="R49" s="148" t="n">
        <f aca="false">VALUE(IF($D49="mat",$C49,0))+VALUE(IF($H49="mat",$G49,0))</f>
        <v>0</v>
      </c>
      <c r="S49" s="148" t="n">
        <f aca="false">VALUE(IF($D49="pot",$C49,0))+VALUE(IF($H49="pot",$G49,0))</f>
        <v>0</v>
      </c>
      <c r="T49" s="148" t="n">
        <f aca="false">VALUE(IF($D49="táb",$C49,0))+VALUE(IF($H49="táb",$G49,0))</f>
        <v>0</v>
      </c>
      <c r="U49" s="148" t="n">
        <f aca="false">VALUE(IF($D49="oma",$C49,0))+VALUE(IF($H49="oma",$G49,0))</f>
        <v>0</v>
      </c>
      <c r="V49" s="148" t="n">
        <f aca="false">VALUE(IF($D49="ces",$C49,0))+VALUE(IF($H49="ces",$G49,0))</f>
        <v>0</v>
      </c>
      <c r="W49" s="148" t="n">
        <f aca="false">VALUE(IF($D49="poš",$C49,0))+VALUE(IF($H49="poš",$G49,0))</f>
        <v>0</v>
      </c>
      <c r="X49" s="148" t="n">
        <f aca="false">VALUE(IF($D49="tel",$C49,0))+VALUE(IF($H49="tel",$G49,0))</f>
        <v>0</v>
      </c>
      <c r="Y49" s="148" t="n">
        <f aca="false">VALUE(IF($D49="dop",$C49,0))+VALUE(IF($H49="dop",$G49,0))</f>
        <v>0</v>
      </c>
      <c r="Z49" s="148" t="n">
        <f aca="false">VALUE(IF($D49="nák",$C49,0))+VALUE(IF($H49="nák",$G49,0))</f>
        <v>0</v>
      </c>
      <c r="AA49" s="148" t="n">
        <f aca="false">VALUE(IF($D49="náj",$C49,0))+VALUE(IF($H49="náj",$G49,0))</f>
        <v>0</v>
      </c>
      <c r="AB49" s="148" t="n">
        <f aca="false">VALUE(IF($D49="půj",$C49,0))+VALUE(IF($H49="půj",$G49,0))</f>
        <v>0</v>
      </c>
      <c r="AC49" s="148" t="n">
        <f aca="false">VALUE(IF($D49="vst",$C49,0))+VALUE(IF($H49="vst",$G49,0))</f>
        <v>0</v>
      </c>
      <c r="AD49" s="148" t="n">
        <f aca="false">VALUE(IF($D49="kop",$C49,0))+VALUE(IF($H49="kop",$G49,0))</f>
        <v>0</v>
      </c>
      <c r="AE49" s="148" t="n">
        <f aca="false">VALUE(IF($D49="osl",$C49,0))+VALUE(IF($H49="osl",$G49,0))</f>
        <v>0</v>
      </c>
      <c r="AF49" s="148" t="n">
        <f aca="false">VALUE(IF($D49="vra",$C49,0))+VALUE(IF($H49="vra",$G49,0))</f>
        <v>0</v>
      </c>
      <c r="AG49" s="148" t="n">
        <f aca="false">VALUE(IF($D49="zho",$C49,0))+VALUE(IF($H49="zho",$G49,0))</f>
        <v>0</v>
      </c>
      <c r="AH49" s="148" t="n">
        <f aca="false">VALUE(IF($D49="zbú",$C49,0))+VALUE(IF($H49="zbú",$G49,0))</f>
        <v>0</v>
      </c>
      <c r="AI49" s="148" t="n">
        <f aca="false">VALUE(IF($D49="pří",$C49,0))+VALUE(IF($H49="pří",$G49,0))</f>
        <v>0</v>
      </c>
      <c r="AJ49" s="148" t="n">
        <f aca="false">VALUE(IF($D49="dot",$C49,0))+VALUE(IF($H49="dot",$G49,0))</f>
        <v>0</v>
      </c>
      <c r="AK49" s="148" t="n">
        <f aca="false">VALUE(IF($D49="opř",$C49,0))+VALUE(IF($H49="opř",$G49,0))</f>
        <v>0</v>
      </c>
      <c r="AL49" s="148" t="n">
        <f aca="false">SUM(P49:AK49)</f>
        <v>0</v>
      </c>
      <c r="AN49" s="180"/>
      <c r="AO49" s="181"/>
      <c r="AP49" s="182"/>
      <c r="AQ49" s="183"/>
    </row>
    <row r="50" customFormat="false" ht="12.75" hidden="false" customHeight="false" outlineLevel="0" collapsed="false">
      <c r="A50" s="221" t="n">
        <v>42</v>
      </c>
      <c r="B50" s="222"/>
      <c r="C50" s="185"/>
      <c r="D50" s="186"/>
      <c r="E50" s="186"/>
      <c r="F50" s="223"/>
      <c r="G50" s="224"/>
      <c r="H50" s="190"/>
      <c r="I50" s="177"/>
      <c r="J50" s="178" t="str">
        <f aca="false">IF(AL50=C50,IF(AL50=0,"-","ok"),"chyba")</f>
        <v>-</v>
      </c>
      <c r="K50" s="179"/>
      <c r="L50" s="179"/>
      <c r="M50" s="179"/>
      <c r="N50" s="179"/>
      <c r="P50" s="148" t="n">
        <f aca="false">VALUE(IF($D50="vyb",$C50,0))+VALUE(IF($H50="vyb",$G50,0))</f>
        <v>0</v>
      </c>
      <c r="Q50" s="148" t="n">
        <f aca="false">VALUE(IF($D50="mtv",$C50,0))+VALUE(IF($H50="mtv",$G50,0))</f>
        <v>0</v>
      </c>
      <c r="R50" s="148" t="n">
        <f aca="false">VALUE(IF($D50="mat",$C50,0))+VALUE(IF($H50="mat",$G50,0))</f>
        <v>0</v>
      </c>
      <c r="S50" s="148" t="n">
        <f aca="false">VALUE(IF($D50="pot",$C50,0))+VALUE(IF($H50="pot",$G50,0))</f>
        <v>0</v>
      </c>
      <c r="T50" s="148" t="n">
        <f aca="false">VALUE(IF($D50="táb",$C50,0))+VALUE(IF($H50="táb",$G50,0))</f>
        <v>0</v>
      </c>
      <c r="U50" s="148" t="n">
        <f aca="false">VALUE(IF($D50="oma",$C50,0))+VALUE(IF($H50="oma",$G50,0))</f>
        <v>0</v>
      </c>
      <c r="V50" s="148" t="n">
        <f aca="false">VALUE(IF($D50="ces",$C50,0))+VALUE(IF($H50="ces",$G50,0))</f>
        <v>0</v>
      </c>
      <c r="W50" s="148" t="n">
        <f aca="false">VALUE(IF($D50="poš",$C50,0))+VALUE(IF($H50="poš",$G50,0))</f>
        <v>0</v>
      </c>
      <c r="X50" s="148" t="n">
        <f aca="false">VALUE(IF($D50="tel",$C50,0))+VALUE(IF($H50="tel",$G50,0))</f>
        <v>0</v>
      </c>
      <c r="Y50" s="148" t="n">
        <f aca="false">VALUE(IF($D50="dop",$C50,0))+VALUE(IF($H50="dop",$G50,0))</f>
        <v>0</v>
      </c>
      <c r="Z50" s="148" t="n">
        <f aca="false">VALUE(IF($D50="nák",$C50,0))+VALUE(IF($H50="nák",$G50,0))</f>
        <v>0</v>
      </c>
      <c r="AA50" s="148" t="n">
        <f aca="false">VALUE(IF($D50="náj",$C50,0))+VALUE(IF($H50="náj",$G50,0))</f>
        <v>0</v>
      </c>
      <c r="AB50" s="148" t="n">
        <f aca="false">VALUE(IF($D50="půj",$C50,0))+VALUE(IF($H50="půj",$G50,0))</f>
        <v>0</v>
      </c>
      <c r="AC50" s="148" t="n">
        <f aca="false">VALUE(IF($D50="vst",$C50,0))+VALUE(IF($H50="vst",$G50,0))</f>
        <v>0</v>
      </c>
      <c r="AD50" s="148" t="n">
        <f aca="false">VALUE(IF($D50="kop",$C50,0))+VALUE(IF($H50="kop",$G50,0))</f>
        <v>0</v>
      </c>
      <c r="AE50" s="148" t="n">
        <f aca="false">VALUE(IF($D50="osl",$C50,0))+VALUE(IF($H50="osl",$G50,0))</f>
        <v>0</v>
      </c>
      <c r="AF50" s="148" t="n">
        <f aca="false">VALUE(IF($D50="vra",$C50,0))+VALUE(IF($H50="vra",$G50,0))</f>
        <v>0</v>
      </c>
      <c r="AG50" s="148" t="n">
        <f aca="false">VALUE(IF($D50="zho",$C50,0))+VALUE(IF($H50="zho",$G50,0))</f>
        <v>0</v>
      </c>
      <c r="AH50" s="148" t="n">
        <f aca="false">VALUE(IF($D50="zbú",$C50,0))+VALUE(IF($H50="zbú",$G50,0))</f>
        <v>0</v>
      </c>
      <c r="AI50" s="148" t="n">
        <f aca="false">VALUE(IF($D50="pří",$C50,0))+VALUE(IF($H50="pří",$G50,0))</f>
        <v>0</v>
      </c>
      <c r="AJ50" s="148" t="n">
        <f aca="false">VALUE(IF($D50="dot",$C50,0))+VALUE(IF($H50="dot",$G50,0))</f>
        <v>0</v>
      </c>
      <c r="AK50" s="148" t="n">
        <f aca="false">VALUE(IF($D50="opř",$C50,0))+VALUE(IF($H50="opř",$G50,0))</f>
        <v>0</v>
      </c>
      <c r="AL50" s="148" t="n">
        <f aca="false">SUM(P50:AK50)</f>
        <v>0</v>
      </c>
      <c r="AN50" s="180"/>
      <c r="AO50" s="181"/>
      <c r="AP50" s="182"/>
      <c r="AQ50" s="183"/>
    </row>
    <row r="51" customFormat="false" ht="12.75" hidden="false" customHeight="false" outlineLevel="0" collapsed="false">
      <c r="A51" s="221" t="n">
        <v>43</v>
      </c>
      <c r="B51" s="222"/>
      <c r="C51" s="185"/>
      <c r="D51" s="186"/>
      <c r="E51" s="186"/>
      <c r="F51" s="223"/>
      <c r="G51" s="224"/>
      <c r="H51" s="190"/>
      <c r="I51" s="177"/>
      <c r="J51" s="178" t="str">
        <f aca="false">IF(AL51=C51,IF(AL51=0,"-","ok"),"chyba")</f>
        <v>-</v>
      </c>
      <c r="K51" s="179"/>
      <c r="L51" s="179"/>
      <c r="M51" s="179"/>
      <c r="N51" s="179"/>
      <c r="P51" s="148" t="n">
        <f aca="false">VALUE(IF($D51="vyb",$C51,0))+VALUE(IF($H51="vyb",$G51,0))</f>
        <v>0</v>
      </c>
      <c r="Q51" s="148" t="n">
        <f aca="false">VALUE(IF($D51="mtv",$C51,0))+VALUE(IF($H51="mtv",$G51,0))</f>
        <v>0</v>
      </c>
      <c r="R51" s="148" t="n">
        <f aca="false">VALUE(IF($D51="mat",$C51,0))+VALUE(IF($H51="mat",$G51,0))</f>
        <v>0</v>
      </c>
      <c r="S51" s="148" t="n">
        <f aca="false">VALUE(IF($D51="pot",$C51,0))+VALUE(IF($H51="pot",$G51,0))</f>
        <v>0</v>
      </c>
      <c r="T51" s="148" t="n">
        <f aca="false">VALUE(IF($D51="táb",$C51,0))+VALUE(IF($H51="táb",$G51,0))</f>
        <v>0</v>
      </c>
      <c r="U51" s="148" t="n">
        <f aca="false">VALUE(IF($D51="oma",$C51,0))+VALUE(IF($H51="oma",$G51,0))</f>
        <v>0</v>
      </c>
      <c r="V51" s="148" t="n">
        <f aca="false">VALUE(IF($D51="ces",$C51,0))+VALUE(IF($H51="ces",$G51,0))</f>
        <v>0</v>
      </c>
      <c r="W51" s="148" t="n">
        <f aca="false">VALUE(IF($D51="poš",$C51,0))+VALUE(IF($H51="poš",$G51,0))</f>
        <v>0</v>
      </c>
      <c r="X51" s="148" t="n">
        <f aca="false">VALUE(IF($D51="tel",$C51,0))+VALUE(IF($H51="tel",$G51,0))</f>
        <v>0</v>
      </c>
      <c r="Y51" s="148" t="n">
        <f aca="false">VALUE(IF($D51="dop",$C51,0))+VALUE(IF($H51="dop",$G51,0))</f>
        <v>0</v>
      </c>
      <c r="Z51" s="148" t="n">
        <f aca="false">VALUE(IF($D51="nák",$C51,0))+VALUE(IF($H51="nák",$G51,0))</f>
        <v>0</v>
      </c>
      <c r="AA51" s="148" t="n">
        <f aca="false">VALUE(IF($D51="náj",$C51,0))+VALUE(IF($H51="náj",$G51,0))</f>
        <v>0</v>
      </c>
      <c r="AB51" s="148" t="n">
        <f aca="false">VALUE(IF($D51="půj",$C51,0))+VALUE(IF($H51="půj",$G51,0))</f>
        <v>0</v>
      </c>
      <c r="AC51" s="148" t="n">
        <f aca="false">VALUE(IF($D51="vst",$C51,0))+VALUE(IF($H51="vst",$G51,0))</f>
        <v>0</v>
      </c>
      <c r="AD51" s="148" t="n">
        <f aca="false">VALUE(IF($D51="kop",$C51,0))+VALUE(IF($H51="kop",$G51,0))</f>
        <v>0</v>
      </c>
      <c r="AE51" s="148" t="n">
        <f aca="false">VALUE(IF($D51="osl",$C51,0))+VALUE(IF($H51="osl",$G51,0))</f>
        <v>0</v>
      </c>
      <c r="AF51" s="148" t="n">
        <f aca="false">VALUE(IF($D51="vra",$C51,0))+VALUE(IF($H51="vra",$G51,0))</f>
        <v>0</v>
      </c>
      <c r="AG51" s="148" t="n">
        <f aca="false">VALUE(IF($D51="zho",$C51,0))+VALUE(IF($H51="zho",$G51,0))</f>
        <v>0</v>
      </c>
      <c r="AH51" s="148" t="n">
        <f aca="false">VALUE(IF($D51="zbú",$C51,0))+VALUE(IF($H51="zbú",$G51,0))</f>
        <v>0</v>
      </c>
      <c r="AI51" s="148" t="n">
        <f aca="false">VALUE(IF($D51="pří",$C51,0))+VALUE(IF($H51="pří",$G51,0))</f>
        <v>0</v>
      </c>
      <c r="AJ51" s="148" t="n">
        <f aca="false">VALUE(IF($D51="dot",$C51,0))+VALUE(IF($H51="dot",$G51,0))</f>
        <v>0</v>
      </c>
      <c r="AK51" s="148" t="n">
        <f aca="false">VALUE(IF($D51="opř",$C51,0))+VALUE(IF($H51="opř",$G51,0))</f>
        <v>0</v>
      </c>
      <c r="AL51" s="148" t="n">
        <f aca="false">SUM(P51:AK51)</f>
        <v>0</v>
      </c>
      <c r="AN51" s="180"/>
      <c r="AO51" s="181"/>
      <c r="AP51" s="182"/>
      <c r="AQ51" s="183"/>
    </row>
    <row r="52" customFormat="false" ht="12.75" hidden="false" customHeight="false" outlineLevel="0" collapsed="false">
      <c r="A52" s="221" t="n">
        <v>44</v>
      </c>
      <c r="B52" s="222"/>
      <c r="C52" s="185"/>
      <c r="D52" s="186"/>
      <c r="E52" s="186"/>
      <c r="F52" s="223"/>
      <c r="G52" s="224"/>
      <c r="H52" s="190"/>
      <c r="I52" s="177"/>
      <c r="J52" s="178" t="str">
        <f aca="false">IF(AL52=C52,IF(AL52=0,"-","ok"),"chyba")</f>
        <v>-</v>
      </c>
      <c r="K52" s="179"/>
      <c r="L52" s="179"/>
      <c r="M52" s="179"/>
      <c r="N52" s="179"/>
      <c r="P52" s="148" t="n">
        <f aca="false">VALUE(IF($D52="vyb",$C52,0))+VALUE(IF($H52="vyb",$G52,0))</f>
        <v>0</v>
      </c>
      <c r="Q52" s="148" t="n">
        <f aca="false">VALUE(IF($D52="mtv",$C52,0))+VALUE(IF($H52="mtv",$G52,0))</f>
        <v>0</v>
      </c>
      <c r="R52" s="148" t="n">
        <f aca="false">VALUE(IF($D52="mat",$C52,0))+VALUE(IF($H52="mat",$G52,0))</f>
        <v>0</v>
      </c>
      <c r="S52" s="148" t="n">
        <f aca="false">VALUE(IF($D52="pot",$C52,0))+VALUE(IF($H52="pot",$G52,0))</f>
        <v>0</v>
      </c>
      <c r="T52" s="148" t="n">
        <f aca="false">VALUE(IF($D52="táb",$C52,0))+VALUE(IF($H52="táb",$G52,0))</f>
        <v>0</v>
      </c>
      <c r="U52" s="148" t="n">
        <f aca="false">VALUE(IF($D52="oma",$C52,0))+VALUE(IF($H52="oma",$G52,0))</f>
        <v>0</v>
      </c>
      <c r="V52" s="148" t="n">
        <f aca="false">VALUE(IF($D52="ces",$C52,0))+VALUE(IF($H52="ces",$G52,0))</f>
        <v>0</v>
      </c>
      <c r="W52" s="148" t="n">
        <f aca="false">VALUE(IF($D52="poš",$C52,0))+VALUE(IF($H52="poš",$G52,0))</f>
        <v>0</v>
      </c>
      <c r="X52" s="148" t="n">
        <f aca="false">VALUE(IF($D52="tel",$C52,0))+VALUE(IF($H52="tel",$G52,0))</f>
        <v>0</v>
      </c>
      <c r="Y52" s="148" t="n">
        <f aca="false">VALUE(IF($D52="dop",$C52,0))+VALUE(IF($H52="dop",$G52,0))</f>
        <v>0</v>
      </c>
      <c r="Z52" s="148" t="n">
        <f aca="false">VALUE(IF($D52="nák",$C52,0))+VALUE(IF($H52="nák",$G52,0))</f>
        <v>0</v>
      </c>
      <c r="AA52" s="148" t="n">
        <f aca="false">VALUE(IF($D52="náj",$C52,0))+VALUE(IF($H52="náj",$G52,0))</f>
        <v>0</v>
      </c>
      <c r="AB52" s="148" t="n">
        <f aca="false">VALUE(IF($D52="půj",$C52,0))+VALUE(IF($H52="půj",$G52,0))</f>
        <v>0</v>
      </c>
      <c r="AC52" s="148" t="n">
        <f aca="false">VALUE(IF($D52="vst",$C52,0))+VALUE(IF($H52="vst",$G52,0))</f>
        <v>0</v>
      </c>
      <c r="AD52" s="148" t="n">
        <f aca="false">VALUE(IF($D52="kop",$C52,0))+VALUE(IF($H52="kop",$G52,0))</f>
        <v>0</v>
      </c>
      <c r="AE52" s="148" t="n">
        <f aca="false">VALUE(IF($D52="osl",$C52,0))+VALUE(IF($H52="osl",$G52,0))</f>
        <v>0</v>
      </c>
      <c r="AF52" s="148" t="n">
        <f aca="false">VALUE(IF($D52="vra",$C52,0))+VALUE(IF($H52="vra",$G52,0))</f>
        <v>0</v>
      </c>
      <c r="AG52" s="148" t="n">
        <f aca="false">VALUE(IF($D52="zho",$C52,0))+VALUE(IF($H52="zho",$G52,0))</f>
        <v>0</v>
      </c>
      <c r="AH52" s="148" t="n">
        <f aca="false">VALUE(IF($D52="zbú",$C52,0))+VALUE(IF($H52="zbú",$G52,0))</f>
        <v>0</v>
      </c>
      <c r="AI52" s="148" t="n">
        <f aca="false">VALUE(IF($D52="pří",$C52,0))+VALUE(IF($H52="pří",$G52,0))</f>
        <v>0</v>
      </c>
      <c r="AJ52" s="148" t="n">
        <f aca="false">VALUE(IF($D52="dot",$C52,0))+VALUE(IF($H52="dot",$G52,0))</f>
        <v>0</v>
      </c>
      <c r="AK52" s="148" t="n">
        <f aca="false">VALUE(IF($D52="opř",$C52,0))+VALUE(IF($H52="opř",$G52,0))</f>
        <v>0</v>
      </c>
      <c r="AL52" s="148" t="n">
        <f aca="false">SUM(P52:AK52)</f>
        <v>0</v>
      </c>
      <c r="AN52" s="180"/>
      <c r="AO52" s="181"/>
      <c r="AP52" s="182"/>
      <c r="AQ52" s="183"/>
    </row>
    <row r="53" customFormat="false" ht="12.75" hidden="false" customHeight="false" outlineLevel="0" collapsed="false">
      <c r="A53" s="221" t="n">
        <v>45</v>
      </c>
      <c r="B53" s="222"/>
      <c r="C53" s="185"/>
      <c r="D53" s="186"/>
      <c r="E53" s="186"/>
      <c r="F53" s="223"/>
      <c r="G53" s="224"/>
      <c r="H53" s="190"/>
      <c r="I53" s="177"/>
      <c r="J53" s="178" t="str">
        <f aca="false">IF(AL53=C53,IF(AL53=0,"-","ok"),"chyba")</f>
        <v>-</v>
      </c>
      <c r="K53" s="179"/>
      <c r="L53" s="179"/>
      <c r="M53" s="179"/>
      <c r="N53" s="179"/>
      <c r="P53" s="148" t="n">
        <f aca="false">VALUE(IF($D53="vyb",$C53,0))+VALUE(IF($H53="vyb",$G53,0))</f>
        <v>0</v>
      </c>
      <c r="Q53" s="148" t="n">
        <f aca="false">VALUE(IF($D53="mtv",$C53,0))+VALUE(IF($H53="mtv",$G53,0))</f>
        <v>0</v>
      </c>
      <c r="R53" s="148" t="n">
        <f aca="false">VALUE(IF($D53="mat",$C53,0))+VALUE(IF($H53="mat",$G53,0))</f>
        <v>0</v>
      </c>
      <c r="S53" s="148" t="n">
        <f aca="false">VALUE(IF($D53="pot",$C53,0))+VALUE(IF($H53="pot",$G53,0))</f>
        <v>0</v>
      </c>
      <c r="T53" s="148" t="n">
        <f aca="false">VALUE(IF($D53="táb",$C53,0))+VALUE(IF($H53="táb",$G53,0))</f>
        <v>0</v>
      </c>
      <c r="U53" s="148" t="n">
        <f aca="false">VALUE(IF($D53="oma",$C53,0))+VALUE(IF($H53="oma",$G53,0))</f>
        <v>0</v>
      </c>
      <c r="V53" s="148" t="n">
        <f aca="false">VALUE(IF($D53="ces",$C53,0))+VALUE(IF($H53="ces",$G53,0))</f>
        <v>0</v>
      </c>
      <c r="W53" s="148" t="n">
        <f aca="false">VALUE(IF($D53="poš",$C53,0))+VALUE(IF($H53="poš",$G53,0))</f>
        <v>0</v>
      </c>
      <c r="X53" s="148" t="n">
        <f aca="false">VALUE(IF($D53="tel",$C53,0))+VALUE(IF($H53="tel",$G53,0))</f>
        <v>0</v>
      </c>
      <c r="Y53" s="148" t="n">
        <f aca="false">VALUE(IF($D53="dop",$C53,0))+VALUE(IF($H53="dop",$G53,0))</f>
        <v>0</v>
      </c>
      <c r="Z53" s="148" t="n">
        <f aca="false">VALUE(IF($D53="nák",$C53,0))+VALUE(IF($H53="nák",$G53,0))</f>
        <v>0</v>
      </c>
      <c r="AA53" s="148" t="n">
        <f aca="false">VALUE(IF($D53="náj",$C53,0))+VALUE(IF($H53="náj",$G53,0))</f>
        <v>0</v>
      </c>
      <c r="AB53" s="148" t="n">
        <f aca="false">VALUE(IF($D53="půj",$C53,0))+VALUE(IF($H53="půj",$G53,0))</f>
        <v>0</v>
      </c>
      <c r="AC53" s="148" t="n">
        <f aca="false">VALUE(IF($D53="vst",$C53,0))+VALUE(IF($H53="vst",$G53,0))</f>
        <v>0</v>
      </c>
      <c r="AD53" s="148" t="n">
        <f aca="false">VALUE(IF($D53="kop",$C53,0))+VALUE(IF($H53="kop",$G53,0))</f>
        <v>0</v>
      </c>
      <c r="AE53" s="148" t="n">
        <f aca="false">VALUE(IF($D53="osl",$C53,0))+VALUE(IF($H53="osl",$G53,0))</f>
        <v>0</v>
      </c>
      <c r="AF53" s="148" t="n">
        <f aca="false">VALUE(IF($D53="vra",$C53,0))+VALUE(IF($H53="vra",$G53,0))</f>
        <v>0</v>
      </c>
      <c r="AG53" s="148" t="n">
        <f aca="false">VALUE(IF($D53="zho",$C53,0))+VALUE(IF($H53="zho",$G53,0))</f>
        <v>0</v>
      </c>
      <c r="AH53" s="148" t="n">
        <f aca="false">VALUE(IF($D53="zbú",$C53,0))+VALUE(IF($H53="zbú",$G53,0))</f>
        <v>0</v>
      </c>
      <c r="AI53" s="148" t="n">
        <f aca="false">VALUE(IF($D53="pří",$C53,0))+VALUE(IF($H53="pří",$G53,0))</f>
        <v>0</v>
      </c>
      <c r="AJ53" s="148" t="n">
        <f aca="false">VALUE(IF($D53="dot",$C53,0))+VALUE(IF($H53="dot",$G53,0))</f>
        <v>0</v>
      </c>
      <c r="AK53" s="148" t="n">
        <f aca="false">VALUE(IF($D53="opř",$C53,0))+VALUE(IF($H53="opř",$G53,0))</f>
        <v>0</v>
      </c>
      <c r="AL53" s="148" t="n">
        <f aca="false">SUM(P53:AK53)</f>
        <v>0</v>
      </c>
      <c r="AN53" s="180"/>
      <c r="AO53" s="181"/>
      <c r="AP53" s="182"/>
      <c r="AQ53" s="183"/>
    </row>
    <row r="54" customFormat="false" ht="12.75" hidden="false" customHeight="false" outlineLevel="0" collapsed="false">
      <c r="A54" s="221" t="n">
        <v>46</v>
      </c>
      <c r="B54" s="222"/>
      <c r="C54" s="185"/>
      <c r="D54" s="186"/>
      <c r="E54" s="186"/>
      <c r="F54" s="223"/>
      <c r="G54" s="224"/>
      <c r="H54" s="190"/>
      <c r="I54" s="177"/>
      <c r="J54" s="178" t="str">
        <f aca="false">IF(AL54=C54,IF(AL54=0,"-","ok"),"chyba")</f>
        <v>-</v>
      </c>
      <c r="K54" s="179"/>
      <c r="L54" s="179"/>
      <c r="M54" s="179"/>
      <c r="N54" s="179"/>
      <c r="P54" s="148" t="n">
        <f aca="false">VALUE(IF($D54="vyb",$C54,0))+VALUE(IF($H54="vyb",$G54,0))</f>
        <v>0</v>
      </c>
      <c r="Q54" s="148" t="n">
        <f aca="false">VALUE(IF($D54="mtv",$C54,0))+VALUE(IF($H54="mtv",$G54,0))</f>
        <v>0</v>
      </c>
      <c r="R54" s="148" t="n">
        <f aca="false">VALUE(IF($D54="mat",$C54,0))+VALUE(IF($H54="mat",$G54,0))</f>
        <v>0</v>
      </c>
      <c r="S54" s="148" t="n">
        <f aca="false">VALUE(IF($D54="pot",$C54,0))+VALUE(IF($H54="pot",$G54,0))</f>
        <v>0</v>
      </c>
      <c r="T54" s="148" t="n">
        <f aca="false">VALUE(IF($D54="táb",$C54,0))+VALUE(IF($H54="táb",$G54,0))</f>
        <v>0</v>
      </c>
      <c r="U54" s="148" t="n">
        <f aca="false">VALUE(IF($D54="oma",$C54,0))+VALUE(IF($H54="oma",$G54,0))</f>
        <v>0</v>
      </c>
      <c r="V54" s="148" t="n">
        <f aca="false">VALUE(IF($D54="ces",$C54,0))+VALUE(IF($H54="ces",$G54,0))</f>
        <v>0</v>
      </c>
      <c r="W54" s="148" t="n">
        <f aca="false">VALUE(IF($D54="poš",$C54,0))+VALUE(IF($H54="poš",$G54,0))</f>
        <v>0</v>
      </c>
      <c r="X54" s="148" t="n">
        <f aca="false">VALUE(IF($D54="tel",$C54,0))+VALUE(IF($H54="tel",$G54,0))</f>
        <v>0</v>
      </c>
      <c r="Y54" s="148" t="n">
        <f aca="false">VALUE(IF($D54="dop",$C54,0))+VALUE(IF($H54="dop",$G54,0))</f>
        <v>0</v>
      </c>
      <c r="Z54" s="148" t="n">
        <f aca="false">VALUE(IF($D54="nák",$C54,0))+VALUE(IF($H54="nák",$G54,0))</f>
        <v>0</v>
      </c>
      <c r="AA54" s="148" t="n">
        <f aca="false">VALUE(IF($D54="náj",$C54,0))+VALUE(IF($H54="náj",$G54,0))</f>
        <v>0</v>
      </c>
      <c r="AB54" s="148" t="n">
        <f aca="false">VALUE(IF($D54="půj",$C54,0))+VALUE(IF($H54="půj",$G54,0))</f>
        <v>0</v>
      </c>
      <c r="AC54" s="148" t="n">
        <f aca="false">VALUE(IF($D54="vst",$C54,0))+VALUE(IF($H54="vst",$G54,0))</f>
        <v>0</v>
      </c>
      <c r="AD54" s="148" t="n">
        <f aca="false">VALUE(IF($D54="kop",$C54,0))+VALUE(IF($H54="kop",$G54,0))</f>
        <v>0</v>
      </c>
      <c r="AE54" s="148" t="n">
        <f aca="false">VALUE(IF($D54="osl",$C54,0))+VALUE(IF($H54="osl",$G54,0))</f>
        <v>0</v>
      </c>
      <c r="AF54" s="148" t="n">
        <f aca="false">VALUE(IF($D54="vra",$C54,0))+VALUE(IF($H54="vra",$G54,0))</f>
        <v>0</v>
      </c>
      <c r="AG54" s="148" t="n">
        <f aca="false">VALUE(IF($D54="zho",$C54,0))+VALUE(IF($H54="zho",$G54,0))</f>
        <v>0</v>
      </c>
      <c r="AH54" s="148" t="n">
        <f aca="false">VALUE(IF($D54="zbú",$C54,0))+VALUE(IF($H54="zbú",$G54,0))</f>
        <v>0</v>
      </c>
      <c r="AI54" s="148" t="n">
        <f aca="false">VALUE(IF($D54="pří",$C54,0))+VALUE(IF($H54="pří",$G54,0))</f>
        <v>0</v>
      </c>
      <c r="AJ54" s="148" t="n">
        <f aca="false">VALUE(IF($D54="dot",$C54,0))+VALUE(IF($H54="dot",$G54,0))</f>
        <v>0</v>
      </c>
      <c r="AK54" s="148" t="n">
        <f aca="false">VALUE(IF($D54="opř",$C54,0))+VALUE(IF($H54="opř",$G54,0))</f>
        <v>0</v>
      </c>
      <c r="AL54" s="148" t="n">
        <f aca="false">SUM(P54:AK54)</f>
        <v>0</v>
      </c>
      <c r="AN54" s="180"/>
      <c r="AO54" s="181"/>
      <c r="AP54" s="182"/>
      <c r="AQ54" s="183"/>
    </row>
    <row r="55" customFormat="false" ht="12.75" hidden="false" customHeight="false" outlineLevel="0" collapsed="false">
      <c r="A55" s="221" t="n">
        <v>47</v>
      </c>
      <c r="B55" s="222"/>
      <c r="C55" s="185"/>
      <c r="D55" s="186"/>
      <c r="E55" s="186"/>
      <c r="F55" s="223"/>
      <c r="G55" s="224"/>
      <c r="H55" s="190"/>
      <c r="I55" s="177"/>
      <c r="J55" s="178" t="str">
        <f aca="false">IF(AL55=C55,IF(AL55=0,"-","ok"),"chyba")</f>
        <v>-</v>
      </c>
      <c r="K55" s="179"/>
      <c r="L55" s="179"/>
      <c r="M55" s="179"/>
      <c r="N55" s="179"/>
      <c r="P55" s="148" t="n">
        <f aca="false">VALUE(IF($D55="vyb",$C55,0))+VALUE(IF($H55="vyb",$G55,0))</f>
        <v>0</v>
      </c>
      <c r="Q55" s="148" t="n">
        <f aca="false">VALUE(IF($D55="mtv",$C55,0))+VALUE(IF($H55="mtv",$G55,0))</f>
        <v>0</v>
      </c>
      <c r="R55" s="148" t="n">
        <f aca="false">VALUE(IF($D55="mat",$C55,0))+VALUE(IF($H55="mat",$G55,0))</f>
        <v>0</v>
      </c>
      <c r="S55" s="148" t="n">
        <f aca="false">VALUE(IF($D55="pot",$C55,0))+VALUE(IF($H55="pot",$G55,0))</f>
        <v>0</v>
      </c>
      <c r="T55" s="148" t="n">
        <f aca="false">VALUE(IF($D55="táb",$C55,0))+VALUE(IF($H55="táb",$G55,0))</f>
        <v>0</v>
      </c>
      <c r="U55" s="148" t="n">
        <f aca="false">VALUE(IF($D55="oma",$C55,0))+VALUE(IF($H55="oma",$G55,0))</f>
        <v>0</v>
      </c>
      <c r="V55" s="148" t="n">
        <f aca="false">VALUE(IF($D55="ces",$C55,0))+VALUE(IF($H55="ces",$G55,0))</f>
        <v>0</v>
      </c>
      <c r="W55" s="148" t="n">
        <f aca="false">VALUE(IF($D55="poš",$C55,0))+VALUE(IF($H55="poš",$G55,0))</f>
        <v>0</v>
      </c>
      <c r="X55" s="148" t="n">
        <f aca="false">VALUE(IF($D55="tel",$C55,0))+VALUE(IF($H55="tel",$G55,0))</f>
        <v>0</v>
      </c>
      <c r="Y55" s="148" t="n">
        <f aca="false">VALUE(IF($D55="dop",$C55,0))+VALUE(IF($H55="dop",$G55,0))</f>
        <v>0</v>
      </c>
      <c r="Z55" s="148" t="n">
        <f aca="false">VALUE(IF($D55="nák",$C55,0))+VALUE(IF($H55="nák",$G55,0))</f>
        <v>0</v>
      </c>
      <c r="AA55" s="148" t="n">
        <f aca="false">VALUE(IF($D55="náj",$C55,0))+VALUE(IF($H55="náj",$G55,0))</f>
        <v>0</v>
      </c>
      <c r="AB55" s="148" t="n">
        <f aca="false">VALUE(IF($D55="půj",$C55,0))+VALUE(IF($H55="půj",$G55,0))</f>
        <v>0</v>
      </c>
      <c r="AC55" s="148" t="n">
        <f aca="false">VALUE(IF($D55="vst",$C55,0))+VALUE(IF($H55="vst",$G55,0))</f>
        <v>0</v>
      </c>
      <c r="AD55" s="148" t="n">
        <f aca="false">VALUE(IF($D55="kop",$C55,0))+VALUE(IF($H55="kop",$G55,0))</f>
        <v>0</v>
      </c>
      <c r="AE55" s="148" t="n">
        <f aca="false">VALUE(IF($D55="osl",$C55,0))+VALUE(IF($H55="osl",$G55,0))</f>
        <v>0</v>
      </c>
      <c r="AF55" s="148" t="n">
        <f aca="false">VALUE(IF($D55="vra",$C55,0))+VALUE(IF($H55="vra",$G55,0))</f>
        <v>0</v>
      </c>
      <c r="AG55" s="148" t="n">
        <f aca="false">VALUE(IF($D55="zho",$C55,0))+VALUE(IF($H55="zho",$G55,0))</f>
        <v>0</v>
      </c>
      <c r="AH55" s="148" t="n">
        <f aca="false">VALUE(IF($D55="zbú",$C55,0))+VALUE(IF($H55="zbú",$G55,0))</f>
        <v>0</v>
      </c>
      <c r="AI55" s="148" t="n">
        <f aca="false">VALUE(IF($D55="pří",$C55,0))+VALUE(IF($H55="pří",$G55,0))</f>
        <v>0</v>
      </c>
      <c r="AJ55" s="148" t="n">
        <f aca="false">VALUE(IF($D55="dot",$C55,0))+VALUE(IF($H55="dot",$G55,0))</f>
        <v>0</v>
      </c>
      <c r="AK55" s="148" t="n">
        <f aca="false">VALUE(IF($D55="opř",$C55,0))+VALUE(IF($H55="opř",$G55,0))</f>
        <v>0</v>
      </c>
      <c r="AL55" s="148" t="n">
        <f aca="false">SUM(P55:AK55)</f>
        <v>0</v>
      </c>
      <c r="AN55" s="180"/>
      <c r="AO55" s="181"/>
      <c r="AP55" s="182"/>
      <c r="AQ55" s="183"/>
    </row>
    <row r="56" customFormat="false" ht="12.75" hidden="false" customHeight="false" outlineLevel="0" collapsed="false">
      <c r="A56" s="221" t="n">
        <v>48</v>
      </c>
      <c r="B56" s="222"/>
      <c r="C56" s="185"/>
      <c r="D56" s="186"/>
      <c r="E56" s="186"/>
      <c r="F56" s="223"/>
      <c r="G56" s="224"/>
      <c r="H56" s="190"/>
      <c r="I56" s="177"/>
      <c r="J56" s="178" t="str">
        <f aca="false">IF(AL56=C56,IF(AL56=0,"-","ok"),"chyba")</f>
        <v>-</v>
      </c>
      <c r="K56" s="179"/>
      <c r="L56" s="179"/>
      <c r="M56" s="179"/>
      <c r="N56" s="179"/>
      <c r="P56" s="148" t="n">
        <f aca="false">VALUE(IF($D56="vyb",$C56,0))+VALUE(IF($H56="vyb",$G56,0))</f>
        <v>0</v>
      </c>
      <c r="Q56" s="148" t="n">
        <f aca="false">VALUE(IF($D56="mtv",$C56,0))+VALUE(IF($H56="mtv",$G56,0))</f>
        <v>0</v>
      </c>
      <c r="R56" s="148" t="n">
        <f aca="false">VALUE(IF($D56="mat",$C56,0))+VALUE(IF($H56="mat",$G56,0))</f>
        <v>0</v>
      </c>
      <c r="S56" s="148" t="n">
        <f aca="false">VALUE(IF($D56="pot",$C56,0))+VALUE(IF($H56="pot",$G56,0))</f>
        <v>0</v>
      </c>
      <c r="T56" s="148" t="n">
        <f aca="false">VALUE(IF($D56="táb",$C56,0))+VALUE(IF($H56="táb",$G56,0))</f>
        <v>0</v>
      </c>
      <c r="U56" s="148" t="n">
        <f aca="false">VALUE(IF($D56="oma",$C56,0))+VALUE(IF($H56="oma",$G56,0))</f>
        <v>0</v>
      </c>
      <c r="V56" s="148" t="n">
        <f aca="false">VALUE(IF($D56="ces",$C56,0))+VALUE(IF($H56="ces",$G56,0))</f>
        <v>0</v>
      </c>
      <c r="W56" s="148" t="n">
        <f aca="false">VALUE(IF($D56="poš",$C56,0))+VALUE(IF($H56="poš",$G56,0))</f>
        <v>0</v>
      </c>
      <c r="X56" s="148" t="n">
        <f aca="false">VALUE(IF($D56="tel",$C56,0))+VALUE(IF($H56="tel",$G56,0))</f>
        <v>0</v>
      </c>
      <c r="Y56" s="148" t="n">
        <f aca="false">VALUE(IF($D56="dop",$C56,0))+VALUE(IF($H56="dop",$G56,0))</f>
        <v>0</v>
      </c>
      <c r="Z56" s="148" t="n">
        <f aca="false">VALUE(IF($D56="nák",$C56,0))+VALUE(IF($H56="nák",$G56,0))</f>
        <v>0</v>
      </c>
      <c r="AA56" s="148" t="n">
        <f aca="false">VALUE(IF($D56="náj",$C56,0))+VALUE(IF($H56="náj",$G56,0))</f>
        <v>0</v>
      </c>
      <c r="AB56" s="148" t="n">
        <f aca="false">VALUE(IF($D56="půj",$C56,0))+VALUE(IF($H56="půj",$G56,0))</f>
        <v>0</v>
      </c>
      <c r="AC56" s="148" t="n">
        <f aca="false">VALUE(IF($D56="vst",$C56,0))+VALUE(IF($H56="vst",$G56,0))</f>
        <v>0</v>
      </c>
      <c r="AD56" s="148" t="n">
        <f aca="false">VALUE(IF($D56="kop",$C56,0))+VALUE(IF($H56="kop",$G56,0))</f>
        <v>0</v>
      </c>
      <c r="AE56" s="148" t="n">
        <f aca="false">VALUE(IF($D56="osl",$C56,0))+VALUE(IF($H56="osl",$G56,0))</f>
        <v>0</v>
      </c>
      <c r="AF56" s="148" t="n">
        <f aca="false">VALUE(IF($D56="vra",$C56,0))+VALUE(IF($H56="vra",$G56,0))</f>
        <v>0</v>
      </c>
      <c r="AG56" s="148" t="n">
        <f aca="false">VALUE(IF($D56="zho",$C56,0))+VALUE(IF($H56="zho",$G56,0))</f>
        <v>0</v>
      </c>
      <c r="AH56" s="148" t="n">
        <f aca="false">VALUE(IF($D56="zbú",$C56,0))+VALUE(IF($H56="zbú",$G56,0))</f>
        <v>0</v>
      </c>
      <c r="AI56" s="148" t="n">
        <f aca="false">VALUE(IF($D56="pří",$C56,0))+VALUE(IF($H56="pří",$G56,0))</f>
        <v>0</v>
      </c>
      <c r="AJ56" s="148" t="n">
        <f aca="false">VALUE(IF($D56="dot",$C56,0))+VALUE(IF($H56="dot",$G56,0))</f>
        <v>0</v>
      </c>
      <c r="AK56" s="148" t="n">
        <f aca="false">VALUE(IF($D56="opř",$C56,0))+VALUE(IF($H56="opř",$G56,0))</f>
        <v>0</v>
      </c>
      <c r="AL56" s="148" t="n">
        <f aca="false">SUM(P56:AK56)</f>
        <v>0</v>
      </c>
      <c r="AN56" s="180"/>
      <c r="AO56" s="181"/>
      <c r="AP56" s="182"/>
      <c r="AQ56" s="183"/>
    </row>
    <row r="57" customFormat="false" ht="13.5" hidden="false" customHeight="false" outlineLevel="0" collapsed="false">
      <c r="A57" s="225" t="n">
        <v>49</v>
      </c>
      <c r="B57" s="226"/>
      <c r="C57" s="227"/>
      <c r="D57" s="228"/>
      <c r="E57" s="228"/>
      <c r="F57" s="229"/>
      <c r="G57" s="230"/>
      <c r="H57" s="202"/>
      <c r="I57" s="177"/>
      <c r="J57" s="231" t="str">
        <f aca="false">IF(AL57=C57,IF(AL57=0,"-","ok"),"chyba")</f>
        <v>-</v>
      </c>
      <c r="K57" s="179"/>
      <c r="L57" s="179"/>
      <c r="M57" s="179"/>
      <c r="N57" s="179"/>
      <c r="P57" s="148" t="n">
        <f aca="false">VALUE(IF($D57="vyb",$C57,0))+VALUE(IF($H57="vyb",$G57,0))</f>
        <v>0</v>
      </c>
      <c r="Q57" s="148" t="n">
        <f aca="false">VALUE(IF($D57="mtv",$C57,0))+VALUE(IF($H57="mtv",$G57,0))</f>
        <v>0</v>
      </c>
      <c r="R57" s="148" t="n">
        <f aca="false">VALUE(IF($D57="mat",$C57,0))+VALUE(IF($H57="mat",$G57,0))</f>
        <v>0</v>
      </c>
      <c r="S57" s="148" t="n">
        <f aca="false">VALUE(IF($D57="pot",$C57,0))+VALUE(IF($H57="pot",$G57,0))</f>
        <v>0</v>
      </c>
      <c r="T57" s="148" t="n">
        <f aca="false">VALUE(IF($D57="táb",$C57,0))+VALUE(IF($H57="táb",$G57,0))</f>
        <v>0</v>
      </c>
      <c r="U57" s="148" t="n">
        <f aca="false">VALUE(IF($D57="oma",$C57,0))+VALUE(IF($H57="oma",$G57,0))</f>
        <v>0</v>
      </c>
      <c r="V57" s="148" t="n">
        <f aca="false">VALUE(IF($D57="ces",$C57,0))+VALUE(IF($H57="ces",$G57,0))</f>
        <v>0</v>
      </c>
      <c r="W57" s="148" t="n">
        <f aca="false">VALUE(IF($D57="poš",$C57,0))+VALUE(IF($H57="poš",$G57,0))</f>
        <v>0</v>
      </c>
      <c r="X57" s="148" t="n">
        <f aca="false">VALUE(IF($D57="tel",$C57,0))+VALUE(IF($H57="tel",$G57,0))</f>
        <v>0</v>
      </c>
      <c r="Y57" s="148" t="n">
        <f aca="false">VALUE(IF($D57="dop",$C57,0))+VALUE(IF($H57="dop",$G57,0))</f>
        <v>0</v>
      </c>
      <c r="Z57" s="148" t="n">
        <f aca="false">VALUE(IF($D57="nák",$C57,0))+VALUE(IF($H57="nák",$G57,0))</f>
        <v>0</v>
      </c>
      <c r="AA57" s="148" t="n">
        <f aca="false">VALUE(IF($D57="náj",$C57,0))+VALUE(IF($H57="náj",$G57,0))</f>
        <v>0</v>
      </c>
      <c r="AB57" s="148" t="n">
        <f aca="false">VALUE(IF($D57="půj",$C57,0))+VALUE(IF($H57="půj",$G57,0))</f>
        <v>0</v>
      </c>
      <c r="AC57" s="148" t="n">
        <f aca="false">VALUE(IF($D57="vst",$C57,0))+VALUE(IF($H57="vst",$G57,0))</f>
        <v>0</v>
      </c>
      <c r="AD57" s="148" t="n">
        <f aca="false">VALUE(IF($D57="kop",$C57,0))+VALUE(IF($H57="kop",$G57,0))</f>
        <v>0</v>
      </c>
      <c r="AE57" s="148" t="n">
        <f aca="false">VALUE(IF($D57="osl",$C57,0))+VALUE(IF($H57="osl",$G57,0))</f>
        <v>0</v>
      </c>
      <c r="AF57" s="148" t="n">
        <f aca="false">VALUE(IF($D57="vra",$C57,0))+VALUE(IF($H57="vra",$G57,0))</f>
        <v>0</v>
      </c>
      <c r="AG57" s="148" t="n">
        <f aca="false">VALUE(IF($D57="zho",$C57,0))+VALUE(IF($H57="zho",$G57,0))</f>
        <v>0</v>
      </c>
      <c r="AH57" s="148" t="n">
        <f aca="false">VALUE(IF($D57="zbú",$C57,0))+VALUE(IF($H57="zbú",$G57,0))</f>
        <v>0</v>
      </c>
      <c r="AI57" s="148" t="n">
        <f aca="false">VALUE(IF($D57="pří",$C57,0))+VALUE(IF($H57="pří",$G57,0))</f>
        <v>0</v>
      </c>
      <c r="AJ57" s="148" t="n">
        <f aca="false">VALUE(IF($D57="dot",$C57,0))+VALUE(IF($H57="dot",$G57,0))</f>
        <v>0</v>
      </c>
      <c r="AK57" s="148" t="n">
        <f aca="false">VALUE(IF($D57="opř",$C57,0))+VALUE(IF($H57="opř",$G57,0))</f>
        <v>0</v>
      </c>
      <c r="AL57" s="148" t="n">
        <f aca="false">SUM(P57:AK57)</f>
        <v>0</v>
      </c>
      <c r="AN57" s="180"/>
      <c r="AO57" s="181"/>
      <c r="AP57" s="182"/>
      <c r="AQ57" s="183"/>
    </row>
    <row r="58" customFormat="false" ht="12.75" hidden="false" customHeight="false" outlineLevel="0" collapsed="false">
      <c r="A58" s="204"/>
      <c r="B58" s="232"/>
      <c r="C58" s="206"/>
      <c r="D58" s="207"/>
      <c r="E58" s="207"/>
      <c r="F58" s="207"/>
      <c r="G58" s="208"/>
      <c r="H58" s="207"/>
      <c r="I58" s="209"/>
      <c r="J58" s="210"/>
      <c r="K58" s="179"/>
      <c r="L58" s="179"/>
      <c r="M58" s="179"/>
      <c r="N58" s="179"/>
      <c r="P58" s="148" t="n">
        <f aca="false">VALUE(IF($D58="vyb",$C58,0))+VALUE(IF($H58="vyb",$G58,0))</f>
        <v>0</v>
      </c>
      <c r="Q58" s="148" t="n">
        <f aca="false">VALUE(IF($D58="mtv",$C58,0))+VALUE(IF($H58="mtv",$G58,0))</f>
        <v>0</v>
      </c>
      <c r="R58" s="148" t="n">
        <f aca="false">VALUE(IF($D58="mat",$C58,0))+VALUE(IF($H58="mat",$G58,0))</f>
        <v>0</v>
      </c>
      <c r="S58" s="148" t="n">
        <f aca="false">VALUE(IF($D58="pot",$C58,0))+VALUE(IF($H58="pot",$G58,0))</f>
        <v>0</v>
      </c>
      <c r="T58" s="148" t="n">
        <f aca="false">VALUE(IF($D58="táb",$C58,0))+VALUE(IF($H58="táb",$G58,0))</f>
        <v>0</v>
      </c>
      <c r="U58" s="148" t="n">
        <f aca="false">VALUE(IF($D58="oma",$C58,0))+VALUE(IF($H58="oma",$G58,0))</f>
        <v>0</v>
      </c>
      <c r="V58" s="148" t="n">
        <f aca="false">VALUE(IF($D58="ces",$C58,0))+VALUE(IF($H58="ces",$G58,0))</f>
        <v>0</v>
      </c>
      <c r="W58" s="148" t="n">
        <f aca="false">VALUE(IF($D58="poš",$C58,0))+VALUE(IF($H58="poš",$G58,0))</f>
        <v>0</v>
      </c>
      <c r="X58" s="148" t="n">
        <f aca="false">VALUE(IF($D58="tel",$C58,0))+VALUE(IF($H58="tel",$G58,0))</f>
        <v>0</v>
      </c>
      <c r="Y58" s="148" t="n">
        <f aca="false">VALUE(IF($D58="dop",$C58,0))+VALUE(IF($H58="dop",$G58,0))</f>
        <v>0</v>
      </c>
      <c r="Z58" s="148" t="n">
        <f aca="false">VALUE(IF($D58="nák",$C58,0))+VALUE(IF($H58="nák",$G58,0))</f>
        <v>0</v>
      </c>
      <c r="AA58" s="148" t="n">
        <f aca="false">VALUE(IF($D58="náj",$C58,0))+VALUE(IF($H58="náj",$G58,0))</f>
        <v>0</v>
      </c>
      <c r="AB58" s="148" t="n">
        <f aca="false">VALUE(IF($D58="půj",$C58,0))+VALUE(IF($H58="půj",$G58,0))</f>
        <v>0</v>
      </c>
      <c r="AC58" s="148" t="n">
        <f aca="false">VALUE(IF($D58="vst",$C58,0))+VALUE(IF($H58="vst",$G58,0))</f>
        <v>0</v>
      </c>
      <c r="AD58" s="148" t="n">
        <f aca="false">VALUE(IF($D58="kop",$C58,0))+VALUE(IF($H58="kop",$G58,0))</f>
        <v>0</v>
      </c>
      <c r="AE58" s="148" t="n">
        <f aca="false">VALUE(IF($D58="osl",$C58,0))+VALUE(IF($H58="osl",$G58,0))</f>
        <v>0</v>
      </c>
      <c r="AF58" s="148" t="n">
        <f aca="false">VALUE(IF($D58="vra",$C58,0))+VALUE(IF($H58="vra",$G58,0))</f>
        <v>0</v>
      </c>
      <c r="AG58" s="148" t="n">
        <f aca="false">VALUE(IF($D58="zho",$C58,0))+VALUE(IF($H58="zho",$G58,0))</f>
        <v>0</v>
      </c>
      <c r="AH58" s="148" t="n">
        <f aca="false">VALUE(IF($D58="zbú",$C58,0))+VALUE(IF($H58="zbú",$G58,0))</f>
        <v>0</v>
      </c>
      <c r="AI58" s="148" t="n">
        <f aca="false">VALUE(IF($D58="pří",$C58,0))+VALUE(IF($H58="pří",$G58,0))</f>
        <v>0</v>
      </c>
      <c r="AJ58" s="148" t="n">
        <f aca="false">VALUE(IF($D58="dot",$C58,0))+VALUE(IF($H58="dot",$G58,0))</f>
        <v>0</v>
      </c>
      <c r="AK58" s="148" t="n">
        <f aca="false">VALUE(IF($D58="opř",$C58,0))+VALUE(IF($H58="opř",$G58,0))</f>
        <v>0</v>
      </c>
      <c r="AN58" s="180"/>
      <c r="AO58" s="181"/>
      <c r="AP58" s="182"/>
      <c r="AQ58" s="183"/>
    </row>
    <row r="59" customFormat="false" ht="22.5" hidden="false" customHeight="true" outlineLevel="0" collapsed="false">
      <c r="A59" s="204"/>
      <c r="B59" s="156" t="s">
        <v>120</v>
      </c>
      <c r="C59" s="156"/>
      <c r="D59" s="156"/>
      <c r="E59" s="156"/>
      <c r="F59" s="156"/>
      <c r="G59" s="156"/>
      <c r="H59" s="156"/>
      <c r="I59" s="151"/>
      <c r="J59" s="212"/>
      <c r="K59" s="151"/>
      <c r="L59" s="151"/>
      <c r="M59" s="151"/>
      <c r="N59" s="151"/>
      <c r="P59" s="148" t="n">
        <f aca="false">VALUE(IF($D59="vyb",$C59,0))+VALUE(IF($H59="vyb",$G59,0))</f>
        <v>0</v>
      </c>
      <c r="Q59" s="148" t="n">
        <f aca="false">VALUE(IF($D59="mtv",$C59,0))+VALUE(IF($H59="mtv",$G59,0))</f>
        <v>0</v>
      </c>
      <c r="R59" s="148" t="n">
        <f aca="false">VALUE(IF($D59="mat",$C59,0))+VALUE(IF($H59="mat",$G59,0))</f>
        <v>0</v>
      </c>
      <c r="S59" s="148" t="n">
        <f aca="false">VALUE(IF($D59="pot",$C59,0))+VALUE(IF($H59="pot",$G59,0))</f>
        <v>0</v>
      </c>
      <c r="T59" s="148" t="n">
        <f aca="false">VALUE(IF($D59="táb",$C59,0))+VALUE(IF($H59="táb",$G59,0))</f>
        <v>0</v>
      </c>
      <c r="U59" s="148" t="n">
        <f aca="false">VALUE(IF($D59="oma",$C59,0))+VALUE(IF($H59="oma",$G59,0))</f>
        <v>0</v>
      </c>
      <c r="V59" s="148" t="n">
        <f aca="false">VALUE(IF($D59="ces",$C59,0))+VALUE(IF($H59="ces",$G59,0))</f>
        <v>0</v>
      </c>
      <c r="W59" s="148" t="n">
        <f aca="false">VALUE(IF($D59="poš",$C59,0))+VALUE(IF($H59="poš",$G59,0))</f>
        <v>0</v>
      </c>
      <c r="X59" s="148" t="n">
        <f aca="false">VALUE(IF($D59="tel",$C59,0))+VALUE(IF($H59="tel",$G59,0))</f>
        <v>0</v>
      </c>
      <c r="Y59" s="148" t="n">
        <f aca="false">VALUE(IF($D59="dop",$C59,0))+VALUE(IF($H59="dop",$G59,0))</f>
        <v>0</v>
      </c>
      <c r="Z59" s="148" t="n">
        <f aca="false">VALUE(IF($D59="nák",$C59,0))+VALUE(IF($H59="nák",$G59,0))</f>
        <v>0</v>
      </c>
      <c r="AA59" s="148" t="n">
        <f aca="false">VALUE(IF($D59="náj",$C59,0))+VALUE(IF($H59="náj",$G59,0))</f>
        <v>0</v>
      </c>
      <c r="AB59" s="148" t="n">
        <f aca="false">VALUE(IF($D59="půj",$C59,0))+VALUE(IF($H59="půj",$G59,0))</f>
        <v>0</v>
      </c>
      <c r="AC59" s="148" t="n">
        <f aca="false">VALUE(IF($D59="vst",$C59,0))+VALUE(IF($H59="vst",$G59,0))</f>
        <v>0</v>
      </c>
      <c r="AD59" s="148" t="n">
        <f aca="false">VALUE(IF($D59="kop",$C59,0))+VALUE(IF($H59="kop",$G59,0))</f>
        <v>0</v>
      </c>
      <c r="AE59" s="148" t="n">
        <f aca="false">VALUE(IF($D59="osl",$C59,0))+VALUE(IF($H59="osl",$G59,0))</f>
        <v>0</v>
      </c>
      <c r="AF59" s="148" t="n">
        <f aca="false">VALUE(IF($D59="vra",$C59,0))+VALUE(IF($H59="vra",$G59,0))</f>
        <v>0</v>
      </c>
      <c r="AG59" s="148" t="n">
        <f aca="false">VALUE(IF($D59="zho",$C59,0))+VALUE(IF($H59="zho",$G59,0))</f>
        <v>0</v>
      </c>
      <c r="AH59" s="148" t="n">
        <f aca="false">VALUE(IF($D59="zbú",$C59,0))+VALUE(IF($H59="zbú",$G59,0))</f>
        <v>0</v>
      </c>
      <c r="AI59" s="148" t="n">
        <f aca="false">VALUE(IF($D59="pří",$C59,0))+VALUE(IF($H59="pří",$G59,0))</f>
        <v>0</v>
      </c>
      <c r="AJ59" s="148" t="n">
        <f aca="false">VALUE(IF($D59="dot",$C59,0))+VALUE(IF($H59="dot",$G59,0))</f>
        <v>0</v>
      </c>
      <c r="AK59" s="148" t="n">
        <f aca="false">VALUE(IF($D59="opř",$C59,0))+VALUE(IF($H59="opř",$G59,0))</f>
        <v>0</v>
      </c>
      <c r="AN59" s="180"/>
      <c r="AO59" s="181"/>
      <c r="AP59" s="182"/>
      <c r="AQ59" s="183"/>
    </row>
    <row r="60" customFormat="false" ht="13.5" hidden="false" customHeight="false" outlineLevel="0" collapsed="false">
      <c r="A60" s="233"/>
      <c r="B60" s="158" t="s">
        <v>26</v>
      </c>
      <c r="C60" s="159" t="s">
        <v>109</v>
      </c>
      <c r="D60" s="160" t="s">
        <v>24</v>
      </c>
      <c r="E60" s="214" t="s">
        <v>110</v>
      </c>
      <c r="F60" s="162" t="s">
        <v>111</v>
      </c>
      <c r="G60" s="163" t="s">
        <v>112</v>
      </c>
      <c r="H60" s="215"/>
      <c r="I60" s="165"/>
      <c r="J60" s="166" t="s">
        <v>113</v>
      </c>
      <c r="K60" s="167"/>
      <c r="L60" s="167"/>
      <c r="M60" s="167"/>
      <c r="N60" s="167"/>
      <c r="P60" s="148" t="n">
        <f aca="false">VALUE(IF($D60="vyb",$C60,0))+VALUE(IF($H60="vyb",$G60,0))</f>
        <v>0</v>
      </c>
      <c r="Q60" s="148" t="n">
        <f aca="false">VALUE(IF($D60="mtv",$C60,0))+VALUE(IF($H60="mtv",$G60,0))</f>
        <v>0</v>
      </c>
      <c r="R60" s="148" t="n">
        <f aca="false">VALUE(IF($D60="mat",$C60,0))+VALUE(IF($H60="mat",$G60,0))</f>
        <v>0</v>
      </c>
      <c r="S60" s="148" t="n">
        <f aca="false">VALUE(IF($D60="pot",$C60,0))+VALUE(IF($H60="pot",$G60,0))</f>
        <v>0</v>
      </c>
      <c r="T60" s="148" t="n">
        <f aca="false">VALUE(IF($D60="táb",$C60,0))+VALUE(IF($H60="táb",$G60,0))</f>
        <v>0</v>
      </c>
      <c r="U60" s="148" t="n">
        <f aca="false">VALUE(IF($D60="oma",$C60,0))+VALUE(IF($H60="oma",$G60,0))</f>
        <v>0</v>
      </c>
      <c r="V60" s="148" t="n">
        <f aca="false">VALUE(IF($D60="ces",$C60,0))+VALUE(IF($H60="ces",$G60,0))</f>
        <v>0</v>
      </c>
      <c r="W60" s="148" t="n">
        <f aca="false">VALUE(IF($D60="poš",$C60,0))+VALUE(IF($H60="poš",$G60,0))</f>
        <v>0</v>
      </c>
      <c r="X60" s="148" t="n">
        <f aca="false">VALUE(IF($D60="tel",$C60,0))+VALUE(IF($H60="tel",$G60,0))</f>
        <v>0</v>
      </c>
      <c r="Y60" s="148" t="n">
        <f aca="false">VALUE(IF($D60="dop",$C60,0))+VALUE(IF($H60="dop",$G60,0))</f>
        <v>0</v>
      </c>
      <c r="Z60" s="148" t="n">
        <f aca="false">VALUE(IF($D60="nák",$C60,0))+VALUE(IF($H60="nák",$G60,0))</f>
        <v>0</v>
      </c>
      <c r="AA60" s="148" t="n">
        <f aca="false">VALUE(IF($D60="náj",$C60,0))+VALUE(IF($H60="náj",$G60,0))</f>
        <v>0</v>
      </c>
      <c r="AB60" s="148" t="n">
        <f aca="false">VALUE(IF($D60="půj",$C60,0))+VALUE(IF($H60="půj",$G60,0))</f>
        <v>0</v>
      </c>
      <c r="AC60" s="148" t="n">
        <f aca="false">VALUE(IF($D60="vst",$C60,0))+VALUE(IF($H60="vst",$G60,0))</f>
        <v>0</v>
      </c>
      <c r="AD60" s="148" t="n">
        <f aca="false">VALUE(IF($D60="kop",$C60,0))+VALUE(IF($H60="kop",$G60,0))</f>
        <v>0</v>
      </c>
      <c r="AE60" s="148" t="n">
        <f aca="false">VALUE(IF($D60="osl",$C60,0))+VALUE(IF($H60="osl",$G60,0))</f>
        <v>0</v>
      </c>
      <c r="AF60" s="148" t="n">
        <f aca="false">VALUE(IF($D60="vra",$C60,0))+VALUE(IF($H60="vra",$G60,0))</f>
        <v>0</v>
      </c>
      <c r="AG60" s="148" t="n">
        <f aca="false">VALUE(IF($D60="zho",$C60,0))+VALUE(IF($H60="zho",$G60,0))</f>
        <v>0</v>
      </c>
      <c r="AH60" s="148" t="n">
        <f aca="false">VALUE(IF($D60="zbú",$C60,0))+VALUE(IF($H60="zbú",$G60,0))</f>
        <v>0</v>
      </c>
      <c r="AI60" s="148" t="n">
        <f aca="false">VALUE(IF($D60="pří",$C60,0))+VALUE(IF($H60="pří",$G60,0))</f>
        <v>0</v>
      </c>
      <c r="AJ60" s="148" t="n">
        <f aca="false">VALUE(IF($D60="dot",$C60,0))+VALUE(IF($H60="dot",$G60,0))</f>
        <v>0</v>
      </c>
      <c r="AK60" s="148" t="n">
        <f aca="false">VALUE(IF($D60="opř",$C60,0))+VALUE(IF($H60="opř",$G60,0))</f>
        <v>0</v>
      </c>
      <c r="AL60" s="148" t="s">
        <v>116</v>
      </c>
      <c r="AN60" s="180"/>
      <c r="AO60" s="181"/>
      <c r="AP60" s="182"/>
      <c r="AQ60" s="183"/>
    </row>
    <row r="61" customFormat="false" ht="13.5" hidden="false" customHeight="false" outlineLevel="0" collapsed="false">
      <c r="A61" s="234" t="n">
        <v>50</v>
      </c>
      <c r="B61" s="235" t="s">
        <v>121</v>
      </c>
      <c r="C61" s="236" t="n">
        <f aca="false">SUM('Seznam účastníků'!L66)</f>
        <v>0</v>
      </c>
      <c r="D61" s="218" t="s">
        <v>82</v>
      </c>
      <c r="E61" s="237" t="s">
        <v>122</v>
      </c>
      <c r="F61" s="219"/>
      <c r="G61" s="220"/>
      <c r="H61" s="176"/>
      <c r="I61" s="177"/>
      <c r="J61" s="178" t="str">
        <f aca="false">IF(AL61=C61,IF(AL61=0,"-","ok"),"chyba")</f>
        <v>-</v>
      </c>
      <c r="K61" s="179"/>
      <c r="L61" s="179"/>
      <c r="M61" s="179"/>
      <c r="N61" s="179"/>
      <c r="P61" s="148" t="n">
        <f aca="false">VALUE(IF($D61="vyb",$C61,0))+VALUE(IF($H61="vyb",$G61,0))</f>
        <v>0</v>
      </c>
      <c r="Q61" s="148" t="n">
        <f aca="false">VALUE(IF($D61="mtv",$C61,0))+VALUE(IF($H61="mtv",$G61,0))</f>
        <v>0</v>
      </c>
      <c r="R61" s="148" t="n">
        <f aca="false">VALUE(IF($D61="mat",$C61,0))+VALUE(IF($H61="mat",$G61,0))</f>
        <v>0</v>
      </c>
      <c r="S61" s="148" t="n">
        <f aca="false">VALUE(IF($D61="pot",$C61,0))+VALUE(IF($H61="pot",$G61,0))</f>
        <v>0</v>
      </c>
      <c r="T61" s="148" t="n">
        <f aca="false">VALUE(IF($D61="táb",$C61,0))+VALUE(IF($H61="táb",$G61,0))</f>
        <v>0</v>
      </c>
      <c r="U61" s="148" t="n">
        <f aca="false">VALUE(IF($D61="oma",$C61,0))+VALUE(IF($H61="oma",$G61,0))</f>
        <v>0</v>
      </c>
      <c r="V61" s="148" t="n">
        <f aca="false">VALUE(IF($D61="ces",$C61,0))+VALUE(IF($H61="ces",$G61,0))</f>
        <v>0</v>
      </c>
      <c r="W61" s="148" t="n">
        <f aca="false">VALUE(IF($D61="poš",$C61,0))+VALUE(IF($H61="poš",$G61,0))</f>
        <v>0</v>
      </c>
      <c r="X61" s="148" t="n">
        <f aca="false">VALUE(IF($D61="tel",$C61,0))+VALUE(IF($H61="tel",$G61,0))</f>
        <v>0</v>
      </c>
      <c r="Y61" s="148" t="n">
        <f aca="false">VALUE(IF($D61="dop",$C61,0))+VALUE(IF($H61="dop",$G61,0))</f>
        <v>0</v>
      </c>
      <c r="Z61" s="148" t="n">
        <f aca="false">VALUE(IF($D61="nák",$C61,0))+VALUE(IF($H61="nák",$G61,0))</f>
        <v>0</v>
      </c>
      <c r="AA61" s="148" t="n">
        <f aca="false">VALUE(IF($D61="náj",$C61,0))+VALUE(IF($H61="náj",$G61,0))</f>
        <v>0</v>
      </c>
      <c r="AB61" s="148" t="n">
        <f aca="false">VALUE(IF($D61="půj",$C61,0))+VALUE(IF($H61="půj",$G61,0))</f>
        <v>0</v>
      </c>
      <c r="AC61" s="148" t="n">
        <f aca="false">VALUE(IF($D61="vst",$C61,0))+VALUE(IF($H61="vst",$G61,0))</f>
        <v>0</v>
      </c>
      <c r="AD61" s="148" t="n">
        <f aca="false">VALUE(IF($D61="kop",$C61,0))+VALUE(IF($H61="kop",$G61,0))</f>
        <v>0</v>
      </c>
      <c r="AE61" s="148" t="n">
        <f aca="false">VALUE(IF($D61="osl",$C61,0))+VALUE(IF($H61="osl",$G61,0))</f>
        <v>0</v>
      </c>
      <c r="AF61" s="148" t="n">
        <f aca="false">VALUE(IF($D61="vra",$C61,0))+VALUE(IF($H61="vra",$G61,0))</f>
        <v>0</v>
      </c>
      <c r="AG61" s="148" t="n">
        <f aca="false">VALUE(IF($D61="zho",$C61,0))+VALUE(IF($H61="zho",$G61,0))</f>
        <v>0</v>
      </c>
      <c r="AH61" s="148" t="n">
        <f aca="false">VALUE(IF($D61="zbú",$C61,0))+VALUE(IF($H61="zbú",$G61,0))</f>
        <v>0</v>
      </c>
      <c r="AI61" s="148" t="n">
        <f aca="false">VALUE(IF($D61="pří",$C61,0))+VALUE(IF($H61="pří",$G61,0))</f>
        <v>0</v>
      </c>
      <c r="AJ61" s="148" t="n">
        <f aca="false">VALUE(IF($D61="dot",$C61,0))+VALUE(IF($H61="dot",$G61,0))</f>
        <v>0</v>
      </c>
      <c r="AK61" s="148" t="n">
        <f aca="false">VALUE(IF($D61="opř",$C61,0))+VALUE(IF($H61="opř",$G61,0))</f>
        <v>0</v>
      </c>
      <c r="AL61" s="148" t="n">
        <f aca="false">SUM(P61:AK61)</f>
        <v>0</v>
      </c>
      <c r="AN61" s="180"/>
      <c r="AO61" s="181"/>
      <c r="AP61" s="182"/>
      <c r="AQ61" s="183"/>
    </row>
    <row r="62" customFormat="false" ht="12.75" hidden="false" customHeight="false" outlineLevel="0" collapsed="false">
      <c r="A62" s="234" t="n">
        <v>51</v>
      </c>
      <c r="B62" s="222"/>
      <c r="C62" s="185"/>
      <c r="D62" s="186"/>
      <c r="E62" s="238"/>
      <c r="F62" s="223"/>
      <c r="G62" s="224"/>
      <c r="H62" s="190"/>
      <c r="I62" s="177"/>
      <c r="J62" s="178" t="str">
        <f aca="false">IF(AL62=C62,IF(AL62=0,"-","ok"),"chyba")</f>
        <v>-</v>
      </c>
      <c r="K62" s="179"/>
      <c r="L62" s="179"/>
      <c r="M62" s="179"/>
      <c r="N62" s="179"/>
      <c r="P62" s="148" t="n">
        <f aca="false">VALUE(IF($D62="vyb",$C62,0))+VALUE(IF($H62="vyb",$G62,0))</f>
        <v>0</v>
      </c>
      <c r="Q62" s="148" t="n">
        <f aca="false">VALUE(IF($D62="mtv",$C62,0))+VALUE(IF($H62="mtv",$G62,0))</f>
        <v>0</v>
      </c>
      <c r="R62" s="148" t="n">
        <f aca="false">VALUE(IF($D62="mat",$C62,0))+VALUE(IF($H62="mat",$G62,0))</f>
        <v>0</v>
      </c>
      <c r="S62" s="148" t="n">
        <f aca="false">VALUE(IF($D62="pot",$C62,0))+VALUE(IF($H62="pot",$G62,0))</f>
        <v>0</v>
      </c>
      <c r="T62" s="148" t="n">
        <f aca="false">VALUE(IF($D62="táb",$C62,0))+VALUE(IF($H62="táb",$G62,0))</f>
        <v>0</v>
      </c>
      <c r="U62" s="148" t="n">
        <f aca="false">VALUE(IF($D62="oma",$C62,0))+VALUE(IF($H62="oma",$G62,0))</f>
        <v>0</v>
      </c>
      <c r="V62" s="148" t="n">
        <f aca="false">VALUE(IF($D62="ces",$C62,0))+VALUE(IF($H62="ces",$G62,0))</f>
        <v>0</v>
      </c>
      <c r="W62" s="148" t="n">
        <f aca="false">VALUE(IF($D62="poš",$C62,0))+VALUE(IF($H62="poš",$G62,0))</f>
        <v>0</v>
      </c>
      <c r="X62" s="148" t="n">
        <f aca="false">VALUE(IF($D62="tel",$C62,0))+VALUE(IF($H62="tel",$G62,0))</f>
        <v>0</v>
      </c>
      <c r="Y62" s="148" t="n">
        <f aca="false">VALUE(IF($D62="dop",$C62,0))+VALUE(IF($H62="dop",$G62,0))</f>
        <v>0</v>
      </c>
      <c r="Z62" s="148" t="n">
        <f aca="false">VALUE(IF($D62="nák",$C62,0))+VALUE(IF($H62="nák",$G62,0))</f>
        <v>0</v>
      </c>
      <c r="AA62" s="148" t="n">
        <f aca="false">VALUE(IF($D62="náj",$C62,0))+VALUE(IF($H62="náj",$G62,0))</f>
        <v>0</v>
      </c>
      <c r="AB62" s="148" t="n">
        <f aca="false">VALUE(IF($D62="půj",$C62,0))+VALUE(IF($H62="půj",$G62,0))</f>
        <v>0</v>
      </c>
      <c r="AC62" s="148" t="n">
        <f aca="false">VALUE(IF($D62="vst",$C62,0))+VALUE(IF($H62="vst",$G62,0))</f>
        <v>0</v>
      </c>
      <c r="AD62" s="148" t="n">
        <f aca="false">VALUE(IF($D62="kop",$C62,0))+VALUE(IF($H62="kop",$G62,0))</f>
        <v>0</v>
      </c>
      <c r="AE62" s="148" t="n">
        <f aca="false">VALUE(IF($D62="osl",$C62,0))+VALUE(IF($H62="osl",$G62,0))</f>
        <v>0</v>
      </c>
      <c r="AF62" s="148" t="n">
        <f aca="false">VALUE(IF($D62="vra",$C62,0))+VALUE(IF($H62="vra",$G62,0))</f>
        <v>0</v>
      </c>
      <c r="AG62" s="148" t="n">
        <f aca="false">VALUE(IF($D62="zho",$C62,0))+VALUE(IF($H62="zho",$G62,0))</f>
        <v>0</v>
      </c>
      <c r="AH62" s="148" t="n">
        <f aca="false">VALUE(IF($D62="zbú",$C62,0))+VALUE(IF($H62="zbú",$G62,0))</f>
        <v>0</v>
      </c>
      <c r="AI62" s="148" t="n">
        <f aca="false">VALUE(IF($D62="pří",$C62,0))+VALUE(IF($H62="pří",$G62,0))</f>
        <v>0</v>
      </c>
      <c r="AJ62" s="148" t="n">
        <f aca="false">VALUE(IF($D62="dot",$C62,0))+VALUE(IF($H62="dot",$G62,0))</f>
        <v>0</v>
      </c>
      <c r="AK62" s="148" t="n">
        <f aca="false">VALUE(IF($D62="opř",$C62,0))+VALUE(IF($H62="opř",$G62,0))</f>
        <v>0</v>
      </c>
      <c r="AL62" s="148" t="n">
        <f aca="false">SUM(P62:AK62)</f>
        <v>0</v>
      </c>
      <c r="AN62" s="180"/>
      <c r="AO62" s="181"/>
      <c r="AP62" s="182"/>
      <c r="AQ62" s="183"/>
    </row>
    <row r="63" customFormat="false" ht="12.75" hidden="false" customHeight="false" outlineLevel="0" collapsed="false">
      <c r="A63" s="234" t="n">
        <v>52</v>
      </c>
      <c r="B63" s="222"/>
      <c r="C63" s="185"/>
      <c r="D63" s="186"/>
      <c r="E63" s="238"/>
      <c r="F63" s="223"/>
      <c r="G63" s="224"/>
      <c r="H63" s="190"/>
      <c r="I63" s="177"/>
      <c r="J63" s="178" t="str">
        <f aca="false">IF(AL63=C63,IF(AL63=0,"-","ok"),"chyba")</f>
        <v>-</v>
      </c>
      <c r="K63" s="179"/>
      <c r="L63" s="179"/>
      <c r="M63" s="179"/>
      <c r="N63" s="179"/>
      <c r="P63" s="148" t="n">
        <f aca="false">VALUE(IF($D63="vyb",$C63,0))+VALUE(IF($H63="vyb",$G63,0))</f>
        <v>0</v>
      </c>
      <c r="Q63" s="148" t="n">
        <f aca="false">VALUE(IF($D63="mtv",$C63,0))+VALUE(IF($H63="mtv",$G63,0))</f>
        <v>0</v>
      </c>
      <c r="R63" s="148" t="n">
        <f aca="false">VALUE(IF($D63="mat",$C63,0))+VALUE(IF($H63="mat",$G63,0))</f>
        <v>0</v>
      </c>
      <c r="S63" s="148" t="n">
        <f aca="false">VALUE(IF($D63="pot",$C63,0))+VALUE(IF($H63="pot",$G63,0))</f>
        <v>0</v>
      </c>
      <c r="T63" s="148" t="n">
        <f aca="false">VALUE(IF($D63="táb",$C63,0))+VALUE(IF($H63="táb",$G63,0))</f>
        <v>0</v>
      </c>
      <c r="U63" s="148" t="n">
        <f aca="false">VALUE(IF($D63="oma",$C63,0))+VALUE(IF($H63="oma",$G63,0))</f>
        <v>0</v>
      </c>
      <c r="V63" s="148" t="n">
        <f aca="false">VALUE(IF($D63="ces",$C63,0))+VALUE(IF($H63="ces",$G63,0))</f>
        <v>0</v>
      </c>
      <c r="W63" s="148" t="n">
        <f aca="false">VALUE(IF($D63="poš",$C63,0))+VALUE(IF($H63="poš",$G63,0))</f>
        <v>0</v>
      </c>
      <c r="X63" s="148" t="n">
        <f aca="false">VALUE(IF($D63="tel",$C63,0))+VALUE(IF($H63="tel",$G63,0))</f>
        <v>0</v>
      </c>
      <c r="Y63" s="148" t="n">
        <f aca="false">VALUE(IF($D63="dop",$C63,0))+VALUE(IF($H63="dop",$G63,0))</f>
        <v>0</v>
      </c>
      <c r="Z63" s="148" t="n">
        <f aca="false">VALUE(IF($D63="nák",$C63,0))+VALUE(IF($H63="nák",$G63,0))</f>
        <v>0</v>
      </c>
      <c r="AA63" s="148" t="n">
        <f aca="false">VALUE(IF($D63="náj",$C63,0))+VALUE(IF($H63="náj",$G63,0))</f>
        <v>0</v>
      </c>
      <c r="AB63" s="148" t="n">
        <f aca="false">VALUE(IF($D63="půj",$C63,0))+VALUE(IF($H63="půj",$G63,0))</f>
        <v>0</v>
      </c>
      <c r="AC63" s="148" t="n">
        <f aca="false">VALUE(IF($D63="vst",$C63,0))+VALUE(IF($H63="vst",$G63,0))</f>
        <v>0</v>
      </c>
      <c r="AD63" s="148" t="n">
        <f aca="false">VALUE(IF($D63="kop",$C63,0))+VALUE(IF($H63="kop",$G63,0))</f>
        <v>0</v>
      </c>
      <c r="AE63" s="148" t="n">
        <f aca="false">VALUE(IF($D63="osl",$C63,0))+VALUE(IF($H63="osl",$G63,0))</f>
        <v>0</v>
      </c>
      <c r="AF63" s="148" t="n">
        <f aca="false">VALUE(IF($D63="vra",$C63,0))+VALUE(IF($H63="vra",$G63,0))</f>
        <v>0</v>
      </c>
      <c r="AG63" s="148" t="n">
        <f aca="false">VALUE(IF($D63="zho",$C63,0))+VALUE(IF($H63="zho",$G63,0))</f>
        <v>0</v>
      </c>
      <c r="AH63" s="148" t="n">
        <f aca="false">VALUE(IF($D63="zbú",$C63,0))+VALUE(IF($H63="zbú",$G63,0))</f>
        <v>0</v>
      </c>
      <c r="AI63" s="148" t="n">
        <f aca="false">VALUE(IF($D63="pří",$C63,0))+VALUE(IF($H63="pří",$G63,0))</f>
        <v>0</v>
      </c>
      <c r="AJ63" s="148" t="n">
        <f aca="false">VALUE(IF($D63="dot",$C63,0))+VALUE(IF($H63="dot",$G63,0))</f>
        <v>0</v>
      </c>
      <c r="AK63" s="148" t="n">
        <f aca="false">VALUE(IF($D63="opř",$C63,0))+VALUE(IF($H63="opř",$G63,0))</f>
        <v>0</v>
      </c>
      <c r="AL63" s="148" t="n">
        <f aca="false">SUM(P63:AK63)</f>
        <v>0</v>
      </c>
      <c r="AN63" s="180"/>
      <c r="AO63" s="181"/>
      <c r="AP63" s="182"/>
      <c r="AQ63" s="183"/>
    </row>
    <row r="64" customFormat="false" ht="12.75" hidden="false" customHeight="false" outlineLevel="0" collapsed="false">
      <c r="A64" s="234" t="n">
        <v>53</v>
      </c>
      <c r="B64" s="222"/>
      <c r="C64" s="185"/>
      <c r="D64" s="186"/>
      <c r="E64" s="186"/>
      <c r="F64" s="223"/>
      <c r="G64" s="224"/>
      <c r="H64" s="190"/>
      <c r="I64" s="177"/>
      <c r="J64" s="178" t="str">
        <f aca="false">IF(AL64=C64,IF(AL64=0,"-","ok"),"chyba")</f>
        <v>-</v>
      </c>
      <c r="K64" s="179"/>
      <c r="L64" s="179"/>
      <c r="M64" s="179"/>
      <c r="N64" s="179"/>
      <c r="O64" s="239"/>
      <c r="P64" s="148" t="n">
        <f aca="false">VALUE(IF($D64="vyb",$C64,0))+VALUE(IF($H64="vyb",$G64,0))</f>
        <v>0</v>
      </c>
      <c r="Q64" s="148" t="n">
        <f aca="false">VALUE(IF($D64="mtv",$C64,0))+VALUE(IF($H64="mtv",$G64,0))</f>
        <v>0</v>
      </c>
      <c r="R64" s="148" t="n">
        <f aca="false">VALUE(IF($D64="mat",$C64,0))+VALUE(IF($H64="mat",$G64,0))</f>
        <v>0</v>
      </c>
      <c r="S64" s="148" t="n">
        <f aca="false">VALUE(IF($D64="pot",$C64,0))+VALUE(IF($H64="pot",$G64,0))</f>
        <v>0</v>
      </c>
      <c r="T64" s="148" t="n">
        <f aca="false">VALUE(IF($D64="táb",$C64,0))+VALUE(IF($H64="táb",$G64,0))</f>
        <v>0</v>
      </c>
      <c r="U64" s="148" t="n">
        <f aca="false">VALUE(IF($D64="oma",$C64,0))+VALUE(IF($H64="oma",$G64,0))</f>
        <v>0</v>
      </c>
      <c r="V64" s="148" t="n">
        <f aca="false">VALUE(IF($D64="ces",$C64,0))+VALUE(IF($H64="ces",$G64,0))</f>
        <v>0</v>
      </c>
      <c r="W64" s="148" t="n">
        <f aca="false">VALUE(IF($D64="poš",$C64,0))+VALUE(IF($H64="poš",$G64,0))</f>
        <v>0</v>
      </c>
      <c r="X64" s="148" t="n">
        <f aca="false">VALUE(IF($D64="tel",$C64,0))+VALUE(IF($H64="tel",$G64,0))</f>
        <v>0</v>
      </c>
      <c r="Y64" s="148" t="n">
        <f aca="false">VALUE(IF($D64="dop",$C64,0))+VALUE(IF($H64="dop",$G64,0))</f>
        <v>0</v>
      </c>
      <c r="Z64" s="148" t="n">
        <f aca="false">VALUE(IF($D64="nák",$C64,0))+VALUE(IF($H64="nák",$G64,0))</f>
        <v>0</v>
      </c>
      <c r="AA64" s="148" t="n">
        <f aca="false">VALUE(IF($D64="náj",$C64,0))+VALUE(IF($H64="náj",$G64,0))</f>
        <v>0</v>
      </c>
      <c r="AB64" s="148" t="n">
        <f aca="false">VALUE(IF($D64="půj",$C64,0))+VALUE(IF($H64="půj",$G64,0))</f>
        <v>0</v>
      </c>
      <c r="AC64" s="148" t="n">
        <f aca="false">VALUE(IF($D64="vst",$C64,0))+VALUE(IF($H64="vst",$G64,0))</f>
        <v>0</v>
      </c>
      <c r="AD64" s="148" t="n">
        <f aca="false">VALUE(IF($D64="kop",$C64,0))+VALUE(IF($H64="kop",$G64,0))</f>
        <v>0</v>
      </c>
      <c r="AE64" s="148" t="n">
        <f aca="false">VALUE(IF($D64="osl",$C64,0))+VALUE(IF($H64="osl",$G64,0))</f>
        <v>0</v>
      </c>
      <c r="AF64" s="148" t="n">
        <f aca="false">VALUE(IF($D64="vra",$C64,0))+VALUE(IF($H64="vra",$G64,0))</f>
        <v>0</v>
      </c>
      <c r="AG64" s="148" t="n">
        <f aca="false">VALUE(IF($D64="zho",$C64,0))+VALUE(IF($H64="zho",$G64,0))</f>
        <v>0</v>
      </c>
      <c r="AH64" s="148" t="n">
        <f aca="false">VALUE(IF($D64="zbú",$C64,0))+VALUE(IF($H64="zbú",$G64,0))</f>
        <v>0</v>
      </c>
      <c r="AI64" s="148" t="n">
        <f aca="false">VALUE(IF($D64="pří",$C64,0))+VALUE(IF($H64="pří",$G64,0))</f>
        <v>0</v>
      </c>
      <c r="AJ64" s="148" t="n">
        <f aca="false">VALUE(IF($D64="dot",$C64,0))+VALUE(IF($H64="dot",$G64,0))</f>
        <v>0</v>
      </c>
      <c r="AK64" s="148" t="n">
        <f aca="false">VALUE(IF($D64="opř",$C64,0))+VALUE(IF($H64="opř",$G64,0))</f>
        <v>0</v>
      </c>
      <c r="AL64" s="148" t="n">
        <f aca="false">SUM(P64:AK64)</f>
        <v>0</v>
      </c>
      <c r="AN64" s="180"/>
      <c r="AO64" s="181"/>
      <c r="AP64" s="182"/>
      <c r="AQ64" s="183"/>
    </row>
    <row r="65" customFormat="false" ht="12.75" hidden="false" customHeight="false" outlineLevel="0" collapsed="false">
      <c r="A65" s="234" t="n">
        <v>54</v>
      </c>
      <c r="B65" s="222"/>
      <c r="C65" s="185"/>
      <c r="D65" s="186"/>
      <c r="E65" s="186"/>
      <c r="F65" s="223"/>
      <c r="G65" s="224"/>
      <c r="H65" s="190"/>
      <c r="I65" s="177"/>
      <c r="J65" s="178" t="str">
        <f aca="false">IF(AL65=C65,IF(AL65=0,"-","ok"),"chyba")</f>
        <v>-</v>
      </c>
      <c r="K65" s="179"/>
      <c r="L65" s="179"/>
      <c r="M65" s="179"/>
      <c r="N65" s="179"/>
      <c r="O65" s="239"/>
      <c r="P65" s="148" t="n">
        <f aca="false">VALUE(IF($D65="vyb",$C65,0))+VALUE(IF($H65="vyb",$G65,0))</f>
        <v>0</v>
      </c>
      <c r="Q65" s="148" t="n">
        <f aca="false">VALUE(IF($D65="mtv",$C65,0))+VALUE(IF($H65="mtv",$G65,0))</f>
        <v>0</v>
      </c>
      <c r="R65" s="148" t="n">
        <f aca="false">VALUE(IF($D65="mat",$C65,0))+VALUE(IF($H65="mat",$G65,0))</f>
        <v>0</v>
      </c>
      <c r="S65" s="148" t="n">
        <f aca="false">VALUE(IF($D65="pot",$C65,0))+VALUE(IF($H65="pot",$G65,0))</f>
        <v>0</v>
      </c>
      <c r="T65" s="148" t="n">
        <f aca="false">VALUE(IF($D65="táb",$C65,0))+VALUE(IF($H65="táb",$G65,0))</f>
        <v>0</v>
      </c>
      <c r="U65" s="148" t="n">
        <f aca="false">VALUE(IF($D65="oma",$C65,0))+VALUE(IF($H65="oma",$G65,0))</f>
        <v>0</v>
      </c>
      <c r="V65" s="148" t="n">
        <f aca="false">VALUE(IF($D65="ces",$C65,0))+VALUE(IF($H65="ces",$G65,0))</f>
        <v>0</v>
      </c>
      <c r="W65" s="148" t="n">
        <f aca="false">VALUE(IF($D65="poš",$C65,0))+VALUE(IF($H65="poš",$G65,0))</f>
        <v>0</v>
      </c>
      <c r="X65" s="148" t="n">
        <f aca="false">VALUE(IF($D65="tel",$C65,0))+VALUE(IF($H65="tel",$G65,0))</f>
        <v>0</v>
      </c>
      <c r="Y65" s="148" t="n">
        <f aca="false">VALUE(IF($D65="dop",$C65,0))+VALUE(IF($H65="dop",$G65,0))</f>
        <v>0</v>
      </c>
      <c r="Z65" s="148" t="n">
        <f aca="false">VALUE(IF($D65="nák",$C65,0))+VALUE(IF($H65="nák",$G65,0))</f>
        <v>0</v>
      </c>
      <c r="AA65" s="148" t="n">
        <f aca="false">VALUE(IF($D65="náj",$C65,0))+VALUE(IF($H65="náj",$G65,0))</f>
        <v>0</v>
      </c>
      <c r="AB65" s="148" t="n">
        <f aca="false">VALUE(IF($D65="půj",$C65,0))+VALUE(IF($H65="půj",$G65,0))</f>
        <v>0</v>
      </c>
      <c r="AC65" s="148" t="n">
        <f aca="false">VALUE(IF($D65="vst",$C65,0))+VALUE(IF($H65="vst",$G65,0))</f>
        <v>0</v>
      </c>
      <c r="AD65" s="148" t="n">
        <f aca="false">VALUE(IF($D65="kop",$C65,0))+VALUE(IF($H65="kop",$G65,0))</f>
        <v>0</v>
      </c>
      <c r="AE65" s="148" t="n">
        <f aca="false">VALUE(IF($D65="osl",$C65,0))+VALUE(IF($H65="osl",$G65,0))</f>
        <v>0</v>
      </c>
      <c r="AF65" s="148" t="n">
        <f aca="false">VALUE(IF($D65="vra",$C65,0))+VALUE(IF($H65="vra",$G65,0))</f>
        <v>0</v>
      </c>
      <c r="AG65" s="148" t="n">
        <f aca="false">VALUE(IF($D65="zho",$C65,0))+VALUE(IF($H65="zho",$G65,0))</f>
        <v>0</v>
      </c>
      <c r="AH65" s="148" t="n">
        <f aca="false">VALUE(IF($D65="zbú",$C65,0))+VALUE(IF($H65="zbú",$G65,0))</f>
        <v>0</v>
      </c>
      <c r="AI65" s="148" t="n">
        <f aca="false">VALUE(IF($D65="pří",$C65,0))+VALUE(IF($H65="pří",$G65,0))</f>
        <v>0</v>
      </c>
      <c r="AJ65" s="148" t="n">
        <f aca="false">VALUE(IF($D65="dot",$C65,0))+VALUE(IF($H65="dot",$G65,0))</f>
        <v>0</v>
      </c>
      <c r="AK65" s="148" t="n">
        <f aca="false">VALUE(IF($D65="opř",$C65,0))+VALUE(IF($H65="opř",$G65,0))</f>
        <v>0</v>
      </c>
      <c r="AL65" s="148" t="n">
        <f aca="false">SUM(P65:AK65)</f>
        <v>0</v>
      </c>
      <c r="AN65" s="180"/>
      <c r="AO65" s="181"/>
      <c r="AP65" s="182"/>
      <c r="AQ65" s="183"/>
    </row>
    <row r="66" customFormat="false" ht="12.75" hidden="false" customHeight="false" outlineLevel="0" collapsed="false">
      <c r="A66" s="234" t="n">
        <v>55</v>
      </c>
      <c r="B66" s="222"/>
      <c r="C66" s="185"/>
      <c r="D66" s="186"/>
      <c r="E66" s="186"/>
      <c r="F66" s="223"/>
      <c r="G66" s="224"/>
      <c r="H66" s="190"/>
      <c r="I66" s="177"/>
      <c r="J66" s="178" t="str">
        <f aca="false">IF(AL66=C66,IF(AL66=0,"-","ok"),"chyba")</f>
        <v>-</v>
      </c>
      <c r="K66" s="179"/>
      <c r="L66" s="179"/>
      <c r="M66" s="179"/>
      <c r="N66" s="179"/>
      <c r="O66" s="239"/>
      <c r="P66" s="148" t="n">
        <f aca="false">VALUE(IF($D66="vyb",$C66,0))+VALUE(IF($H66="vyb",$G66,0))</f>
        <v>0</v>
      </c>
      <c r="Q66" s="148" t="n">
        <f aca="false">VALUE(IF($D66="mtv",$C66,0))+VALUE(IF($H66="mtv",$G66,0))</f>
        <v>0</v>
      </c>
      <c r="R66" s="148" t="n">
        <f aca="false">VALUE(IF($D66="mat",$C66,0))+VALUE(IF($H66="mat",$G66,0))</f>
        <v>0</v>
      </c>
      <c r="S66" s="148" t="n">
        <f aca="false">VALUE(IF($D66="pot",$C66,0))+VALUE(IF($H66="pot",$G66,0))</f>
        <v>0</v>
      </c>
      <c r="T66" s="148" t="n">
        <f aca="false">VALUE(IF($D66="táb",$C66,0))+VALUE(IF($H66="táb",$G66,0))</f>
        <v>0</v>
      </c>
      <c r="U66" s="148" t="n">
        <f aca="false">VALUE(IF($D66="oma",$C66,0))+VALUE(IF($H66="oma",$G66,0))</f>
        <v>0</v>
      </c>
      <c r="V66" s="148" t="n">
        <f aca="false">VALUE(IF($D66="ces",$C66,0))+VALUE(IF($H66="ces",$G66,0))</f>
        <v>0</v>
      </c>
      <c r="W66" s="148" t="n">
        <f aca="false">VALUE(IF($D66="poš",$C66,0))+VALUE(IF($H66="poš",$G66,0))</f>
        <v>0</v>
      </c>
      <c r="X66" s="148" t="n">
        <f aca="false">VALUE(IF($D66="tel",$C66,0))+VALUE(IF($H66="tel",$G66,0))</f>
        <v>0</v>
      </c>
      <c r="Y66" s="148" t="n">
        <f aca="false">VALUE(IF($D66="dop",$C66,0))+VALUE(IF($H66="dop",$G66,0))</f>
        <v>0</v>
      </c>
      <c r="Z66" s="148" t="n">
        <f aca="false">VALUE(IF($D66="nák",$C66,0))+VALUE(IF($H66="nák",$G66,0))</f>
        <v>0</v>
      </c>
      <c r="AA66" s="148" t="n">
        <f aca="false">VALUE(IF($D66="náj",$C66,0))+VALUE(IF($H66="náj",$G66,0))</f>
        <v>0</v>
      </c>
      <c r="AB66" s="148" t="n">
        <f aca="false">VALUE(IF($D66="půj",$C66,0))+VALUE(IF($H66="půj",$G66,0))</f>
        <v>0</v>
      </c>
      <c r="AC66" s="148" t="n">
        <f aca="false">VALUE(IF($D66="vst",$C66,0))+VALUE(IF($H66="vst",$G66,0))</f>
        <v>0</v>
      </c>
      <c r="AD66" s="148" t="n">
        <f aca="false">VALUE(IF($D66="kop",$C66,0))+VALUE(IF($H66="kop",$G66,0))</f>
        <v>0</v>
      </c>
      <c r="AE66" s="148" t="n">
        <f aca="false">VALUE(IF($D66="osl",$C66,0))+VALUE(IF($H66="osl",$G66,0))</f>
        <v>0</v>
      </c>
      <c r="AF66" s="148" t="n">
        <f aca="false">VALUE(IF($D66="vra",$C66,0))+VALUE(IF($H66="vra",$G66,0))</f>
        <v>0</v>
      </c>
      <c r="AG66" s="148" t="n">
        <f aca="false">VALUE(IF($D66="zho",$C66,0))+VALUE(IF($H66="zho",$G66,0))</f>
        <v>0</v>
      </c>
      <c r="AH66" s="148" t="n">
        <f aca="false">VALUE(IF($D66="zbú",$C66,0))+VALUE(IF($H66="zbú",$G66,0))</f>
        <v>0</v>
      </c>
      <c r="AI66" s="148" t="n">
        <f aca="false">VALUE(IF($D66="pří",$C66,0))+VALUE(IF($H66="pří",$G66,0))</f>
        <v>0</v>
      </c>
      <c r="AJ66" s="148" t="n">
        <f aca="false">VALUE(IF($D66="dot",$C66,0))+VALUE(IF($H66="dot",$G66,0))</f>
        <v>0</v>
      </c>
      <c r="AK66" s="148" t="n">
        <f aca="false">VALUE(IF($D66="opř",$C66,0))+VALUE(IF($H66="opř",$G66,0))</f>
        <v>0</v>
      </c>
      <c r="AL66" s="148" t="n">
        <f aca="false">SUM(P66:AK66)</f>
        <v>0</v>
      </c>
      <c r="AN66" s="180"/>
      <c r="AO66" s="181"/>
      <c r="AP66" s="182"/>
      <c r="AQ66" s="183"/>
    </row>
    <row r="67" customFormat="false" ht="12.75" hidden="false" customHeight="false" outlineLevel="0" collapsed="false">
      <c r="A67" s="234" t="n">
        <v>56</v>
      </c>
      <c r="B67" s="222"/>
      <c r="C67" s="185"/>
      <c r="D67" s="186"/>
      <c r="E67" s="186"/>
      <c r="F67" s="223"/>
      <c r="G67" s="224"/>
      <c r="H67" s="190"/>
      <c r="I67" s="177"/>
      <c r="J67" s="178" t="str">
        <f aca="false">IF(AL67=C67,IF(AL67=0,"-","ok"),"chyba")</f>
        <v>-</v>
      </c>
      <c r="K67" s="179"/>
      <c r="L67" s="179"/>
      <c r="M67" s="179"/>
      <c r="N67" s="179"/>
      <c r="O67" s="239"/>
      <c r="P67" s="148" t="n">
        <f aca="false">VALUE(IF($D67="vyb",$C67,0))+VALUE(IF($H67="vyb",$G67,0))</f>
        <v>0</v>
      </c>
      <c r="Q67" s="148" t="n">
        <f aca="false">VALUE(IF($D67="mtv",$C67,0))+VALUE(IF($H67="mtv",$G67,0))</f>
        <v>0</v>
      </c>
      <c r="R67" s="148" t="n">
        <f aca="false">VALUE(IF($D67="mat",$C67,0))+VALUE(IF($H67="mat",$G67,0))</f>
        <v>0</v>
      </c>
      <c r="S67" s="148" t="n">
        <f aca="false">VALUE(IF($D67="pot",$C67,0))+VALUE(IF($H67="pot",$G67,0))</f>
        <v>0</v>
      </c>
      <c r="T67" s="148" t="n">
        <f aca="false">VALUE(IF($D67="táb",$C67,0))+VALUE(IF($H67="táb",$G67,0))</f>
        <v>0</v>
      </c>
      <c r="U67" s="148" t="n">
        <f aca="false">VALUE(IF($D67="oma",$C67,0))+VALUE(IF($H67="oma",$G67,0))</f>
        <v>0</v>
      </c>
      <c r="V67" s="148" t="n">
        <f aca="false">VALUE(IF($D67="ces",$C67,0))+VALUE(IF($H67="ces",$G67,0))</f>
        <v>0</v>
      </c>
      <c r="W67" s="148" t="n">
        <f aca="false">VALUE(IF($D67="poš",$C67,0))+VALUE(IF($H67="poš",$G67,0))</f>
        <v>0</v>
      </c>
      <c r="X67" s="148" t="n">
        <f aca="false">VALUE(IF($D67="tel",$C67,0))+VALUE(IF($H67="tel",$G67,0))</f>
        <v>0</v>
      </c>
      <c r="Y67" s="148" t="n">
        <f aca="false">VALUE(IF($D67="dop",$C67,0))+VALUE(IF($H67="dop",$G67,0))</f>
        <v>0</v>
      </c>
      <c r="Z67" s="148" t="n">
        <f aca="false">VALUE(IF($D67="nák",$C67,0))+VALUE(IF($H67="nák",$G67,0))</f>
        <v>0</v>
      </c>
      <c r="AA67" s="148" t="n">
        <f aca="false">VALUE(IF($D67="náj",$C67,0))+VALUE(IF($H67="náj",$G67,0))</f>
        <v>0</v>
      </c>
      <c r="AB67" s="148" t="n">
        <f aca="false">VALUE(IF($D67="půj",$C67,0))+VALUE(IF($H67="půj",$G67,0))</f>
        <v>0</v>
      </c>
      <c r="AC67" s="148" t="n">
        <f aca="false">VALUE(IF($D67="vst",$C67,0))+VALUE(IF($H67="vst",$G67,0))</f>
        <v>0</v>
      </c>
      <c r="AD67" s="148" t="n">
        <f aca="false">VALUE(IF($D67="kop",$C67,0))+VALUE(IF($H67="kop",$G67,0))</f>
        <v>0</v>
      </c>
      <c r="AE67" s="148" t="n">
        <f aca="false">VALUE(IF($D67="osl",$C67,0))+VALUE(IF($H67="osl",$G67,0))</f>
        <v>0</v>
      </c>
      <c r="AF67" s="148" t="n">
        <f aca="false">VALUE(IF($D67="vra",$C67,0))+VALUE(IF($H67="vra",$G67,0))</f>
        <v>0</v>
      </c>
      <c r="AG67" s="148" t="n">
        <f aca="false">VALUE(IF($D67="zho",$C67,0))+VALUE(IF($H67="zho",$G67,0))</f>
        <v>0</v>
      </c>
      <c r="AH67" s="148" t="n">
        <f aca="false">VALUE(IF($D67="zbú",$C67,0))+VALUE(IF($H67="zbú",$G67,0))</f>
        <v>0</v>
      </c>
      <c r="AI67" s="148" t="n">
        <f aca="false">VALUE(IF($D67="pří",$C67,0))+VALUE(IF($H67="pří",$G67,0))</f>
        <v>0</v>
      </c>
      <c r="AJ67" s="148" t="n">
        <f aca="false">VALUE(IF($D67="dot",$C67,0))+VALUE(IF($H67="dot",$G67,0))</f>
        <v>0</v>
      </c>
      <c r="AK67" s="148" t="n">
        <f aca="false">VALUE(IF($D67="opř",$C67,0))+VALUE(IF($H67="opř",$G67,0))</f>
        <v>0</v>
      </c>
      <c r="AL67" s="148" t="n">
        <f aca="false">SUM(P67:AK67)</f>
        <v>0</v>
      </c>
      <c r="AN67" s="180"/>
      <c r="AO67" s="181"/>
      <c r="AP67" s="182"/>
      <c r="AQ67" s="183"/>
    </row>
    <row r="68" customFormat="false" ht="12.75" hidden="false" customHeight="false" outlineLevel="0" collapsed="false">
      <c r="A68" s="234" t="n">
        <v>57</v>
      </c>
      <c r="B68" s="222"/>
      <c r="C68" s="185"/>
      <c r="D68" s="186"/>
      <c r="E68" s="186"/>
      <c r="F68" s="223"/>
      <c r="G68" s="224"/>
      <c r="H68" s="190"/>
      <c r="I68" s="177"/>
      <c r="J68" s="178" t="str">
        <f aca="false">IF(AL68=C68,IF(AL68=0,"-","ok"),"chyba")</f>
        <v>-</v>
      </c>
      <c r="K68" s="179"/>
      <c r="L68" s="179"/>
      <c r="M68" s="179"/>
      <c r="N68" s="179"/>
      <c r="O68" s="239"/>
      <c r="P68" s="148" t="n">
        <f aca="false">VALUE(IF($D68="vyb",$C68,0))+VALUE(IF($H68="vyb",$G68,0))</f>
        <v>0</v>
      </c>
      <c r="Q68" s="148" t="n">
        <f aca="false">VALUE(IF($D68="mtv",$C68,0))+VALUE(IF($H68="mtv",$G68,0))</f>
        <v>0</v>
      </c>
      <c r="R68" s="148" t="n">
        <f aca="false">VALUE(IF($D68="mat",$C68,0))+VALUE(IF($H68="mat",$G68,0))</f>
        <v>0</v>
      </c>
      <c r="S68" s="148" t="n">
        <f aca="false">VALUE(IF($D68="pot",$C68,0))+VALUE(IF($H68="pot",$G68,0))</f>
        <v>0</v>
      </c>
      <c r="T68" s="148" t="n">
        <f aca="false">VALUE(IF($D68="táb",$C68,0))+VALUE(IF($H68="táb",$G68,0))</f>
        <v>0</v>
      </c>
      <c r="U68" s="148" t="n">
        <f aca="false">VALUE(IF($D68="oma",$C68,0))+VALUE(IF($H68="oma",$G68,0))</f>
        <v>0</v>
      </c>
      <c r="V68" s="148" t="n">
        <f aca="false">VALUE(IF($D68="ces",$C68,0))+VALUE(IF($H68="ces",$G68,0))</f>
        <v>0</v>
      </c>
      <c r="W68" s="148" t="n">
        <f aca="false">VALUE(IF($D68="poš",$C68,0))+VALUE(IF($H68="poš",$G68,0))</f>
        <v>0</v>
      </c>
      <c r="X68" s="148" t="n">
        <f aca="false">VALUE(IF($D68="tel",$C68,0))+VALUE(IF($H68="tel",$G68,0))</f>
        <v>0</v>
      </c>
      <c r="Y68" s="148" t="n">
        <f aca="false">VALUE(IF($D68="dop",$C68,0))+VALUE(IF($H68="dop",$G68,0))</f>
        <v>0</v>
      </c>
      <c r="Z68" s="148" t="n">
        <f aca="false">VALUE(IF($D68="nák",$C68,0))+VALUE(IF($H68="nák",$G68,0))</f>
        <v>0</v>
      </c>
      <c r="AA68" s="148" t="n">
        <f aca="false">VALUE(IF($D68="náj",$C68,0))+VALUE(IF($H68="náj",$G68,0))</f>
        <v>0</v>
      </c>
      <c r="AB68" s="148" t="n">
        <f aca="false">VALUE(IF($D68="půj",$C68,0))+VALUE(IF($H68="půj",$G68,0))</f>
        <v>0</v>
      </c>
      <c r="AC68" s="148" t="n">
        <f aca="false">VALUE(IF($D68="vst",$C68,0))+VALUE(IF($H68="vst",$G68,0))</f>
        <v>0</v>
      </c>
      <c r="AD68" s="148" t="n">
        <f aca="false">VALUE(IF($D68="kop",$C68,0))+VALUE(IF($H68="kop",$G68,0))</f>
        <v>0</v>
      </c>
      <c r="AE68" s="148" t="n">
        <f aca="false">VALUE(IF($D68="osl",$C68,0))+VALUE(IF($H68="osl",$G68,0))</f>
        <v>0</v>
      </c>
      <c r="AF68" s="148" t="n">
        <f aca="false">VALUE(IF($D68="vra",$C68,0))+VALUE(IF($H68="vra",$G68,0))</f>
        <v>0</v>
      </c>
      <c r="AG68" s="148" t="n">
        <f aca="false">VALUE(IF($D68="zho",$C68,0))+VALUE(IF($H68="zho",$G68,0))</f>
        <v>0</v>
      </c>
      <c r="AH68" s="148" t="n">
        <f aca="false">VALUE(IF($D68="zbú",$C68,0))+VALUE(IF($H68="zbú",$G68,0))</f>
        <v>0</v>
      </c>
      <c r="AI68" s="148" t="n">
        <f aca="false">VALUE(IF($D68="pří",$C68,0))+VALUE(IF($H68="pří",$G68,0))</f>
        <v>0</v>
      </c>
      <c r="AJ68" s="148" t="n">
        <f aca="false">VALUE(IF($D68="dot",$C68,0))+VALUE(IF($H68="dot",$G68,0))</f>
        <v>0</v>
      </c>
      <c r="AK68" s="148" t="n">
        <f aca="false">VALUE(IF($D68="opř",$C68,0))+VALUE(IF($H68="opř",$G68,0))</f>
        <v>0</v>
      </c>
      <c r="AL68" s="148" t="n">
        <f aca="false">SUM(P68:AK68)</f>
        <v>0</v>
      </c>
      <c r="AN68" s="180"/>
      <c r="AO68" s="181"/>
      <c r="AP68" s="182"/>
      <c r="AQ68" s="183"/>
    </row>
    <row r="69" customFormat="false" ht="12.75" hidden="false" customHeight="false" outlineLevel="0" collapsed="false">
      <c r="A69" s="234" t="n">
        <v>58</v>
      </c>
      <c r="B69" s="222"/>
      <c r="C69" s="185"/>
      <c r="D69" s="186"/>
      <c r="E69" s="186"/>
      <c r="F69" s="223"/>
      <c r="G69" s="224"/>
      <c r="H69" s="190"/>
      <c r="I69" s="177"/>
      <c r="J69" s="178" t="str">
        <f aca="false">IF(AL69=C69,IF(AL69=0,"-","ok"),"chyba")</f>
        <v>-</v>
      </c>
      <c r="K69" s="179"/>
      <c r="L69" s="179"/>
      <c r="M69" s="179"/>
      <c r="N69" s="179"/>
      <c r="O69" s="239"/>
      <c r="P69" s="148" t="n">
        <f aca="false">VALUE(IF($D69="vyb",$C69,0))+VALUE(IF($H69="vyb",$G69,0))</f>
        <v>0</v>
      </c>
      <c r="Q69" s="148" t="n">
        <f aca="false">VALUE(IF($D69="mtv",$C69,0))+VALUE(IF($H69="mtv",$G69,0))</f>
        <v>0</v>
      </c>
      <c r="R69" s="148" t="n">
        <f aca="false">VALUE(IF($D69="mat",$C69,0))+VALUE(IF($H69="mat",$G69,0))</f>
        <v>0</v>
      </c>
      <c r="S69" s="148" t="n">
        <f aca="false">VALUE(IF($D69="pot",$C69,0))+VALUE(IF($H69="pot",$G69,0))</f>
        <v>0</v>
      </c>
      <c r="T69" s="148" t="n">
        <f aca="false">VALUE(IF($D69="táb",$C69,0))+VALUE(IF($H69="táb",$G69,0))</f>
        <v>0</v>
      </c>
      <c r="U69" s="148" t="n">
        <f aca="false">VALUE(IF($D69="oma",$C69,0))+VALUE(IF($H69="oma",$G69,0))</f>
        <v>0</v>
      </c>
      <c r="V69" s="148" t="n">
        <f aca="false">VALUE(IF($D69="ces",$C69,0))+VALUE(IF($H69="ces",$G69,0))</f>
        <v>0</v>
      </c>
      <c r="W69" s="148" t="n">
        <f aca="false">VALUE(IF($D69="poš",$C69,0))+VALUE(IF($H69="poš",$G69,0))</f>
        <v>0</v>
      </c>
      <c r="X69" s="148" t="n">
        <f aca="false">VALUE(IF($D69="tel",$C69,0))+VALUE(IF($H69="tel",$G69,0))</f>
        <v>0</v>
      </c>
      <c r="Y69" s="148" t="n">
        <f aca="false">VALUE(IF($D69="dop",$C69,0))+VALUE(IF($H69="dop",$G69,0))</f>
        <v>0</v>
      </c>
      <c r="Z69" s="148" t="n">
        <f aca="false">VALUE(IF($D69="nák",$C69,0))+VALUE(IF($H69="nák",$G69,0))</f>
        <v>0</v>
      </c>
      <c r="AA69" s="148" t="n">
        <f aca="false">VALUE(IF($D69="náj",$C69,0))+VALUE(IF($H69="náj",$G69,0))</f>
        <v>0</v>
      </c>
      <c r="AB69" s="148" t="n">
        <f aca="false">VALUE(IF($D69="půj",$C69,0))+VALUE(IF($H69="půj",$G69,0))</f>
        <v>0</v>
      </c>
      <c r="AC69" s="148" t="n">
        <f aca="false">VALUE(IF($D69="vst",$C69,0))+VALUE(IF($H69="vst",$G69,0))</f>
        <v>0</v>
      </c>
      <c r="AD69" s="148" t="n">
        <f aca="false">VALUE(IF($D69="kop",$C69,0))+VALUE(IF($H69="kop",$G69,0))</f>
        <v>0</v>
      </c>
      <c r="AE69" s="148" t="n">
        <f aca="false">VALUE(IF($D69="osl",$C69,0))+VALUE(IF($H69="osl",$G69,0))</f>
        <v>0</v>
      </c>
      <c r="AF69" s="148" t="n">
        <f aca="false">VALUE(IF($D69="vra",$C69,0))+VALUE(IF($H69="vra",$G69,0))</f>
        <v>0</v>
      </c>
      <c r="AG69" s="148" t="n">
        <f aca="false">VALUE(IF($D69="zho",$C69,0))+VALUE(IF($H69="zho",$G69,0))</f>
        <v>0</v>
      </c>
      <c r="AH69" s="148" t="n">
        <f aca="false">VALUE(IF($D69="zbú",$C69,0))+VALUE(IF($H69="zbú",$G69,0))</f>
        <v>0</v>
      </c>
      <c r="AI69" s="148" t="n">
        <f aca="false">VALUE(IF($D69="pří",$C69,0))+VALUE(IF($H69="pří",$G69,0))</f>
        <v>0</v>
      </c>
      <c r="AJ69" s="148" t="n">
        <f aca="false">VALUE(IF($D69="dot",$C69,0))+VALUE(IF($H69="dot",$G69,0))</f>
        <v>0</v>
      </c>
      <c r="AK69" s="148" t="n">
        <f aca="false">VALUE(IF($D69="opř",$C69,0))+VALUE(IF($H69="opř",$G69,0))</f>
        <v>0</v>
      </c>
      <c r="AL69" s="148" t="n">
        <f aca="false">SUM(P69:AK69)</f>
        <v>0</v>
      </c>
      <c r="AN69" s="180"/>
      <c r="AO69" s="181"/>
      <c r="AP69" s="182"/>
      <c r="AQ69" s="183"/>
    </row>
    <row r="70" customFormat="false" ht="12.75" hidden="false" customHeight="false" outlineLevel="0" collapsed="false">
      <c r="A70" s="234" t="n">
        <v>59</v>
      </c>
      <c r="B70" s="222"/>
      <c r="C70" s="185"/>
      <c r="D70" s="186"/>
      <c r="E70" s="186"/>
      <c r="F70" s="223"/>
      <c r="G70" s="224"/>
      <c r="H70" s="190"/>
      <c r="I70" s="177"/>
      <c r="J70" s="178" t="str">
        <f aca="false">IF(AL70=C70,IF(AL70=0,"-","ok"),"chyba")</f>
        <v>-</v>
      </c>
      <c r="K70" s="179"/>
      <c r="L70" s="179"/>
      <c r="M70" s="179"/>
      <c r="N70" s="179"/>
      <c r="O70" s="239"/>
      <c r="P70" s="148" t="n">
        <f aca="false">VALUE(IF($D70="vyb",$C70,0))+VALUE(IF($H70="vyb",$G70,0))</f>
        <v>0</v>
      </c>
      <c r="Q70" s="148" t="n">
        <f aca="false">VALUE(IF($D70="mtv",$C70,0))+VALUE(IF($H70="mtv",$G70,0))</f>
        <v>0</v>
      </c>
      <c r="R70" s="148" t="n">
        <f aca="false">VALUE(IF($D70="mat",$C70,0))+VALUE(IF($H70="mat",$G70,0))</f>
        <v>0</v>
      </c>
      <c r="S70" s="148" t="n">
        <f aca="false">VALUE(IF($D70="pot",$C70,0))+VALUE(IF($H70="pot",$G70,0))</f>
        <v>0</v>
      </c>
      <c r="T70" s="148" t="n">
        <f aca="false">VALUE(IF($D70="táb",$C70,0))+VALUE(IF($H70="táb",$G70,0))</f>
        <v>0</v>
      </c>
      <c r="U70" s="148" t="n">
        <f aca="false">VALUE(IF($D70="oma",$C70,0))+VALUE(IF($H70="oma",$G70,0))</f>
        <v>0</v>
      </c>
      <c r="V70" s="148" t="n">
        <f aca="false">VALUE(IF($D70="ces",$C70,0))+VALUE(IF($H70="ces",$G70,0))</f>
        <v>0</v>
      </c>
      <c r="W70" s="148" t="n">
        <f aca="false">VALUE(IF($D70="poš",$C70,0))+VALUE(IF($H70="poš",$G70,0))</f>
        <v>0</v>
      </c>
      <c r="X70" s="148" t="n">
        <f aca="false">VALUE(IF($D70="tel",$C70,0))+VALUE(IF($H70="tel",$G70,0))</f>
        <v>0</v>
      </c>
      <c r="Y70" s="148" t="n">
        <f aca="false">VALUE(IF($D70="dop",$C70,0))+VALUE(IF($H70="dop",$G70,0))</f>
        <v>0</v>
      </c>
      <c r="Z70" s="148" t="n">
        <f aca="false">VALUE(IF($D70="nák",$C70,0))+VALUE(IF($H70="nák",$G70,0))</f>
        <v>0</v>
      </c>
      <c r="AA70" s="148" t="n">
        <f aca="false">VALUE(IF($D70="náj",$C70,0))+VALUE(IF($H70="náj",$G70,0))</f>
        <v>0</v>
      </c>
      <c r="AB70" s="148" t="n">
        <f aca="false">VALUE(IF($D70="půj",$C70,0))+VALUE(IF($H70="půj",$G70,0))</f>
        <v>0</v>
      </c>
      <c r="AC70" s="148" t="n">
        <f aca="false">VALUE(IF($D70="vst",$C70,0))+VALUE(IF($H70="vst",$G70,0))</f>
        <v>0</v>
      </c>
      <c r="AD70" s="148" t="n">
        <f aca="false">VALUE(IF($D70="kop",$C70,0))+VALUE(IF($H70="kop",$G70,0))</f>
        <v>0</v>
      </c>
      <c r="AE70" s="148" t="n">
        <f aca="false">VALUE(IF($D70="osl",$C70,0))+VALUE(IF($H70="osl",$G70,0))</f>
        <v>0</v>
      </c>
      <c r="AF70" s="148" t="n">
        <f aca="false">VALUE(IF($D70="vra",$C70,0))+VALUE(IF($H70="vra",$G70,0))</f>
        <v>0</v>
      </c>
      <c r="AG70" s="148" t="n">
        <f aca="false">VALUE(IF($D70="zho",$C70,0))+VALUE(IF($H70="zho",$G70,0))</f>
        <v>0</v>
      </c>
      <c r="AH70" s="148" t="n">
        <f aca="false">VALUE(IF($D70="zbú",$C70,0))+VALUE(IF($H70="zbú",$G70,0))</f>
        <v>0</v>
      </c>
      <c r="AI70" s="148" t="n">
        <f aca="false">VALUE(IF($D70="pří",$C70,0))+VALUE(IF($H70="pří",$G70,0))</f>
        <v>0</v>
      </c>
      <c r="AJ70" s="148" t="n">
        <f aca="false">VALUE(IF($D70="dot",$C70,0))+VALUE(IF($H70="dot",$G70,0))</f>
        <v>0</v>
      </c>
      <c r="AK70" s="148" t="n">
        <f aca="false">VALUE(IF($D70="opř",$C70,0))+VALUE(IF($H70="opř",$G70,0))</f>
        <v>0</v>
      </c>
      <c r="AL70" s="148" t="n">
        <f aca="false">SUM(P70:AK70)</f>
        <v>0</v>
      </c>
      <c r="AN70" s="180"/>
      <c r="AO70" s="181"/>
      <c r="AP70" s="182"/>
      <c r="AQ70" s="183"/>
    </row>
    <row r="71" customFormat="false" ht="12.75" hidden="false" customHeight="false" outlineLevel="0" collapsed="false">
      <c r="A71" s="234" t="n">
        <v>60</v>
      </c>
      <c r="B71" s="222"/>
      <c r="C71" s="185"/>
      <c r="D71" s="186"/>
      <c r="E71" s="186"/>
      <c r="F71" s="223"/>
      <c r="G71" s="224"/>
      <c r="H71" s="190"/>
      <c r="I71" s="177"/>
      <c r="J71" s="178" t="str">
        <f aca="false">IF(AL71=C71,IF(AL71=0,"-","ok"),"chyba")</f>
        <v>-</v>
      </c>
      <c r="K71" s="179"/>
      <c r="L71" s="179"/>
      <c r="M71" s="179"/>
      <c r="N71" s="179"/>
      <c r="O71" s="239"/>
      <c r="P71" s="148" t="n">
        <f aca="false">VALUE(IF($D71="vyb",$C71,0))+VALUE(IF($H71="vyb",$G71,0))</f>
        <v>0</v>
      </c>
      <c r="Q71" s="148" t="n">
        <f aca="false">VALUE(IF($D71="mtv",$C71,0))+VALUE(IF($H71="mtv",$G71,0))</f>
        <v>0</v>
      </c>
      <c r="R71" s="148" t="n">
        <f aca="false">VALUE(IF($D71="mat",$C71,0))+VALUE(IF($H71="mat",$G71,0))</f>
        <v>0</v>
      </c>
      <c r="S71" s="148" t="n">
        <f aca="false">VALUE(IF($D71="pot",$C71,0))+VALUE(IF($H71="pot",$G71,0))</f>
        <v>0</v>
      </c>
      <c r="T71" s="148" t="n">
        <f aca="false">VALUE(IF($D71="táb",$C71,0))+VALUE(IF($H71="táb",$G71,0))</f>
        <v>0</v>
      </c>
      <c r="U71" s="148" t="n">
        <f aca="false">VALUE(IF($D71="oma",$C71,0))+VALUE(IF($H71="oma",$G71,0))</f>
        <v>0</v>
      </c>
      <c r="V71" s="148" t="n">
        <f aca="false">VALUE(IF($D71="ces",$C71,0))+VALUE(IF($H71="ces",$G71,0))</f>
        <v>0</v>
      </c>
      <c r="W71" s="148" t="n">
        <f aca="false">VALUE(IF($D71="poš",$C71,0))+VALUE(IF($H71="poš",$G71,0))</f>
        <v>0</v>
      </c>
      <c r="X71" s="148" t="n">
        <f aca="false">VALUE(IF($D71="tel",$C71,0))+VALUE(IF($H71="tel",$G71,0))</f>
        <v>0</v>
      </c>
      <c r="Y71" s="148" t="n">
        <f aca="false">VALUE(IF($D71="dop",$C71,0))+VALUE(IF($H71="dop",$G71,0))</f>
        <v>0</v>
      </c>
      <c r="Z71" s="148" t="n">
        <f aca="false">VALUE(IF($D71="nák",$C71,0))+VALUE(IF($H71="nák",$G71,0))</f>
        <v>0</v>
      </c>
      <c r="AA71" s="148" t="n">
        <f aca="false">VALUE(IF($D71="náj",$C71,0))+VALUE(IF($H71="náj",$G71,0))</f>
        <v>0</v>
      </c>
      <c r="AB71" s="148" t="n">
        <f aca="false">VALUE(IF($D71="půj",$C71,0))+VALUE(IF($H71="půj",$G71,0))</f>
        <v>0</v>
      </c>
      <c r="AC71" s="148" t="n">
        <f aca="false">VALUE(IF($D71="vst",$C71,0))+VALUE(IF($H71="vst",$G71,0))</f>
        <v>0</v>
      </c>
      <c r="AD71" s="148" t="n">
        <f aca="false">VALUE(IF($D71="kop",$C71,0))+VALUE(IF($H71="kop",$G71,0))</f>
        <v>0</v>
      </c>
      <c r="AE71" s="148" t="n">
        <f aca="false">VALUE(IF($D71="osl",$C71,0))+VALUE(IF($H71="osl",$G71,0))</f>
        <v>0</v>
      </c>
      <c r="AF71" s="148" t="n">
        <f aca="false">VALUE(IF($D71="vra",$C71,0))+VALUE(IF($H71="vra",$G71,0))</f>
        <v>0</v>
      </c>
      <c r="AG71" s="148" t="n">
        <f aca="false">VALUE(IF($D71="zho",$C71,0))+VALUE(IF($H71="zho",$G71,0))</f>
        <v>0</v>
      </c>
      <c r="AH71" s="148" t="n">
        <f aca="false">VALUE(IF($D71="zbú",$C71,0))+VALUE(IF($H71="zbú",$G71,0))</f>
        <v>0</v>
      </c>
      <c r="AI71" s="148" t="n">
        <f aca="false">VALUE(IF($D71="pří",$C71,0))+VALUE(IF($H71="pří",$G71,0))</f>
        <v>0</v>
      </c>
      <c r="AJ71" s="148" t="n">
        <f aca="false">VALUE(IF($D71="dot",$C71,0))+VALUE(IF($H71="dot",$G71,0))</f>
        <v>0</v>
      </c>
      <c r="AK71" s="148" t="n">
        <f aca="false">VALUE(IF($D71="opř",$C71,0))+VALUE(IF($H71="opř",$G71,0))</f>
        <v>0</v>
      </c>
      <c r="AL71" s="148" t="n">
        <f aca="false">SUM(P71:AK71)</f>
        <v>0</v>
      </c>
      <c r="AN71" s="180"/>
      <c r="AO71" s="181"/>
      <c r="AP71" s="182"/>
      <c r="AQ71" s="183"/>
    </row>
    <row r="72" customFormat="false" ht="12.75" hidden="false" customHeight="false" outlineLevel="0" collapsed="false">
      <c r="A72" s="234" t="n">
        <v>61</v>
      </c>
      <c r="B72" s="222"/>
      <c r="C72" s="185"/>
      <c r="D72" s="186"/>
      <c r="E72" s="186"/>
      <c r="F72" s="223"/>
      <c r="G72" s="224"/>
      <c r="H72" s="190"/>
      <c r="I72" s="177"/>
      <c r="J72" s="178" t="str">
        <f aca="false">IF(AL72=C72,IF(AL72=0,"-","ok"),"chyba")</f>
        <v>-</v>
      </c>
      <c r="K72" s="179"/>
      <c r="L72" s="179"/>
      <c r="M72" s="179"/>
      <c r="N72" s="179"/>
      <c r="O72" s="239"/>
      <c r="P72" s="148" t="n">
        <f aca="false">VALUE(IF($D72="vyb",$C72,0))+VALUE(IF($H72="vyb",$G72,0))</f>
        <v>0</v>
      </c>
      <c r="Q72" s="148" t="n">
        <f aca="false">VALUE(IF($D72="mtv",$C72,0))+VALUE(IF($H72="mtv",$G72,0))</f>
        <v>0</v>
      </c>
      <c r="R72" s="148" t="n">
        <f aca="false">VALUE(IF($D72="mat",$C72,0))+VALUE(IF($H72="mat",$G72,0))</f>
        <v>0</v>
      </c>
      <c r="S72" s="148" t="n">
        <f aca="false">VALUE(IF($D72="pot",$C72,0))+VALUE(IF($H72="pot",$G72,0))</f>
        <v>0</v>
      </c>
      <c r="T72" s="148" t="n">
        <f aca="false">VALUE(IF($D72="táb",$C72,0))+VALUE(IF($H72="táb",$G72,0))</f>
        <v>0</v>
      </c>
      <c r="U72" s="148" t="n">
        <f aca="false">VALUE(IF($D72="oma",$C72,0))+VALUE(IF($H72="oma",$G72,0))</f>
        <v>0</v>
      </c>
      <c r="V72" s="148" t="n">
        <f aca="false">VALUE(IF($D72="ces",$C72,0))+VALUE(IF($H72="ces",$G72,0))</f>
        <v>0</v>
      </c>
      <c r="W72" s="148" t="n">
        <f aca="false">VALUE(IF($D72="poš",$C72,0))+VALUE(IF($H72="poš",$G72,0))</f>
        <v>0</v>
      </c>
      <c r="X72" s="148" t="n">
        <f aca="false">VALUE(IF($D72="tel",$C72,0))+VALUE(IF($H72="tel",$G72,0))</f>
        <v>0</v>
      </c>
      <c r="Y72" s="148" t="n">
        <f aca="false">VALUE(IF($D72="dop",$C72,0))+VALUE(IF($H72="dop",$G72,0))</f>
        <v>0</v>
      </c>
      <c r="Z72" s="148" t="n">
        <f aca="false">VALUE(IF($D72="nák",$C72,0))+VALUE(IF($H72="nák",$G72,0))</f>
        <v>0</v>
      </c>
      <c r="AA72" s="148" t="n">
        <f aca="false">VALUE(IF($D72="náj",$C72,0))+VALUE(IF($H72="náj",$G72,0))</f>
        <v>0</v>
      </c>
      <c r="AB72" s="148" t="n">
        <f aca="false">VALUE(IF($D72="půj",$C72,0))+VALUE(IF($H72="půj",$G72,0))</f>
        <v>0</v>
      </c>
      <c r="AC72" s="148" t="n">
        <f aca="false">VALUE(IF($D72="vst",$C72,0))+VALUE(IF($H72="vst",$G72,0))</f>
        <v>0</v>
      </c>
      <c r="AD72" s="148" t="n">
        <f aca="false">VALUE(IF($D72="kop",$C72,0))+VALUE(IF($H72="kop",$G72,0))</f>
        <v>0</v>
      </c>
      <c r="AE72" s="148" t="n">
        <f aca="false">VALUE(IF($D72="osl",$C72,0))+VALUE(IF($H72="osl",$G72,0))</f>
        <v>0</v>
      </c>
      <c r="AF72" s="148" t="n">
        <f aca="false">VALUE(IF($D72="vra",$C72,0))+VALUE(IF($H72="vra",$G72,0))</f>
        <v>0</v>
      </c>
      <c r="AG72" s="148" t="n">
        <f aca="false">VALUE(IF($D72="zho",$C72,0))+VALUE(IF($H72="zho",$G72,0))</f>
        <v>0</v>
      </c>
      <c r="AH72" s="148" t="n">
        <f aca="false">VALUE(IF($D72="zbú",$C72,0))+VALUE(IF($H72="zbú",$G72,0))</f>
        <v>0</v>
      </c>
      <c r="AI72" s="148" t="n">
        <f aca="false">VALUE(IF($D72="pří",$C72,0))+VALUE(IF($H72="pří",$G72,0))</f>
        <v>0</v>
      </c>
      <c r="AJ72" s="148" t="n">
        <f aca="false">VALUE(IF($D72="dot",$C72,0))+VALUE(IF($H72="dot",$G72,0))</f>
        <v>0</v>
      </c>
      <c r="AK72" s="148" t="n">
        <f aca="false">VALUE(IF($D72="opř",$C72,0))+VALUE(IF($H72="opř",$G72,0))</f>
        <v>0</v>
      </c>
      <c r="AL72" s="148" t="n">
        <f aca="false">SUM(P72:AK72)</f>
        <v>0</v>
      </c>
      <c r="AN72" s="180"/>
      <c r="AO72" s="181"/>
      <c r="AP72" s="182"/>
      <c r="AQ72" s="183"/>
    </row>
    <row r="73" customFormat="false" ht="12.75" hidden="false" customHeight="false" outlineLevel="0" collapsed="false">
      <c r="A73" s="234" t="n">
        <v>62</v>
      </c>
      <c r="B73" s="222"/>
      <c r="C73" s="185"/>
      <c r="D73" s="186"/>
      <c r="E73" s="186"/>
      <c r="F73" s="223"/>
      <c r="G73" s="224"/>
      <c r="H73" s="190"/>
      <c r="I73" s="177"/>
      <c r="J73" s="178" t="str">
        <f aca="false">IF(AL73=C73,IF(AL73=0,"-","ok"),"chyba")</f>
        <v>-</v>
      </c>
      <c r="K73" s="179"/>
      <c r="L73" s="179"/>
      <c r="M73" s="179"/>
      <c r="N73" s="179"/>
      <c r="O73" s="239"/>
      <c r="P73" s="148" t="n">
        <f aca="false">VALUE(IF($D73="vyb",$C73,0))+VALUE(IF($H73="vyb",$G73,0))</f>
        <v>0</v>
      </c>
      <c r="Q73" s="148" t="n">
        <f aca="false">VALUE(IF($D73="mtv",$C73,0))+VALUE(IF($H73="mtv",$G73,0))</f>
        <v>0</v>
      </c>
      <c r="R73" s="148" t="n">
        <f aca="false">VALUE(IF($D73="mat",$C73,0))+VALUE(IF($H73="mat",$G73,0))</f>
        <v>0</v>
      </c>
      <c r="S73" s="148" t="n">
        <f aca="false">VALUE(IF($D73="pot",$C73,0))+VALUE(IF($H73="pot",$G73,0))</f>
        <v>0</v>
      </c>
      <c r="T73" s="148" t="n">
        <f aca="false">VALUE(IF($D73="táb",$C73,0))+VALUE(IF($H73="táb",$G73,0))</f>
        <v>0</v>
      </c>
      <c r="U73" s="148" t="n">
        <f aca="false">VALUE(IF($D73="oma",$C73,0))+VALUE(IF($H73="oma",$G73,0))</f>
        <v>0</v>
      </c>
      <c r="V73" s="148" t="n">
        <f aca="false">VALUE(IF($D73="ces",$C73,0))+VALUE(IF($H73="ces",$G73,0))</f>
        <v>0</v>
      </c>
      <c r="W73" s="148" t="n">
        <f aca="false">VALUE(IF($D73="poš",$C73,0))+VALUE(IF($H73="poš",$G73,0))</f>
        <v>0</v>
      </c>
      <c r="X73" s="148" t="n">
        <f aca="false">VALUE(IF($D73="tel",$C73,0))+VALUE(IF($H73="tel",$G73,0))</f>
        <v>0</v>
      </c>
      <c r="Y73" s="148" t="n">
        <f aca="false">VALUE(IF($D73="dop",$C73,0))+VALUE(IF($H73="dop",$G73,0))</f>
        <v>0</v>
      </c>
      <c r="Z73" s="148" t="n">
        <f aca="false">VALUE(IF($D73="nák",$C73,0))+VALUE(IF($H73="nák",$G73,0))</f>
        <v>0</v>
      </c>
      <c r="AA73" s="148" t="n">
        <f aca="false">VALUE(IF($D73="náj",$C73,0))+VALUE(IF($H73="náj",$G73,0))</f>
        <v>0</v>
      </c>
      <c r="AB73" s="148" t="n">
        <f aca="false">VALUE(IF($D73="půj",$C73,0))+VALUE(IF($H73="půj",$G73,0))</f>
        <v>0</v>
      </c>
      <c r="AC73" s="148" t="n">
        <f aca="false">VALUE(IF($D73="vst",$C73,0))+VALUE(IF($H73="vst",$G73,0))</f>
        <v>0</v>
      </c>
      <c r="AD73" s="148" t="n">
        <f aca="false">VALUE(IF($D73="kop",$C73,0))+VALUE(IF($H73="kop",$G73,0))</f>
        <v>0</v>
      </c>
      <c r="AE73" s="148" t="n">
        <f aca="false">VALUE(IF($D73="osl",$C73,0))+VALUE(IF($H73="osl",$G73,0))</f>
        <v>0</v>
      </c>
      <c r="AF73" s="148" t="n">
        <f aca="false">VALUE(IF($D73="vra",$C73,0))+VALUE(IF($H73="vra",$G73,0))</f>
        <v>0</v>
      </c>
      <c r="AG73" s="148" t="n">
        <f aca="false">VALUE(IF($D73="zho",$C73,0))+VALUE(IF($H73="zho",$G73,0))</f>
        <v>0</v>
      </c>
      <c r="AH73" s="148" t="n">
        <f aca="false">VALUE(IF($D73="zbú",$C73,0))+VALUE(IF($H73="zbú",$G73,0))</f>
        <v>0</v>
      </c>
      <c r="AI73" s="148" t="n">
        <f aca="false">VALUE(IF($D73="pří",$C73,0))+VALUE(IF($H73="pří",$G73,0))</f>
        <v>0</v>
      </c>
      <c r="AJ73" s="148" t="n">
        <f aca="false">VALUE(IF($D73="dot",$C73,0))+VALUE(IF($H73="dot",$G73,0))</f>
        <v>0</v>
      </c>
      <c r="AK73" s="148" t="n">
        <f aca="false">VALUE(IF($D73="opř",$C73,0))+VALUE(IF($H73="opř",$G73,0))</f>
        <v>0</v>
      </c>
      <c r="AL73" s="148" t="n">
        <f aca="false">SUM(P73:AK73)</f>
        <v>0</v>
      </c>
      <c r="AN73" s="180"/>
      <c r="AO73" s="181"/>
      <c r="AP73" s="182"/>
      <c r="AQ73" s="183"/>
    </row>
    <row r="74" customFormat="false" ht="12.75" hidden="false" customHeight="false" outlineLevel="0" collapsed="false">
      <c r="A74" s="234" t="n">
        <v>63</v>
      </c>
      <c r="B74" s="222"/>
      <c r="C74" s="185"/>
      <c r="D74" s="186"/>
      <c r="E74" s="186"/>
      <c r="F74" s="223"/>
      <c r="G74" s="224"/>
      <c r="H74" s="190"/>
      <c r="I74" s="177"/>
      <c r="J74" s="178" t="str">
        <f aca="false">IF(AL74=C74,IF(AL74=0,"-","ok"),"chyba")</f>
        <v>-</v>
      </c>
      <c r="K74" s="179"/>
      <c r="L74" s="179"/>
      <c r="M74" s="179"/>
      <c r="N74" s="179"/>
      <c r="O74" s="239"/>
      <c r="P74" s="148" t="n">
        <f aca="false">VALUE(IF($D74="vyb",$C74,0))+VALUE(IF($H74="vyb",$G74,0))</f>
        <v>0</v>
      </c>
      <c r="Q74" s="148" t="n">
        <f aca="false">VALUE(IF($D74="mtv",$C74,0))+VALUE(IF($H74="mtv",$G74,0))</f>
        <v>0</v>
      </c>
      <c r="R74" s="148" t="n">
        <f aca="false">VALUE(IF($D74="mat",$C74,0))+VALUE(IF($H74="mat",$G74,0))</f>
        <v>0</v>
      </c>
      <c r="S74" s="148" t="n">
        <f aca="false">VALUE(IF($D74="pot",$C74,0))+VALUE(IF($H74="pot",$G74,0))</f>
        <v>0</v>
      </c>
      <c r="T74" s="148" t="n">
        <f aca="false">VALUE(IF($D74="táb",$C74,0))+VALUE(IF($H74="táb",$G74,0))</f>
        <v>0</v>
      </c>
      <c r="U74" s="148" t="n">
        <f aca="false">VALUE(IF($D74="oma",$C74,0))+VALUE(IF($H74="oma",$G74,0))</f>
        <v>0</v>
      </c>
      <c r="V74" s="148" t="n">
        <f aca="false">VALUE(IF($D74="ces",$C74,0))+VALUE(IF($H74="ces",$G74,0))</f>
        <v>0</v>
      </c>
      <c r="W74" s="148" t="n">
        <f aca="false">VALUE(IF($D74="poš",$C74,0))+VALUE(IF($H74="poš",$G74,0))</f>
        <v>0</v>
      </c>
      <c r="X74" s="148" t="n">
        <f aca="false">VALUE(IF($D74="tel",$C74,0))+VALUE(IF($H74="tel",$G74,0))</f>
        <v>0</v>
      </c>
      <c r="Y74" s="148" t="n">
        <f aca="false">VALUE(IF($D74="dop",$C74,0))+VALUE(IF($H74="dop",$G74,0))</f>
        <v>0</v>
      </c>
      <c r="Z74" s="148" t="n">
        <f aca="false">VALUE(IF($D74="nák",$C74,0))+VALUE(IF($H74="nák",$G74,0))</f>
        <v>0</v>
      </c>
      <c r="AA74" s="148" t="n">
        <f aca="false">VALUE(IF($D74="náj",$C74,0))+VALUE(IF($H74="náj",$G74,0))</f>
        <v>0</v>
      </c>
      <c r="AB74" s="148" t="n">
        <f aca="false">VALUE(IF($D74="půj",$C74,0))+VALUE(IF($H74="půj",$G74,0))</f>
        <v>0</v>
      </c>
      <c r="AC74" s="148" t="n">
        <f aca="false">VALUE(IF($D74="vst",$C74,0))+VALUE(IF($H74="vst",$G74,0))</f>
        <v>0</v>
      </c>
      <c r="AD74" s="148" t="n">
        <f aca="false">VALUE(IF($D74="kop",$C74,0))+VALUE(IF($H74="kop",$G74,0))</f>
        <v>0</v>
      </c>
      <c r="AE74" s="148" t="n">
        <f aca="false">VALUE(IF($D74="osl",$C74,0))+VALUE(IF($H74="osl",$G74,0))</f>
        <v>0</v>
      </c>
      <c r="AF74" s="148" t="n">
        <f aca="false">VALUE(IF($D74="vra",$C74,0))+VALUE(IF($H74="vra",$G74,0))</f>
        <v>0</v>
      </c>
      <c r="AG74" s="148" t="n">
        <f aca="false">VALUE(IF($D74="zho",$C74,0))+VALUE(IF($H74="zho",$G74,0))</f>
        <v>0</v>
      </c>
      <c r="AH74" s="148" t="n">
        <f aca="false">VALUE(IF($D74="zbú",$C74,0))+VALUE(IF($H74="zbú",$G74,0))</f>
        <v>0</v>
      </c>
      <c r="AI74" s="148" t="n">
        <f aca="false">VALUE(IF($D74="pří",$C74,0))+VALUE(IF($H74="pří",$G74,0))</f>
        <v>0</v>
      </c>
      <c r="AJ74" s="148" t="n">
        <f aca="false">VALUE(IF($D74="dot",$C74,0))+VALUE(IF($H74="dot",$G74,0))</f>
        <v>0</v>
      </c>
      <c r="AK74" s="148" t="n">
        <f aca="false">VALUE(IF($D74="opř",$C74,0))+VALUE(IF($H74="opř",$G74,0))</f>
        <v>0</v>
      </c>
      <c r="AL74" s="148" t="n">
        <f aca="false">SUM(P74:AK74)</f>
        <v>0</v>
      </c>
      <c r="AN74" s="180"/>
      <c r="AO74" s="181"/>
      <c r="AP74" s="182"/>
      <c r="AQ74" s="183"/>
    </row>
    <row r="75" customFormat="false" ht="13.5" hidden="false" customHeight="false" outlineLevel="0" collapsed="false">
      <c r="A75" s="225" t="n">
        <v>64</v>
      </c>
      <c r="B75" s="226"/>
      <c r="C75" s="227"/>
      <c r="D75" s="228"/>
      <c r="E75" s="228"/>
      <c r="F75" s="229"/>
      <c r="G75" s="230"/>
      <c r="H75" s="190"/>
      <c r="I75" s="177"/>
      <c r="J75" s="240" t="str">
        <f aca="false">IF(AL75=C75,IF(AL75=0,"-","ok"),"chyba")</f>
        <v>-</v>
      </c>
      <c r="K75" s="179"/>
      <c r="L75" s="179"/>
      <c r="M75" s="179"/>
      <c r="N75" s="179"/>
      <c r="O75" s="239"/>
      <c r="P75" s="148" t="n">
        <f aca="false">VALUE(IF($D75="vyb",$C75,0))+VALUE(IF($H75="vyb",$G75,0))</f>
        <v>0</v>
      </c>
      <c r="Q75" s="148" t="n">
        <f aca="false">VALUE(IF($D75="mtv",$C75,0))+VALUE(IF($H75="mtv",$G75,0))</f>
        <v>0</v>
      </c>
      <c r="R75" s="148" t="n">
        <f aca="false">VALUE(IF($D75="mat",$C75,0))+VALUE(IF($H75="mat",$G75,0))</f>
        <v>0</v>
      </c>
      <c r="S75" s="148" t="n">
        <f aca="false">VALUE(IF($D75="pot",$C75,0))+VALUE(IF($H75="pot",$G75,0))</f>
        <v>0</v>
      </c>
      <c r="T75" s="148" t="n">
        <f aca="false">VALUE(IF($D75="táb",$C75,0))+VALUE(IF($H75="táb",$G75,0))</f>
        <v>0</v>
      </c>
      <c r="U75" s="148" t="n">
        <f aca="false">VALUE(IF($D75="oma",$C75,0))+VALUE(IF($H75="oma",$G75,0))</f>
        <v>0</v>
      </c>
      <c r="V75" s="148" t="n">
        <f aca="false">VALUE(IF($D75="ces",$C75,0))+VALUE(IF($H75="ces",$G75,0))</f>
        <v>0</v>
      </c>
      <c r="W75" s="148" t="n">
        <f aca="false">VALUE(IF($D75="poš",$C75,0))+VALUE(IF($H75="poš",$G75,0))</f>
        <v>0</v>
      </c>
      <c r="X75" s="148" t="n">
        <f aca="false">VALUE(IF($D75="tel",$C75,0))+VALUE(IF($H75="tel",$G75,0))</f>
        <v>0</v>
      </c>
      <c r="Y75" s="148" t="n">
        <f aca="false">VALUE(IF($D75="dop",$C75,0))+VALUE(IF($H75="dop",$G75,0))</f>
        <v>0</v>
      </c>
      <c r="Z75" s="148" t="n">
        <f aca="false">VALUE(IF($D75="nák",$C75,0))+VALUE(IF($H75="nák",$G75,0))</f>
        <v>0</v>
      </c>
      <c r="AA75" s="148" t="n">
        <f aca="false">VALUE(IF($D75="náj",$C75,0))+VALUE(IF($H75="náj",$G75,0))</f>
        <v>0</v>
      </c>
      <c r="AB75" s="148" t="n">
        <f aca="false">VALUE(IF($D75="půj",$C75,0))+VALUE(IF($H75="půj",$G75,0))</f>
        <v>0</v>
      </c>
      <c r="AC75" s="148" t="n">
        <f aca="false">VALUE(IF($D75="vst",$C75,0))+VALUE(IF($H75="vst",$G75,0))</f>
        <v>0</v>
      </c>
      <c r="AD75" s="148" t="n">
        <f aca="false">VALUE(IF($D75="kop",$C75,0))+VALUE(IF($H75="kop",$G75,0))</f>
        <v>0</v>
      </c>
      <c r="AE75" s="148" t="n">
        <f aca="false">VALUE(IF($D75="osl",$C75,0))+VALUE(IF($H75="osl",$G75,0))</f>
        <v>0</v>
      </c>
      <c r="AF75" s="148" t="n">
        <f aca="false">VALUE(IF($D75="vra",$C75,0))+VALUE(IF($H75="vra",$G75,0))</f>
        <v>0</v>
      </c>
      <c r="AG75" s="148" t="n">
        <f aca="false">VALUE(IF($D75="zho",$C75,0))+VALUE(IF($H75="zho",$G75,0))</f>
        <v>0</v>
      </c>
      <c r="AH75" s="148" t="n">
        <f aca="false">VALUE(IF($D75="zbú",$C75,0))+VALUE(IF($H75="zbú",$G75,0))</f>
        <v>0</v>
      </c>
      <c r="AI75" s="148" t="n">
        <f aca="false">VALUE(IF($D75="pří",$C75,0))+VALUE(IF($H75="pří",$G75,0))</f>
        <v>0</v>
      </c>
      <c r="AJ75" s="148" t="n">
        <f aca="false">VALUE(IF($D75="dot",$C75,0))+VALUE(IF($H75="dot",$G75,0))</f>
        <v>0</v>
      </c>
      <c r="AK75" s="148" t="n">
        <f aca="false">VALUE(IF($D75="opř",$C75,0))+VALUE(IF($H75="opř",$G75,0))</f>
        <v>0</v>
      </c>
      <c r="AL75" s="148" t="n">
        <f aca="false">SUM(P75:AK75)</f>
        <v>0</v>
      </c>
      <c r="AN75" s="180"/>
      <c r="AO75" s="181"/>
      <c r="AP75" s="182"/>
      <c r="AQ75" s="183"/>
    </row>
    <row r="76" customFormat="false" ht="3.75" hidden="false" customHeight="true" outlineLevel="0" collapsed="false">
      <c r="A76" s="207"/>
      <c r="B76" s="232"/>
      <c r="C76" s="206"/>
      <c r="D76" s="207"/>
      <c r="E76" s="207"/>
      <c r="F76" s="232"/>
      <c r="G76" s="208"/>
      <c r="H76" s="207"/>
      <c r="I76" s="241"/>
      <c r="J76" s="210"/>
      <c r="K76" s="210"/>
      <c r="L76" s="210"/>
      <c r="M76" s="210"/>
      <c r="N76" s="210"/>
      <c r="O76" s="242"/>
      <c r="P76" s="148" t="n">
        <f aca="false">VALUE(IF($D76="vyb",$C76,0))+VALUE(IF($H76="vyb",$G76,0))</f>
        <v>0</v>
      </c>
      <c r="Q76" s="148" t="n">
        <f aca="false">VALUE(IF($D76="mtv",$C76,0))+VALUE(IF($H76="mtv",$G76,0))</f>
        <v>0</v>
      </c>
      <c r="R76" s="148" t="n">
        <f aca="false">VALUE(IF($D76="mat",$C76,0))+VALUE(IF($H76="mat",$G76,0))</f>
        <v>0</v>
      </c>
      <c r="S76" s="148" t="n">
        <f aca="false">VALUE(IF($D76="pot",$C76,0))+VALUE(IF($H76="pot",$G76,0))</f>
        <v>0</v>
      </c>
      <c r="T76" s="148" t="n">
        <f aca="false">VALUE(IF($D76="táb",$C76,0))+VALUE(IF($H76="táb",$G76,0))</f>
        <v>0</v>
      </c>
      <c r="U76" s="148" t="n">
        <f aca="false">VALUE(IF($D76="oma",$C76,0))+VALUE(IF($H76="oma",$G76,0))</f>
        <v>0</v>
      </c>
      <c r="V76" s="148" t="n">
        <f aca="false">VALUE(IF($D76="ces",$C76,0))+VALUE(IF($H76="ces",$G76,0))</f>
        <v>0</v>
      </c>
      <c r="W76" s="148" t="n">
        <f aca="false">VALUE(IF($D76="poš",$C76,0))+VALUE(IF($H76="poš",$G76,0))</f>
        <v>0</v>
      </c>
      <c r="X76" s="148" t="n">
        <f aca="false">VALUE(IF($D76="tel",$C76,0))+VALUE(IF($H76="tel",$G76,0))</f>
        <v>0</v>
      </c>
      <c r="Y76" s="148" t="n">
        <f aca="false">VALUE(IF($D76="dop",$C76,0))+VALUE(IF($H76="dop",$G76,0))</f>
        <v>0</v>
      </c>
      <c r="Z76" s="148" t="n">
        <f aca="false">VALUE(IF($D76="nák",$C76,0))+VALUE(IF($H76="nák",$G76,0))</f>
        <v>0</v>
      </c>
      <c r="AA76" s="148" t="n">
        <f aca="false">VALUE(IF($D76="náj",$C76,0))+VALUE(IF($H76="náj",$G76,0))</f>
        <v>0</v>
      </c>
      <c r="AB76" s="148" t="n">
        <f aca="false">VALUE(IF($D76="půj",$C76,0))+VALUE(IF($H76="půj",$G76,0))</f>
        <v>0</v>
      </c>
      <c r="AC76" s="148" t="n">
        <f aca="false">VALUE(IF($D76="vst",$C76,0))+VALUE(IF($H76="vst",$G76,0))</f>
        <v>0</v>
      </c>
      <c r="AD76" s="148" t="n">
        <f aca="false">VALUE(IF($D76="kop",$C76,0))+VALUE(IF($H76="kop",$G76,0))</f>
        <v>0</v>
      </c>
      <c r="AE76" s="148" t="n">
        <f aca="false">VALUE(IF($D76="osl",$C76,0))+VALUE(IF($H76="osl",$G76,0))</f>
        <v>0</v>
      </c>
      <c r="AF76" s="148" t="n">
        <f aca="false">VALUE(IF($D76="vra",$C76,0))+VALUE(IF($H76="vra",$G76,0))</f>
        <v>0</v>
      </c>
      <c r="AG76" s="148" t="n">
        <f aca="false">VALUE(IF($D76="zho",$C76,0))+VALUE(IF($H76="zho",$G76,0))</f>
        <v>0</v>
      </c>
      <c r="AH76" s="148" t="n">
        <f aca="false">VALUE(IF($D76="zbú",$C76,0))+VALUE(IF($H76="zbú",$G76,0))</f>
        <v>0</v>
      </c>
      <c r="AI76" s="148" t="n">
        <f aca="false">VALUE(IF($D76="pří",$C76,0))+VALUE(IF($H76="pří",$G76,0))</f>
        <v>0</v>
      </c>
      <c r="AJ76" s="148" t="n">
        <f aca="false">VALUE(IF($D76="dot",$C76,0))+VALUE(IF($H76="dot",$G76,0))</f>
        <v>0</v>
      </c>
      <c r="AK76" s="148" t="n">
        <f aca="false">VALUE(IF($D76="opř",$C76,0))+VALUE(IF($H76="opř",$G76,0))</f>
        <v>0</v>
      </c>
      <c r="AL76" s="243"/>
      <c r="AM76" s="244"/>
      <c r="AN76" s="180"/>
      <c r="AO76" s="181"/>
      <c r="AP76" s="182"/>
      <c r="AQ76" s="183"/>
      <c r="AR76" s="244"/>
      <c r="AS76" s="244"/>
      <c r="AT76" s="244"/>
      <c r="AU76" s="244"/>
      <c r="AV76" s="244"/>
      <c r="AW76" s="244"/>
      <c r="AX76" s="244"/>
      <c r="AY76" s="244"/>
      <c r="AZ76" s="244"/>
      <c r="BA76" s="244"/>
      <c r="BB76" s="244"/>
      <c r="BC76" s="244"/>
      <c r="BD76" s="244"/>
    </row>
    <row r="77" customFormat="false" ht="22.5" hidden="false" customHeight="true" outlineLevel="0" collapsed="false">
      <c r="B77" s="156" t="s">
        <v>123</v>
      </c>
      <c r="C77" s="156"/>
      <c r="D77" s="156"/>
      <c r="E77" s="156"/>
      <c r="F77" s="156"/>
      <c r="G77" s="156"/>
      <c r="H77" s="156"/>
      <c r="I77" s="151"/>
      <c r="J77" s="212"/>
      <c r="K77" s="151"/>
      <c r="L77" s="1"/>
      <c r="M77" s="1"/>
      <c r="N77" s="1"/>
      <c r="O77" s="239"/>
      <c r="P77" s="148" t="n">
        <f aca="false">VALUE(IF($D77="vyb",$C77,0))+VALUE(IF($H77="vyb",$G77,0))</f>
        <v>0</v>
      </c>
      <c r="Q77" s="148" t="n">
        <f aca="false">VALUE(IF($D77="mtv",$C77,0))+VALUE(IF($H77="mtv",$G77,0))</f>
        <v>0</v>
      </c>
      <c r="R77" s="148" t="n">
        <f aca="false">VALUE(IF($D77="mat",$C77,0))+VALUE(IF($H77="mat",$G77,0))</f>
        <v>0</v>
      </c>
      <c r="S77" s="148" t="n">
        <f aca="false">VALUE(IF($D77="pot",$C77,0))+VALUE(IF($H77="pot",$G77,0))</f>
        <v>0</v>
      </c>
      <c r="T77" s="148" t="n">
        <f aca="false">VALUE(IF($D77="táb",$C77,0))+VALUE(IF($H77="táb",$G77,0))</f>
        <v>0</v>
      </c>
      <c r="U77" s="148" t="n">
        <f aca="false">VALUE(IF($D77="oma",$C77,0))+VALUE(IF($H77="oma",$G77,0))</f>
        <v>0</v>
      </c>
      <c r="V77" s="148" t="n">
        <f aca="false">VALUE(IF($D77="ces",$C77,0))+VALUE(IF($H77="ces",$G77,0))</f>
        <v>0</v>
      </c>
      <c r="W77" s="148" t="n">
        <f aca="false">VALUE(IF($D77="poš",$C77,0))+VALUE(IF($H77="poš",$G77,0))</f>
        <v>0</v>
      </c>
      <c r="X77" s="148" t="n">
        <f aca="false">VALUE(IF($D77="tel",$C77,0))+VALUE(IF($H77="tel",$G77,0))</f>
        <v>0</v>
      </c>
      <c r="Y77" s="148" t="n">
        <f aca="false">VALUE(IF($D77="dop",$C77,0))+VALUE(IF($H77="dop",$G77,0))</f>
        <v>0</v>
      </c>
      <c r="Z77" s="148" t="n">
        <f aca="false">VALUE(IF($D77="nák",$C77,0))+VALUE(IF($H77="nák",$G77,0))</f>
        <v>0</v>
      </c>
      <c r="AA77" s="148" t="n">
        <f aca="false">VALUE(IF($D77="náj",$C77,0))+VALUE(IF($H77="náj",$G77,0))</f>
        <v>0</v>
      </c>
      <c r="AB77" s="148" t="n">
        <f aca="false">VALUE(IF($D77="půj",$C77,0))+VALUE(IF($H77="půj",$G77,0))</f>
        <v>0</v>
      </c>
      <c r="AC77" s="148" t="n">
        <f aca="false">VALUE(IF($D77="vst",$C77,0))+VALUE(IF($H77="vst",$G77,0))</f>
        <v>0</v>
      </c>
      <c r="AD77" s="148" t="n">
        <f aca="false">VALUE(IF($D77="kop",$C77,0))+VALUE(IF($H77="kop",$G77,0))</f>
        <v>0</v>
      </c>
      <c r="AE77" s="148" t="n">
        <f aca="false">VALUE(IF($D77="osl",$C77,0))+VALUE(IF($H77="osl",$G77,0))</f>
        <v>0</v>
      </c>
      <c r="AF77" s="148" t="n">
        <f aca="false">VALUE(IF($D77="vra",$C77,0))+VALUE(IF($H77="vra",$G77,0))</f>
        <v>0</v>
      </c>
      <c r="AG77" s="148" t="n">
        <f aca="false">VALUE(IF($D77="zho",$C77,0))+VALUE(IF($H77="zho",$G77,0))</f>
        <v>0</v>
      </c>
      <c r="AH77" s="148" t="n">
        <f aca="false">VALUE(IF($D77="zbú",$C77,0))+VALUE(IF($H77="zbú",$G77,0))</f>
        <v>0</v>
      </c>
      <c r="AI77" s="148" t="n">
        <f aca="false">VALUE(IF($D77="pří",$C77,0))+VALUE(IF($H77="pří",$G77,0))</f>
        <v>0</v>
      </c>
      <c r="AJ77" s="148" t="n">
        <f aca="false">VALUE(IF($D77="dot",$C77,0))+VALUE(IF($H77="dot",$G77,0))</f>
        <v>0</v>
      </c>
      <c r="AK77" s="148" t="n">
        <f aca="false">VALUE(IF($D77="opř",$C77,0))+VALUE(IF($H77="opř",$G77,0))</f>
        <v>0</v>
      </c>
      <c r="AN77" s="180"/>
      <c r="AO77" s="181"/>
      <c r="AP77" s="182"/>
      <c r="AQ77" s="183"/>
    </row>
    <row r="78" customFormat="false" ht="13.5" hidden="false" customHeight="false" outlineLevel="0" collapsed="false">
      <c r="A78" s="157"/>
      <c r="B78" s="158" t="s">
        <v>26</v>
      </c>
      <c r="C78" s="159" t="s">
        <v>109</v>
      </c>
      <c r="D78" s="160" t="s">
        <v>24</v>
      </c>
      <c r="E78" s="162" t="s">
        <v>110</v>
      </c>
      <c r="F78" s="162" t="s">
        <v>111</v>
      </c>
      <c r="G78" s="163" t="s">
        <v>112</v>
      </c>
      <c r="H78" s="215"/>
      <c r="I78" s="165"/>
      <c r="J78" s="166" t="s">
        <v>113</v>
      </c>
      <c r="K78" s="167"/>
      <c r="L78" s="167"/>
      <c r="M78" s="167"/>
      <c r="N78" s="167"/>
      <c r="O78" s="239"/>
      <c r="P78" s="148" t="n">
        <f aca="false">VALUE(IF($D78="vyb",$C78,0))+VALUE(IF($H78="vyb",$G78,0))</f>
        <v>0</v>
      </c>
      <c r="Q78" s="148" t="n">
        <f aca="false">VALUE(IF($D78="mtv",$C78,0))+VALUE(IF($H78="mtv",$G78,0))</f>
        <v>0</v>
      </c>
      <c r="R78" s="148" t="n">
        <f aca="false">VALUE(IF($D78="mat",$C78,0))+VALUE(IF($H78="mat",$G78,0))</f>
        <v>0</v>
      </c>
      <c r="S78" s="148" t="n">
        <f aca="false">VALUE(IF($D78="pot",$C78,0))+VALUE(IF($H78="pot",$G78,0))</f>
        <v>0</v>
      </c>
      <c r="T78" s="148" t="n">
        <f aca="false">VALUE(IF($D78="táb",$C78,0))+VALUE(IF($H78="táb",$G78,0))</f>
        <v>0</v>
      </c>
      <c r="U78" s="148" t="n">
        <f aca="false">VALUE(IF($D78="oma",$C78,0))+VALUE(IF($H78="oma",$G78,0))</f>
        <v>0</v>
      </c>
      <c r="V78" s="148" t="n">
        <f aca="false">VALUE(IF($D78="ces",$C78,0))+VALUE(IF($H78="ces",$G78,0))</f>
        <v>0</v>
      </c>
      <c r="W78" s="148" t="n">
        <f aca="false">VALUE(IF($D78="poš",$C78,0))+VALUE(IF($H78="poš",$G78,0))</f>
        <v>0</v>
      </c>
      <c r="X78" s="148" t="n">
        <f aca="false">VALUE(IF($D78="tel",$C78,0))+VALUE(IF($H78="tel",$G78,0))</f>
        <v>0</v>
      </c>
      <c r="Y78" s="148" t="n">
        <f aca="false">VALUE(IF($D78="dop",$C78,0))+VALUE(IF($H78="dop",$G78,0))</f>
        <v>0</v>
      </c>
      <c r="Z78" s="148" t="n">
        <f aca="false">VALUE(IF($D78="nák",$C78,0))+VALUE(IF($H78="nák",$G78,0))</f>
        <v>0</v>
      </c>
      <c r="AA78" s="148" t="n">
        <f aca="false">VALUE(IF($D78="náj",$C78,0))+VALUE(IF($H78="náj",$G78,0))</f>
        <v>0</v>
      </c>
      <c r="AB78" s="148" t="n">
        <f aca="false">VALUE(IF($D78="půj",$C78,0))+VALUE(IF($H78="půj",$G78,0))</f>
        <v>0</v>
      </c>
      <c r="AC78" s="148" t="n">
        <f aca="false">VALUE(IF($D78="vst",$C78,0))+VALUE(IF($H78="vst",$G78,0))</f>
        <v>0</v>
      </c>
      <c r="AD78" s="148" t="n">
        <f aca="false">VALUE(IF($D78="kop",$C78,0))+VALUE(IF($H78="kop",$G78,0))</f>
        <v>0</v>
      </c>
      <c r="AE78" s="148" t="n">
        <f aca="false">VALUE(IF($D78="osl",$C78,0))+VALUE(IF($H78="osl",$G78,0))</f>
        <v>0</v>
      </c>
      <c r="AF78" s="148" t="n">
        <f aca="false">VALUE(IF($D78="vra",$C78,0))+VALUE(IF($H78="vra",$G78,0))</f>
        <v>0</v>
      </c>
      <c r="AG78" s="148" t="n">
        <f aca="false">VALUE(IF($D78="zho",$C78,0))+VALUE(IF($H78="zho",$G78,0))</f>
        <v>0</v>
      </c>
      <c r="AH78" s="148" t="n">
        <f aca="false">VALUE(IF($D78="zbú",$C78,0))+VALUE(IF($H78="zbú",$G78,0))</f>
        <v>0</v>
      </c>
      <c r="AI78" s="148" t="n">
        <f aca="false">VALUE(IF($D78="pří",$C78,0))+VALUE(IF($H78="pří",$G78,0))</f>
        <v>0</v>
      </c>
      <c r="AJ78" s="148" t="n">
        <f aca="false">VALUE(IF($D78="dot",$C78,0))+VALUE(IF($H78="dot",$G78,0))</f>
        <v>0</v>
      </c>
      <c r="AK78" s="148" t="n">
        <f aca="false">VALUE(IF($D78="opř",$C78,0))+VALUE(IF($H78="opř",$G78,0))</f>
        <v>0</v>
      </c>
      <c r="AL78" s="148" t="s">
        <v>116</v>
      </c>
      <c r="AN78" s="180"/>
      <c r="AO78" s="181"/>
      <c r="AP78" s="182"/>
      <c r="AQ78" s="183"/>
    </row>
    <row r="79" customFormat="false" ht="13.5" hidden="false" customHeight="false" outlineLevel="0" collapsed="false">
      <c r="A79" s="169" t="n">
        <v>65</v>
      </c>
      <c r="B79" s="217"/>
      <c r="C79" s="171"/>
      <c r="D79" s="172"/>
      <c r="E79" s="245"/>
      <c r="F79" s="219"/>
      <c r="G79" s="220"/>
      <c r="H79" s="176"/>
      <c r="I79" s="246"/>
      <c r="J79" s="178" t="str">
        <f aca="false">IF(AL79=C79,IF(AL79=0,"-","ok"),"chyba")</f>
        <v>-</v>
      </c>
      <c r="K79" s="179"/>
      <c r="L79" s="179"/>
      <c r="M79" s="179"/>
      <c r="N79" s="179"/>
      <c r="O79" s="239"/>
      <c r="P79" s="148" t="n">
        <f aca="false">VALUE(IF($D79="vyb",$C79,0))+VALUE(IF($H79="vyb",$G79,0))</f>
        <v>0</v>
      </c>
      <c r="Q79" s="148" t="n">
        <f aca="false">VALUE(IF($D79="mtv",$C79,0))+VALUE(IF($H79="mtv",$G79,0))</f>
        <v>0</v>
      </c>
      <c r="R79" s="148" t="n">
        <f aca="false">VALUE(IF($D79="mat",$C79,0))+VALUE(IF($H79="mat",$G79,0))</f>
        <v>0</v>
      </c>
      <c r="S79" s="148" t="n">
        <f aca="false">VALUE(IF($D79="pot",$C79,0))+VALUE(IF($H79="pot",$G79,0))</f>
        <v>0</v>
      </c>
      <c r="T79" s="148" t="n">
        <f aca="false">VALUE(IF($D79="táb",$C79,0))+VALUE(IF($H79="táb",$G79,0))</f>
        <v>0</v>
      </c>
      <c r="U79" s="148" t="n">
        <f aca="false">VALUE(IF($D79="oma",$C79,0))+VALUE(IF($H79="oma",$G79,0))</f>
        <v>0</v>
      </c>
      <c r="V79" s="148" t="n">
        <f aca="false">VALUE(IF($D79="ces",$C79,0))+VALUE(IF($H79="ces",$G79,0))</f>
        <v>0</v>
      </c>
      <c r="W79" s="148" t="n">
        <f aca="false">VALUE(IF($D79="poš",$C79,0))+VALUE(IF($H79="poš",$G79,0))</f>
        <v>0</v>
      </c>
      <c r="X79" s="148" t="n">
        <f aca="false">VALUE(IF($D79="tel",$C79,0))+VALUE(IF($H79="tel",$G79,0))</f>
        <v>0</v>
      </c>
      <c r="Y79" s="148" t="n">
        <f aca="false">VALUE(IF($D79="dop",$C79,0))+VALUE(IF($H79="dop",$G79,0))</f>
        <v>0</v>
      </c>
      <c r="Z79" s="148" t="n">
        <f aca="false">VALUE(IF($D79="nák",$C79,0))+VALUE(IF($H79="nák",$G79,0))</f>
        <v>0</v>
      </c>
      <c r="AA79" s="148" t="n">
        <f aca="false">VALUE(IF($D79="náj",$C79,0))+VALUE(IF($H79="náj",$G79,0))</f>
        <v>0</v>
      </c>
      <c r="AB79" s="148" t="n">
        <f aca="false">VALUE(IF($D79="půj",$C79,0))+VALUE(IF($H79="půj",$G79,0))</f>
        <v>0</v>
      </c>
      <c r="AC79" s="148" t="n">
        <f aca="false">VALUE(IF($D79="vst",$C79,0))+VALUE(IF($H79="vst",$G79,0))</f>
        <v>0</v>
      </c>
      <c r="AD79" s="148" t="n">
        <f aca="false">VALUE(IF($D79="kop",$C79,0))+VALUE(IF($H79="kop",$G79,0))</f>
        <v>0</v>
      </c>
      <c r="AE79" s="148" t="n">
        <f aca="false">VALUE(IF($D79="osl",$C79,0))+VALUE(IF($H79="osl",$G79,0))</f>
        <v>0</v>
      </c>
      <c r="AF79" s="148" t="n">
        <f aca="false">VALUE(IF($D79="vra",$C79,0))+VALUE(IF($H79="vra",$G79,0))</f>
        <v>0</v>
      </c>
      <c r="AG79" s="148" t="n">
        <f aca="false">VALUE(IF($D79="zho",$C79,0))+VALUE(IF($H79="zho",$G79,0))</f>
        <v>0</v>
      </c>
      <c r="AH79" s="148" t="n">
        <f aca="false">VALUE(IF($D79="zbú",$C79,0))+VALUE(IF($H79="zbú",$G79,0))</f>
        <v>0</v>
      </c>
      <c r="AI79" s="148" t="n">
        <f aca="false">VALUE(IF($D79="pří",$C79,0))+VALUE(IF($H79="pří",$G79,0))</f>
        <v>0</v>
      </c>
      <c r="AJ79" s="148" t="n">
        <f aca="false">VALUE(IF($D79="dot",$C79,0))+VALUE(IF($H79="dot",$G79,0))</f>
        <v>0</v>
      </c>
      <c r="AK79" s="148" t="n">
        <f aca="false">VALUE(IF($D79="opř",$C79,0))+VALUE(IF($H79="opř",$G79,0))</f>
        <v>0</v>
      </c>
      <c r="AL79" s="148" t="n">
        <f aca="false">SUM(P79:AK79)</f>
        <v>0</v>
      </c>
      <c r="AN79" s="180" t="str">
        <f aca="false">CONCATENATE('Přehled akce'!$K$4," / ",'Přehled akce'!$K$5)</f>
        <v> / </v>
      </c>
      <c r="AO79" s="181" t="n">
        <f aca="false">IF('Příjmy a výdaje'!$G79="ano",'Příjmy a výdaje'!$B79,0)</f>
        <v>0</v>
      </c>
      <c r="AP79" s="182" t="n">
        <f aca="false">IF('Příjmy a výdaje'!$G79="ano",'Příjmy a výdaje'!$C79,0)</f>
        <v>0</v>
      </c>
      <c r="AQ79" s="183" t="n">
        <f aca="false">'Příjmy a výdaje'!$AP79</f>
        <v>0</v>
      </c>
    </row>
    <row r="80" customFormat="false" ht="12.75" hidden="false" customHeight="false" outlineLevel="0" collapsed="false">
      <c r="A80" s="169" t="n">
        <v>66</v>
      </c>
      <c r="B80" s="222"/>
      <c r="C80" s="185"/>
      <c r="D80" s="186"/>
      <c r="E80" s="245"/>
      <c r="F80" s="223"/>
      <c r="G80" s="224"/>
      <c r="H80" s="190"/>
      <c r="I80" s="246"/>
      <c r="J80" s="178" t="str">
        <f aca="false">IF(AL80=C80,IF(AL80=0,"-","ok"),"chyba")</f>
        <v>-</v>
      </c>
      <c r="K80" s="179"/>
      <c r="L80" s="179"/>
      <c r="M80" s="179"/>
      <c r="N80" s="179"/>
      <c r="O80" s="239"/>
      <c r="P80" s="148" t="n">
        <f aca="false">VALUE(IF($D80="vyb",$C80,0))+VALUE(IF($H80="vyb",$G80,0))</f>
        <v>0</v>
      </c>
      <c r="Q80" s="148" t="n">
        <f aca="false">VALUE(IF($D80="mtv",$C80,0))+VALUE(IF($H80="mtv",$G80,0))</f>
        <v>0</v>
      </c>
      <c r="R80" s="148" t="n">
        <f aca="false">VALUE(IF($D80="mat",$C80,0))+VALUE(IF($H80="mat",$G80,0))</f>
        <v>0</v>
      </c>
      <c r="S80" s="148" t="n">
        <f aca="false">VALUE(IF($D80="pot",$C80,0))+VALUE(IF($H80="pot",$G80,0))</f>
        <v>0</v>
      </c>
      <c r="T80" s="148" t="n">
        <f aca="false">VALUE(IF($D80="táb",$C80,0))+VALUE(IF($H80="táb",$G80,0))</f>
        <v>0</v>
      </c>
      <c r="U80" s="148" t="n">
        <f aca="false">VALUE(IF($D80="oma",$C80,0))+VALUE(IF($H80="oma",$G80,0))</f>
        <v>0</v>
      </c>
      <c r="V80" s="148" t="n">
        <f aca="false">VALUE(IF($D80="ces",$C80,0))+VALUE(IF($H80="ces",$G80,0))</f>
        <v>0</v>
      </c>
      <c r="W80" s="148" t="n">
        <f aca="false">VALUE(IF($D80="poš",$C80,0))+VALUE(IF($H80="poš",$G80,0))</f>
        <v>0</v>
      </c>
      <c r="X80" s="148" t="n">
        <f aca="false">VALUE(IF($D80="tel",$C80,0))+VALUE(IF($H80="tel",$G80,0))</f>
        <v>0</v>
      </c>
      <c r="Y80" s="148" t="n">
        <f aca="false">VALUE(IF($D80="dop",$C80,0))+VALUE(IF($H80="dop",$G80,0))</f>
        <v>0</v>
      </c>
      <c r="Z80" s="148" t="n">
        <f aca="false">VALUE(IF($D80="nák",$C80,0))+VALUE(IF($H80="nák",$G80,0))</f>
        <v>0</v>
      </c>
      <c r="AA80" s="148" t="n">
        <f aca="false">VALUE(IF($D80="náj",$C80,0))+VALUE(IF($H80="náj",$G80,0))</f>
        <v>0</v>
      </c>
      <c r="AB80" s="148" t="n">
        <f aca="false">VALUE(IF($D80="půj",$C80,0))+VALUE(IF($H80="půj",$G80,0))</f>
        <v>0</v>
      </c>
      <c r="AC80" s="148" t="n">
        <f aca="false">VALUE(IF($D80="vst",$C80,0))+VALUE(IF($H80="vst",$G80,0))</f>
        <v>0</v>
      </c>
      <c r="AD80" s="148" t="n">
        <f aca="false">VALUE(IF($D80="kop",$C80,0))+VALUE(IF($H80="kop",$G80,0))</f>
        <v>0</v>
      </c>
      <c r="AE80" s="148" t="n">
        <f aca="false">VALUE(IF($D80="osl",$C80,0))+VALUE(IF($H80="osl",$G80,0))</f>
        <v>0</v>
      </c>
      <c r="AF80" s="148" t="n">
        <f aca="false">VALUE(IF($D80="vra",$C80,0))+VALUE(IF($H80="vra",$G80,0))</f>
        <v>0</v>
      </c>
      <c r="AG80" s="148" t="n">
        <f aca="false">VALUE(IF($D80="zho",$C80,0))+VALUE(IF($H80="zho",$G80,0))</f>
        <v>0</v>
      </c>
      <c r="AH80" s="148" t="n">
        <f aca="false">VALUE(IF($D80="zbú",$C80,0))+VALUE(IF($H80="zbú",$G80,0))</f>
        <v>0</v>
      </c>
      <c r="AI80" s="148" t="n">
        <f aca="false">VALUE(IF($D80="pří",$C80,0))+VALUE(IF($H80="pří",$G80,0))</f>
        <v>0</v>
      </c>
      <c r="AJ80" s="148" t="n">
        <f aca="false">VALUE(IF($D80="dot",$C80,0))+VALUE(IF($H80="dot",$G80,0))</f>
        <v>0</v>
      </c>
      <c r="AK80" s="148" t="n">
        <f aca="false">VALUE(IF($D80="opř",$C80,0))+VALUE(IF($H80="opř",$G80,0))</f>
        <v>0</v>
      </c>
      <c r="AL80" s="148" t="n">
        <f aca="false">SUM(P80:AK80)</f>
        <v>0</v>
      </c>
      <c r="AN80" s="180" t="str">
        <f aca="false">CONCATENATE('Přehled akce'!$K$4," / ",'Přehled akce'!$K$5)</f>
        <v> / </v>
      </c>
      <c r="AO80" s="181" t="n">
        <f aca="false">IF('Příjmy a výdaje'!$G80="ano",'Příjmy a výdaje'!$B80,0)</f>
        <v>0</v>
      </c>
      <c r="AP80" s="182" t="n">
        <f aca="false">IF('Příjmy a výdaje'!$G80="ano",'Příjmy a výdaje'!$C80,0)</f>
        <v>0</v>
      </c>
      <c r="AQ80" s="183" t="n">
        <f aca="false">'Příjmy a výdaje'!$AP80</f>
        <v>0</v>
      </c>
    </row>
    <row r="81" customFormat="false" ht="12.75" hidden="false" customHeight="false" outlineLevel="0" collapsed="false">
      <c r="A81" s="169" t="n">
        <v>67</v>
      </c>
      <c r="B81" s="222"/>
      <c r="C81" s="185"/>
      <c r="D81" s="186"/>
      <c r="E81" s="193"/>
      <c r="F81" s="223"/>
      <c r="G81" s="224"/>
      <c r="H81" s="190"/>
      <c r="I81" s="246"/>
      <c r="J81" s="178" t="str">
        <f aca="false">IF(AL81=C81,IF(AL81=0,"-","ok"),"chyba")</f>
        <v>-</v>
      </c>
      <c r="K81" s="179"/>
      <c r="L81" s="179"/>
      <c r="M81" s="179"/>
      <c r="N81" s="179"/>
      <c r="O81" s="239"/>
      <c r="P81" s="148" t="n">
        <f aca="false">VALUE(IF($D81="vyb",$C81,0))+VALUE(IF($H81="vyb",$G81,0))</f>
        <v>0</v>
      </c>
      <c r="Q81" s="148" t="n">
        <f aca="false">VALUE(IF($D81="mtv",$C81,0))+VALUE(IF($H81="mtv",$G81,0))</f>
        <v>0</v>
      </c>
      <c r="R81" s="148" t="n">
        <f aca="false">VALUE(IF($D81="mat",$C81,0))+VALUE(IF($H81="mat",$G81,0))</f>
        <v>0</v>
      </c>
      <c r="S81" s="148" t="n">
        <f aca="false">VALUE(IF($D81="pot",$C81,0))+VALUE(IF($H81="pot",$G81,0))</f>
        <v>0</v>
      </c>
      <c r="T81" s="148" t="n">
        <f aca="false">VALUE(IF($D81="táb",$C81,0))+VALUE(IF($H81="táb",$G81,0))</f>
        <v>0</v>
      </c>
      <c r="U81" s="148" t="n">
        <f aca="false">VALUE(IF($D81="oma",$C81,0))+VALUE(IF($H81="oma",$G81,0))</f>
        <v>0</v>
      </c>
      <c r="V81" s="148" t="n">
        <f aca="false">VALUE(IF($D81="ces",$C81,0))+VALUE(IF($H81="ces",$G81,0))</f>
        <v>0</v>
      </c>
      <c r="W81" s="148" t="n">
        <f aca="false">VALUE(IF($D81="poš",$C81,0))+VALUE(IF($H81="poš",$G81,0))</f>
        <v>0</v>
      </c>
      <c r="X81" s="148" t="n">
        <f aca="false">VALUE(IF($D81="tel",$C81,0))+VALUE(IF($H81="tel",$G81,0))</f>
        <v>0</v>
      </c>
      <c r="Y81" s="148" t="n">
        <f aca="false">VALUE(IF($D81="dop",$C81,0))+VALUE(IF($H81="dop",$G81,0))</f>
        <v>0</v>
      </c>
      <c r="Z81" s="148" t="n">
        <f aca="false">VALUE(IF($D81="nák",$C81,0))+VALUE(IF($H81="nák",$G81,0))</f>
        <v>0</v>
      </c>
      <c r="AA81" s="148" t="n">
        <f aca="false">VALUE(IF($D81="náj",$C81,0))+VALUE(IF($H81="náj",$G81,0))</f>
        <v>0</v>
      </c>
      <c r="AB81" s="148" t="n">
        <f aca="false">VALUE(IF($D81="půj",$C81,0))+VALUE(IF($H81="půj",$G81,0))</f>
        <v>0</v>
      </c>
      <c r="AC81" s="148" t="n">
        <f aca="false">VALUE(IF($D81="vst",$C81,0))+VALUE(IF($H81="vst",$G81,0))</f>
        <v>0</v>
      </c>
      <c r="AD81" s="148" t="n">
        <f aca="false">VALUE(IF($D81="kop",$C81,0))+VALUE(IF($H81="kop",$G81,0))</f>
        <v>0</v>
      </c>
      <c r="AE81" s="148" t="n">
        <f aca="false">VALUE(IF($D81="osl",$C81,0))+VALUE(IF($H81="osl",$G81,0))</f>
        <v>0</v>
      </c>
      <c r="AF81" s="148" t="n">
        <f aca="false">VALUE(IF($D81="vra",$C81,0))+VALUE(IF($H81="vra",$G81,0))</f>
        <v>0</v>
      </c>
      <c r="AG81" s="148" t="n">
        <f aca="false">VALUE(IF($D81="zho",$C81,0))+VALUE(IF($H81="zho",$G81,0))</f>
        <v>0</v>
      </c>
      <c r="AH81" s="148" t="n">
        <f aca="false">VALUE(IF($D81="zbú",$C81,0))+VALUE(IF($H81="zbú",$G81,0))</f>
        <v>0</v>
      </c>
      <c r="AI81" s="148" t="n">
        <f aca="false">VALUE(IF($D81="pří",$C81,0))+VALUE(IF($H81="pří",$G81,0))</f>
        <v>0</v>
      </c>
      <c r="AJ81" s="148" t="n">
        <f aca="false">VALUE(IF($D81="dot",$C81,0))+VALUE(IF($H81="dot",$G81,0))</f>
        <v>0</v>
      </c>
      <c r="AK81" s="148" t="n">
        <f aca="false">VALUE(IF($D81="opř",$C81,0))+VALUE(IF($H81="opř",$G81,0))</f>
        <v>0</v>
      </c>
      <c r="AL81" s="148" t="n">
        <f aca="false">SUM(P81:AK81)</f>
        <v>0</v>
      </c>
      <c r="AN81" s="180" t="str">
        <f aca="false">CONCATENATE('Přehled akce'!$K$4," / ",'Přehled akce'!$K$5)</f>
        <v> / </v>
      </c>
      <c r="AO81" s="181" t="n">
        <f aca="false">IF('Příjmy a výdaje'!$G81="ano",'Příjmy a výdaje'!$B81,0)</f>
        <v>0</v>
      </c>
      <c r="AP81" s="182" t="n">
        <f aca="false">IF('Příjmy a výdaje'!$G81="ano",'Příjmy a výdaje'!$C81,0)</f>
        <v>0</v>
      </c>
      <c r="AQ81" s="183" t="n">
        <f aca="false">'Příjmy a výdaje'!$AP81</f>
        <v>0</v>
      </c>
    </row>
    <row r="82" customFormat="false" ht="12.75" hidden="false" customHeight="false" outlineLevel="0" collapsed="false">
      <c r="A82" s="169" t="n">
        <v>68</v>
      </c>
      <c r="B82" s="222"/>
      <c r="C82" s="185"/>
      <c r="D82" s="186"/>
      <c r="E82" s="193"/>
      <c r="F82" s="223"/>
      <c r="G82" s="224"/>
      <c r="H82" s="190"/>
      <c r="I82" s="246"/>
      <c r="J82" s="178" t="str">
        <f aca="false">IF(AL82=C82,IF(AL82=0,"-","ok"),"chyba")</f>
        <v>-</v>
      </c>
      <c r="K82" s="179"/>
      <c r="L82" s="179"/>
      <c r="M82" s="179"/>
      <c r="N82" s="179"/>
      <c r="O82" s="239"/>
      <c r="P82" s="148" t="n">
        <f aca="false">VALUE(IF($D82="vyb",$C82,0))+VALUE(IF($H82="vyb",$G82,0))</f>
        <v>0</v>
      </c>
      <c r="Q82" s="148" t="n">
        <f aca="false">VALUE(IF($D82="mtv",$C82,0))+VALUE(IF($H82="mtv",$G82,0))</f>
        <v>0</v>
      </c>
      <c r="R82" s="148" t="n">
        <f aca="false">VALUE(IF($D82="mat",$C82,0))+VALUE(IF($H82="mat",$G82,0))</f>
        <v>0</v>
      </c>
      <c r="S82" s="148" t="n">
        <f aca="false">VALUE(IF($D82="pot",$C82,0))+VALUE(IF($H82="pot",$G82,0))</f>
        <v>0</v>
      </c>
      <c r="T82" s="148" t="n">
        <f aca="false">VALUE(IF($D82="táb",$C82,0))+VALUE(IF($H82="táb",$G82,0))</f>
        <v>0</v>
      </c>
      <c r="U82" s="148" t="n">
        <f aca="false">VALUE(IF($D82="oma",$C82,0))+VALUE(IF($H82="oma",$G82,0))</f>
        <v>0</v>
      </c>
      <c r="V82" s="148" t="n">
        <f aca="false">VALUE(IF($D82="ces",$C82,0))+VALUE(IF($H82="ces",$G82,0))</f>
        <v>0</v>
      </c>
      <c r="W82" s="148" t="n">
        <f aca="false">VALUE(IF($D82="poš",$C82,0))+VALUE(IF($H82="poš",$G82,0))</f>
        <v>0</v>
      </c>
      <c r="X82" s="148" t="n">
        <f aca="false">VALUE(IF($D82="tel",$C82,0))+VALUE(IF($H82="tel",$G82,0))</f>
        <v>0</v>
      </c>
      <c r="Y82" s="148" t="n">
        <f aca="false">VALUE(IF($D82="dop",$C82,0))+VALUE(IF($H82="dop",$G82,0))</f>
        <v>0</v>
      </c>
      <c r="Z82" s="148" t="n">
        <f aca="false">VALUE(IF($D82="nák",$C82,0))+VALUE(IF($H82="nák",$G82,0))</f>
        <v>0</v>
      </c>
      <c r="AA82" s="148" t="n">
        <f aca="false">VALUE(IF($D82="náj",$C82,0))+VALUE(IF($H82="náj",$G82,0))</f>
        <v>0</v>
      </c>
      <c r="AB82" s="148" t="n">
        <f aca="false">VALUE(IF($D82="půj",$C82,0))+VALUE(IF($H82="půj",$G82,0))</f>
        <v>0</v>
      </c>
      <c r="AC82" s="148" t="n">
        <f aca="false">VALUE(IF($D82="vst",$C82,0))+VALUE(IF($H82="vst",$G82,0))</f>
        <v>0</v>
      </c>
      <c r="AD82" s="148" t="n">
        <f aca="false">VALUE(IF($D82="kop",$C82,0))+VALUE(IF($H82="kop",$G82,0))</f>
        <v>0</v>
      </c>
      <c r="AE82" s="148" t="n">
        <f aca="false">VALUE(IF($D82="osl",$C82,0))+VALUE(IF($H82="osl",$G82,0))</f>
        <v>0</v>
      </c>
      <c r="AF82" s="148" t="n">
        <f aca="false">VALUE(IF($D82="vra",$C82,0))+VALUE(IF($H82="vra",$G82,0))</f>
        <v>0</v>
      </c>
      <c r="AG82" s="148" t="n">
        <f aca="false">VALUE(IF($D82="zho",$C82,0))+VALUE(IF($H82="zho",$G82,0))</f>
        <v>0</v>
      </c>
      <c r="AH82" s="148" t="n">
        <f aca="false">VALUE(IF($D82="zbú",$C82,0))+VALUE(IF($H82="zbú",$G82,0))</f>
        <v>0</v>
      </c>
      <c r="AI82" s="148" t="n">
        <f aca="false">VALUE(IF($D82="pří",$C82,0))+VALUE(IF($H82="pří",$G82,0))</f>
        <v>0</v>
      </c>
      <c r="AJ82" s="148" t="n">
        <f aca="false">VALUE(IF($D82="dot",$C82,0))+VALUE(IF($H82="dot",$G82,0))</f>
        <v>0</v>
      </c>
      <c r="AK82" s="148" t="n">
        <f aca="false">VALUE(IF($D82="opř",$C82,0))+VALUE(IF($H82="opř",$G82,0))</f>
        <v>0</v>
      </c>
      <c r="AL82" s="148" t="n">
        <f aca="false">SUM(P82:AK82)</f>
        <v>0</v>
      </c>
      <c r="AN82" s="180" t="str">
        <f aca="false">CONCATENATE('Přehled akce'!$K$4," / ",'Přehled akce'!$K$5)</f>
        <v> / </v>
      </c>
      <c r="AO82" s="181" t="n">
        <f aca="false">IF('Příjmy a výdaje'!$G82="ano",'Příjmy a výdaje'!$B82,0)</f>
        <v>0</v>
      </c>
      <c r="AP82" s="182" t="n">
        <f aca="false">IF('Příjmy a výdaje'!$G82="ano",'Příjmy a výdaje'!$C82,0)</f>
        <v>0</v>
      </c>
      <c r="AQ82" s="183" t="n">
        <f aca="false">'Příjmy a výdaje'!$AP82</f>
        <v>0</v>
      </c>
    </row>
    <row r="83" customFormat="false" ht="12.75" hidden="false" customHeight="false" outlineLevel="0" collapsed="false">
      <c r="A83" s="169" t="n">
        <v>69</v>
      </c>
      <c r="B83" s="222"/>
      <c r="C83" s="185"/>
      <c r="D83" s="186"/>
      <c r="E83" s="193"/>
      <c r="F83" s="223"/>
      <c r="G83" s="224"/>
      <c r="H83" s="190"/>
      <c r="I83" s="246"/>
      <c r="J83" s="178" t="str">
        <f aca="false">IF(AL83=C83,IF(AL83=0,"-","ok"),"chyba")</f>
        <v>-</v>
      </c>
      <c r="K83" s="179"/>
      <c r="L83" s="179"/>
      <c r="M83" s="179"/>
      <c r="N83" s="179"/>
      <c r="O83" s="239"/>
      <c r="P83" s="148" t="n">
        <f aca="false">VALUE(IF($D83="vyb",$C83,0))+VALUE(IF($H83="vyb",$G83,0))</f>
        <v>0</v>
      </c>
      <c r="Q83" s="148" t="n">
        <f aca="false">VALUE(IF($D83="mtv",$C83,0))+VALUE(IF($H83="mtv",$G83,0))</f>
        <v>0</v>
      </c>
      <c r="R83" s="148" t="n">
        <f aca="false">VALUE(IF($D83="mat",$C83,0))+VALUE(IF($H83="mat",$G83,0))</f>
        <v>0</v>
      </c>
      <c r="S83" s="148" t="n">
        <f aca="false">VALUE(IF($D83="pot",$C83,0))+VALUE(IF($H83="pot",$G83,0))</f>
        <v>0</v>
      </c>
      <c r="T83" s="148" t="n">
        <f aca="false">VALUE(IF($D83="táb",$C83,0))+VALUE(IF($H83="táb",$G83,0))</f>
        <v>0</v>
      </c>
      <c r="U83" s="148" t="n">
        <f aca="false">VALUE(IF($D83="oma",$C83,0))+VALUE(IF($H83="oma",$G83,0))</f>
        <v>0</v>
      </c>
      <c r="V83" s="148" t="n">
        <f aca="false">VALUE(IF($D83="ces",$C83,0))+VALUE(IF($H83="ces",$G83,0))</f>
        <v>0</v>
      </c>
      <c r="W83" s="148" t="n">
        <f aca="false">VALUE(IF($D83="poš",$C83,0))+VALUE(IF($H83="poš",$G83,0))</f>
        <v>0</v>
      </c>
      <c r="X83" s="148" t="n">
        <f aca="false">VALUE(IF($D83="tel",$C83,0))+VALUE(IF($H83="tel",$G83,0))</f>
        <v>0</v>
      </c>
      <c r="Y83" s="148" t="n">
        <f aca="false">VALUE(IF($D83="dop",$C83,0))+VALUE(IF($H83="dop",$G83,0))</f>
        <v>0</v>
      </c>
      <c r="Z83" s="148" t="n">
        <f aca="false">VALUE(IF($D83="nák",$C83,0))+VALUE(IF($H83="nák",$G83,0))</f>
        <v>0</v>
      </c>
      <c r="AA83" s="148" t="n">
        <f aca="false">VALUE(IF($D83="náj",$C83,0))+VALUE(IF($H83="náj",$G83,0))</f>
        <v>0</v>
      </c>
      <c r="AB83" s="148" t="n">
        <f aca="false">VALUE(IF($D83="půj",$C83,0))+VALUE(IF($H83="půj",$G83,0))</f>
        <v>0</v>
      </c>
      <c r="AC83" s="148" t="n">
        <f aca="false">VALUE(IF($D83="vst",$C83,0))+VALUE(IF($H83="vst",$G83,0))</f>
        <v>0</v>
      </c>
      <c r="AD83" s="148" t="n">
        <f aca="false">VALUE(IF($D83="kop",$C83,0))+VALUE(IF($H83="kop",$G83,0))</f>
        <v>0</v>
      </c>
      <c r="AE83" s="148" t="n">
        <f aca="false">VALUE(IF($D83="osl",$C83,0))+VALUE(IF($H83="osl",$G83,0))</f>
        <v>0</v>
      </c>
      <c r="AF83" s="148" t="n">
        <f aca="false">VALUE(IF($D83="vra",$C83,0))+VALUE(IF($H83="vra",$G83,0))</f>
        <v>0</v>
      </c>
      <c r="AG83" s="148" t="n">
        <f aca="false">VALUE(IF($D83="zho",$C83,0))+VALUE(IF($H83="zho",$G83,0))</f>
        <v>0</v>
      </c>
      <c r="AH83" s="148" t="n">
        <f aca="false">VALUE(IF($D83="zbú",$C83,0))+VALUE(IF($H83="zbú",$G83,0))</f>
        <v>0</v>
      </c>
      <c r="AI83" s="148" t="n">
        <f aca="false">VALUE(IF($D83="pří",$C83,0))+VALUE(IF($H83="pří",$G83,0))</f>
        <v>0</v>
      </c>
      <c r="AJ83" s="148" t="n">
        <f aca="false">VALUE(IF($D83="dot",$C83,0))+VALUE(IF($H83="dot",$G83,0))</f>
        <v>0</v>
      </c>
      <c r="AK83" s="148" t="n">
        <f aca="false">VALUE(IF($D83="opř",$C83,0))+VALUE(IF($H83="opř",$G83,0))</f>
        <v>0</v>
      </c>
      <c r="AL83" s="148" t="n">
        <f aca="false">SUM(P83:AK83)</f>
        <v>0</v>
      </c>
      <c r="AN83" s="180" t="str">
        <f aca="false">CONCATENATE('Přehled akce'!$K$4," / ",'Přehled akce'!$K$5)</f>
        <v> / </v>
      </c>
      <c r="AO83" s="181" t="n">
        <f aca="false">IF('Příjmy a výdaje'!$G83="ano",'Příjmy a výdaje'!$B83,0)</f>
        <v>0</v>
      </c>
      <c r="AP83" s="182" t="n">
        <f aca="false">IF('Příjmy a výdaje'!$G83="ano",'Příjmy a výdaje'!$C83,0)</f>
        <v>0</v>
      </c>
      <c r="AQ83" s="183" t="n">
        <f aca="false">'Příjmy a výdaje'!$AP83</f>
        <v>0</v>
      </c>
    </row>
    <row r="84" customFormat="false" ht="12.75" hidden="false" customHeight="false" outlineLevel="0" collapsed="false">
      <c r="A84" s="169" t="n">
        <v>70</v>
      </c>
      <c r="B84" s="222"/>
      <c r="C84" s="185"/>
      <c r="D84" s="247"/>
      <c r="E84" s="193"/>
      <c r="F84" s="223"/>
      <c r="G84" s="224"/>
      <c r="H84" s="190"/>
      <c r="I84" s="246"/>
      <c r="J84" s="178" t="str">
        <f aca="false">IF(AL84=C84,IF(AL84=0,"-","ok"),"chyba")</f>
        <v>-</v>
      </c>
      <c r="K84" s="179"/>
      <c r="L84" s="179"/>
      <c r="M84" s="179"/>
      <c r="N84" s="179"/>
      <c r="O84" s="239"/>
      <c r="P84" s="148" t="n">
        <f aca="false">VALUE(IF($D84="vyb",$C84,0))+VALUE(IF($H84="vyb",$G84,0))</f>
        <v>0</v>
      </c>
      <c r="Q84" s="148" t="n">
        <f aca="false">VALUE(IF($D84="mtv",$C84,0))+VALUE(IF($H84="mtv",$G84,0))</f>
        <v>0</v>
      </c>
      <c r="R84" s="148" t="n">
        <f aca="false">VALUE(IF($D84="mat",$C84,0))+VALUE(IF($H84="mat",$G84,0))</f>
        <v>0</v>
      </c>
      <c r="S84" s="148" t="n">
        <f aca="false">VALUE(IF($D84="pot",$C84,0))+VALUE(IF($H84="pot",$G84,0))</f>
        <v>0</v>
      </c>
      <c r="T84" s="148" t="n">
        <f aca="false">VALUE(IF($D84="táb",$C84,0))+VALUE(IF($H84="táb",$G84,0))</f>
        <v>0</v>
      </c>
      <c r="U84" s="148" t="n">
        <f aca="false">VALUE(IF($D84="oma",$C84,0))+VALUE(IF($H84="oma",$G84,0))</f>
        <v>0</v>
      </c>
      <c r="V84" s="148" t="n">
        <f aca="false">VALUE(IF($D84="ces",$C84,0))+VALUE(IF($H84="ces",$G84,0))</f>
        <v>0</v>
      </c>
      <c r="W84" s="148" t="n">
        <f aca="false">VALUE(IF($D84="poš",$C84,0))+VALUE(IF($H84="poš",$G84,0))</f>
        <v>0</v>
      </c>
      <c r="X84" s="148" t="n">
        <f aca="false">VALUE(IF($D84="tel",$C84,0))+VALUE(IF($H84="tel",$G84,0))</f>
        <v>0</v>
      </c>
      <c r="Y84" s="148" t="n">
        <f aca="false">VALUE(IF($D84="dop",$C84,0))+VALUE(IF($H84="dop",$G84,0))</f>
        <v>0</v>
      </c>
      <c r="Z84" s="148" t="n">
        <f aca="false">VALUE(IF($D84="nák",$C84,0))+VALUE(IF($H84="nák",$G84,0))</f>
        <v>0</v>
      </c>
      <c r="AA84" s="148" t="n">
        <f aca="false">VALUE(IF($D84="náj",$C84,0))+VALUE(IF($H84="náj",$G84,0))</f>
        <v>0</v>
      </c>
      <c r="AB84" s="148" t="n">
        <f aca="false">VALUE(IF($D84="půj",$C84,0))+VALUE(IF($H84="půj",$G84,0))</f>
        <v>0</v>
      </c>
      <c r="AC84" s="148" t="n">
        <f aca="false">VALUE(IF($D84="vst",$C84,0))+VALUE(IF($H84="vst",$G84,0))</f>
        <v>0</v>
      </c>
      <c r="AD84" s="148" t="n">
        <f aca="false">VALUE(IF($D84="kop",$C84,0))+VALUE(IF($H84="kop",$G84,0))</f>
        <v>0</v>
      </c>
      <c r="AE84" s="148" t="n">
        <f aca="false">VALUE(IF($D84="osl",$C84,0))+VALUE(IF($H84="osl",$G84,0))</f>
        <v>0</v>
      </c>
      <c r="AF84" s="148" t="n">
        <f aca="false">VALUE(IF($D84="vra",$C84,0))+VALUE(IF($H84="vra",$G84,0))</f>
        <v>0</v>
      </c>
      <c r="AG84" s="148" t="n">
        <f aca="false">VALUE(IF($D84="zho",$C84,0))+VALUE(IF($H84="zho",$G84,0))</f>
        <v>0</v>
      </c>
      <c r="AH84" s="148" t="n">
        <f aca="false">VALUE(IF($D84="zbú",$C84,0))+VALUE(IF($H84="zbú",$G84,0))</f>
        <v>0</v>
      </c>
      <c r="AI84" s="148" t="n">
        <f aca="false">VALUE(IF($D84="pří",$C84,0))+VALUE(IF($H84="pří",$G84,0))</f>
        <v>0</v>
      </c>
      <c r="AJ84" s="148" t="n">
        <f aca="false">VALUE(IF($D84="dot",$C84,0))+VALUE(IF($H84="dot",$G84,0))</f>
        <v>0</v>
      </c>
      <c r="AK84" s="148" t="n">
        <f aca="false">VALUE(IF($D84="opř",$C84,0))+VALUE(IF($H84="opř",$G84,0))</f>
        <v>0</v>
      </c>
      <c r="AL84" s="148" t="n">
        <f aca="false">SUM(P84:AK84)</f>
        <v>0</v>
      </c>
      <c r="AN84" s="180" t="str">
        <f aca="false">CONCATENATE('Přehled akce'!$K$4," / ",'Přehled akce'!$K$5)</f>
        <v> / </v>
      </c>
      <c r="AO84" s="181" t="n">
        <f aca="false">IF('Příjmy a výdaje'!$G84="ano",'Příjmy a výdaje'!$B84,0)</f>
        <v>0</v>
      </c>
      <c r="AP84" s="182" t="n">
        <f aca="false">IF('Příjmy a výdaje'!$G84="ano",'Příjmy a výdaje'!$C84,0)</f>
        <v>0</v>
      </c>
      <c r="AQ84" s="183" t="n">
        <f aca="false">'Příjmy a výdaje'!$AP84</f>
        <v>0</v>
      </c>
    </row>
    <row r="85" customFormat="false" ht="12.75" hidden="false" customHeight="false" outlineLevel="0" collapsed="false">
      <c r="A85" s="169" t="n">
        <v>71</v>
      </c>
      <c r="B85" s="222"/>
      <c r="C85" s="185"/>
      <c r="D85" s="186"/>
      <c r="E85" s="193"/>
      <c r="F85" s="223"/>
      <c r="G85" s="224"/>
      <c r="H85" s="190"/>
      <c r="I85" s="246"/>
      <c r="J85" s="178" t="str">
        <f aca="false">IF(AL85=C85,IF(AL85=0,"-","ok"),"chyba")</f>
        <v>-</v>
      </c>
      <c r="K85" s="179"/>
      <c r="L85" s="179"/>
      <c r="M85" s="179"/>
      <c r="N85" s="179"/>
      <c r="O85" s="248"/>
      <c r="P85" s="148" t="n">
        <f aca="false">VALUE(IF($D85="vyb",$C85,0))+VALUE(IF($H85="vyb",$G85,0))</f>
        <v>0</v>
      </c>
      <c r="Q85" s="148" t="n">
        <f aca="false">VALUE(IF($D85="mtv",$C85,0))+VALUE(IF($H85="mtv",$G85,0))</f>
        <v>0</v>
      </c>
      <c r="R85" s="148" t="n">
        <f aca="false">VALUE(IF($D85="mat",$C85,0))+VALUE(IF($H85="mat",$G85,0))</f>
        <v>0</v>
      </c>
      <c r="S85" s="148" t="n">
        <f aca="false">VALUE(IF($D85="pot",$C85,0))+VALUE(IF($H85="pot",$G85,0))</f>
        <v>0</v>
      </c>
      <c r="T85" s="148" t="n">
        <f aca="false">VALUE(IF($D85="táb",$C85,0))+VALUE(IF($H85="táb",$G85,0))</f>
        <v>0</v>
      </c>
      <c r="U85" s="148" t="n">
        <f aca="false">VALUE(IF($D85="oma",$C85,0))+VALUE(IF($H85="oma",$G85,0))</f>
        <v>0</v>
      </c>
      <c r="V85" s="148" t="n">
        <f aca="false">VALUE(IF($D85="ces",$C85,0))+VALUE(IF($H85="ces",$G85,0))</f>
        <v>0</v>
      </c>
      <c r="W85" s="148" t="n">
        <f aca="false">VALUE(IF($D85="poš",$C85,0))+VALUE(IF($H85="poš",$G85,0))</f>
        <v>0</v>
      </c>
      <c r="X85" s="148" t="n">
        <f aca="false">VALUE(IF($D85="tel",$C85,0))+VALUE(IF($H85="tel",$G85,0))</f>
        <v>0</v>
      </c>
      <c r="Y85" s="148" t="n">
        <f aca="false">VALUE(IF($D85="dop",$C85,0))+VALUE(IF($H85="dop",$G85,0))</f>
        <v>0</v>
      </c>
      <c r="Z85" s="148" t="n">
        <f aca="false">VALUE(IF($D85="nák",$C85,0))+VALUE(IF($H85="nák",$G85,0))</f>
        <v>0</v>
      </c>
      <c r="AA85" s="148" t="n">
        <f aca="false">VALUE(IF($D85="náj",$C85,0))+VALUE(IF($H85="náj",$G85,0))</f>
        <v>0</v>
      </c>
      <c r="AB85" s="148" t="n">
        <f aca="false">VALUE(IF($D85="půj",$C85,0))+VALUE(IF($H85="půj",$G85,0))</f>
        <v>0</v>
      </c>
      <c r="AC85" s="148" t="n">
        <f aca="false">VALUE(IF($D85="vst",$C85,0))+VALUE(IF($H85="vst",$G85,0))</f>
        <v>0</v>
      </c>
      <c r="AD85" s="148" t="n">
        <f aca="false">VALUE(IF($D85="kop",$C85,0))+VALUE(IF($H85="kop",$G85,0))</f>
        <v>0</v>
      </c>
      <c r="AE85" s="148" t="n">
        <f aca="false">VALUE(IF($D85="osl",$C85,0))+VALUE(IF($H85="osl",$G85,0))</f>
        <v>0</v>
      </c>
      <c r="AF85" s="148" t="n">
        <f aca="false">VALUE(IF($D85="vra",$C85,0))+VALUE(IF($H85="vra",$G85,0))</f>
        <v>0</v>
      </c>
      <c r="AG85" s="148" t="n">
        <f aca="false">VALUE(IF($D85="zho",$C85,0))+VALUE(IF($H85="zho",$G85,0))</f>
        <v>0</v>
      </c>
      <c r="AH85" s="148" t="n">
        <f aca="false">VALUE(IF($D85="zbú",$C85,0))+VALUE(IF($H85="zbú",$G85,0))</f>
        <v>0</v>
      </c>
      <c r="AI85" s="148" t="n">
        <f aca="false">VALUE(IF($D85="pří",$C85,0))+VALUE(IF($H85="pří",$G85,0))</f>
        <v>0</v>
      </c>
      <c r="AJ85" s="148" t="n">
        <f aca="false">VALUE(IF($D85="dot",$C85,0))+VALUE(IF($H85="dot",$G85,0))</f>
        <v>0</v>
      </c>
      <c r="AK85" s="148" t="n">
        <f aca="false">VALUE(IF($D85="opř",$C85,0))+VALUE(IF($H85="opř",$G85,0))</f>
        <v>0</v>
      </c>
      <c r="AL85" s="148" t="n">
        <f aca="false">SUM(P85:AK85)</f>
        <v>0</v>
      </c>
      <c r="AN85" s="180" t="str">
        <f aca="false">CONCATENATE('Přehled akce'!$K$4," / ",'Přehled akce'!$K$5)</f>
        <v> / </v>
      </c>
      <c r="AO85" s="181" t="n">
        <f aca="false">IF('Příjmy a výdaje'!$G85="ano",'Příjmy a výdaje'!$B85,0)</f>
        <v>0</v>
      </c>
      <c r="AP85" s="182" t="n">
        <f aca="false">IF('Příjmy a výdaje'!$G85="ano",'Příjmy a výdaje'!$C85,0)</f>
        <v>0</v>
      </c>
      <c r="AQ85" s="183" t="n">
        <f aca="false">'Příjmy a výdaje'!$AP85</f>
        <v>0</v>
      </c>
    </row>
    <row r="86" customFormat="false" ht="12.75" hidden="false" customHeight="false" outlineLevel="0" collapsed="false">
      <c r="A86" s="169" t="n">
        <v>72</v>
      </c>
      <c r="B86" s="222"/>
      <c r="C86" s="185"/>
      <c r="D86" s="186"/>
      <c r="E86" s="193"/>
      <c r="F86" s="223"/>
      <c r="G86" s="224"/>
      <c r="H86" s="190"/>
      <c r="I86" s="246"/>
      <c r="J86" s="178" t="str">
        <f aca="false">IF(AL86=C86,IF(AL86=0,"-","ok"),"chyba")</f>
        <v>-</v>
      </c>
      <c r="K86" s="179"/>
      <c r="L86" s="179"/>
      <c r="M86" s="179"/>
      <c r="N86" s="179"/>
      <c r="O86" s="239"/>
      <c r="P86" s="148" t="n">
        <f aca="false">VALUE(IF($D86="vyb",$C86,0))+VALUE(IF($H86="vyb",$G86,0))</f>
        <v>0</v>
      </c>
      <c r="Q86" s="148" t="n">
        <f aca="false">VALUE(IF($D86="mtv",$C86,0))+VALUE(IF($H86="mtv",$G86,0))</f>
        <v>0</v>
      </c>
      <c r="R86" s="148" t="n">
        <f aca="false">VALUE(IF($D86="mat",$C86,0))+VALUE(IF($H86="mat",$G86,0))</f>
        <v>0</v>
      </c>
      <c r="S86" s="148" t="n">
        <f aca="false">VALUE(IF($D86="pot",$C86,0))+VALUE(IF($H86="pot",$G86,0))</f>
        <v>0</v>
      </c>
      <c r="T86" s="148" t="n">
        <f aca="false">VALUE(IF($D86="táb",$C86,0))+VALUE(IF($H86="táb",$G86,0))</f>
        <v>0</v>
      </c>
      <c r="U86" s="148" t="n">
        <f aca="false">VALUE(IF($D86="oma",$C86,0))+VALUE(IF($H86="oma",$G86,0))</f>
        <v>0</v>
      </c>
      <c r="V86" s="148" t="n">
        <f aca="false">VALUE(IF($D86="ces",$C86,0))+VALUE(IF($H86="ces",$G86,0))</f>
        <v>0</v>
      </c>
      <c r="W86" s="148" t="n">
        <f aca="false">VALUE(IF($D86="poš",$C86,0))+VALUE(IF($H86="poš",$G86,0))</f>
        <v>0</v>
      </c>
      <c r="X86" s="148" t="n">
        <f aca="false">VALUE(IF($D86="tel",$C86,0))+VALUE(IF($H86="tel",$G86,0))</f>
        <v>0</v>
      </c>
      <c r="Y86" s="148" t="n">
        <f aca="false">VALUE(IF($D86="dop",$C86,0))+VALUE(IF($H86="dop",$G86,0))</f>
        <v>0</v>
      </c>
      <c r="Z86" s="148" t="n">
        <f aca="false">VALUE(IF($D86="nák",$C86,0))+VALUE(IF($H86="nák",$G86,0))</f>
        <v>0</v>
      </c>
      <c r="AA86" s="148" t="n">
        <f aca="false">VALUE(IF($D86="náj",$C86,0))+VALUE(IF($H86="náj",$G86,0))</f>
        <v>0</v>
      </c>
      <c r="AB86" s="148" t="n">
        <f aca="false">VALUE(IF($D86="půj",$C86,0))+VALUE(IF($H86="půj",$G86,0))</f>
        <v>0</v>
      </c>
      <c r="AC86" s="148" t="n">
        <f aca="false">VALUE(IF($D86="vst",$C86,0))+VALUE(IF($H86="vst",$G86,0))</f>
        <v>0</v>
      </c>
      <c r="AD86" s="148" t="n">
        <f aca="false">VALUE(IF($D86="kop",$C86,0))+VALUE(IF($H86="kop",$G86,0))</f>
        <v>0</v>
      </c>
      <c r="AE86" s="148" t="n">
        <f aca="false">VALUE(IF($D86="osl",$C86,0))+VALUE(IF($H86="osl",$G86,0))</f>
        <v>0</v>
      </c>
      <c r="AF86" s="148" t="n">
        <f aca="false">VALUE(IF($D86="vra",$C86,0))+VALUE(IF($H86="vra",$G86,0))</f>
        <v>0</v>
      </c>
      <c r="AG86" s="148" t="n">
        <f aca="false">VALUE(IF($D86="zho",$C86,0))+VALUE(IF($H86="zho",$G86,0))</f>
        <v>0</v>
      </c>
      <c r="AH86" s="148" t="n">
        <f aca="false">VALUE(IF($D86="zbú",$C86,0))+VALUE(IF($H86="zbú",$G86,0))</f>
        <v>0</v>
      </c>
      <c r="AI86" s="148" t="n">
        <f aca="false">VALUE(IF($D86="pří",$C86,0))+VALUE(IF($H86="pří",$G86,0))</f>
        <v>0</v>
      </c>
      <c r="AJ86" s="148" t="n">
        <f aca="false">VALUE(IF($D86="dot",$C86,0))+VALUE(IF($H86="dot",$G86,0))</f>
        <v>0</v>
      </c>
      <c r="AK86" s="148" t="n">
        <f aca="false">VALUE(IF($D86="opř",$C86,0))+VALUE(IF($H86="opř",$G86,0))</f>
        <v>0</v>
      </c>
      <c r="AL86" s="148" t="n">
        <f aca="false">SUM(P86:AK86)</f>
        <v>0</v>
      </c>
      <c r="AN86" s="180" t="str">
        <f aca="false">CONCATENATE('Přehled akce'!$K$4," / ",'Přehled akce'!$K$5)</f>
        <v> / </v>
      </c>
      <c r="AO86" s="181" t="n">
        <f aca="false">IF('Příjmy a výdaje'!$G86="ano",'Příjmy a výdaje'!$B86,0)</f>
        <v>0</v>
      </c>
      <c r="AP86" s="182" t="n">
        <f aca="false">IF('Příjmy a výdaje'!$G86="ano",'Příjmy a výdaje'!$C86,0)</f>
        <v>0</v>
      </c>
      <c r="AQ86" s="183" t="n">
        <f aca="false">'Příjmy a výdaje'!$AP86</f>
        <v>0</v>
      </c>
    </row>
    <row r="87" customFormat="false" ht="12.75" hidden="false" customHeight="false" outlineLevel="0" collapsed="false">
      <c r="A87" s="169" t="n">
        <v>73</v>
      </c>
      <c r="B87" s="222"/>
      <c r="C87" s="185"/>
      <c r="D87" s="186"/>
      <c r="E87" s="193"/>
      <c r="F87" s="223"/>
      <c r="G87" s="224"/>
      <c r="H87" s="190"/>
      <c r="I87" s="246"/>
      <c r="J87" s="178" t="str">
        <f aca="false">IF(AL87=C87,IF(AL87=0,"-","ok"),"chyba")</f>
        <v>-</v>
      </c>
      <c r="K87" s="179"/>
      <c r="L87" s="179"/>
      <c r="M87" s="179"/>
      <c r="N87" s="179"/>
      <c r="O87" s="239"/>
      <c r="P87" s="148" t="n">
        <f aca="false">VALUE(IF($D87="vyb",$C87,0))+VALUE(IF($H87="vyb",$G87,0))</f>
        <v>0</v>
      </c>
      <c r="Q87" s="148" t="n">
        <f aca="false">VALUE(IF($D87="mtv",$C87,0))+VALUE(IF($H87="mtv",$G87,0))</f>
        <v>0</v>
      </c>
      <c r="R87" s="148" t="n">
        <f aca="false">VALUE(IF($D87="mat",$C87,0))+VALUE(IF($H87="mat",$G87,0))</f>
        <v>0</v>
      </c>
      <c r="S87" s="148" t="n">
        <f aca="false">VALUE(IF($D87="pot",$C87,0))+VALUE(IF($H87="pot",$G87,0))</f>
        <v>0</v>
      </c>
      <c r="T87" s="148" t="n">
        <f aca="false">VALUE(IF($D87="táb",$C87,0))+VALUE(IF($H87="táb",$G87,0))</f>
        <v>0</v>
      </c>
      <c r="U87" s="148" t="n">
        <f aca="false">VALUE(IF($D87="oma",$C87,0))+VALUE(IF($H87="oma",$G87,0))</f>
        <v>0</v>
      </c>
      <c r="V87" s="148" t="n">
        <f aca="false">VALUE(IF($D87="ces",$C87,0))+VALUE(IF($H87="ces",$G87,0))</f>
        <v>0</v>
      </c>
      <c r="W87" s="148" t="n">
        <f aca="false">VALUE(IF($D87="poš",$C87,0))+VALUE(IF($H87="poš",$G87,0))</f>
        <v>0</v>
      </c>
      <c r="X87" s="148" t="n">
        <f aca="false">VALUE(IF($D87="tel",$C87,0))+VALUE(IF($H87="tel",$G87,0))</f>
        <v>0</v>
      </c>
      <c r="Y87" s="148" t="n">
        <f aca="false">VALUE(IF($D87="dop",$C87,0))+VALUE(IF($H87="dop",$G87,0))</f>
        <v>0</v>
      </c>
      <c r="Z87" s="148" t="n">
        <f aca="false">VALUE(IF($D87="nák",$C87,0))+VALUE(IF($H87="nák",$G87,0))</f>
        <v>0</v>
      </c>
      <c r="AA87" s="148" t="n">
        <f aca="false">VALUE(IF($D87="náj",$C87,0))+VALUE(IF($H87="náj",$G87,0))</f>
        <v>0</v>
      </c>
      <c r="AB87" s="148" t="n">
        <f aca="false">VALUE(IF($D87="půj",$C87,0))+VALUE(IF($H87="půj",$G87,0))</f>
        <v>0</v>
      </c>
      <c r="AC87" s="148" t="n">
        <f aca="false">VALUE(IF($D87="vst",$C87,0))+VALUE(IF($H87="vst",$G87,0))</f>
        <v>0</v>
      </c>
      <c r="AD87" s="148" t="n">
        <f aca="false">VALUE(IF($D87="kop",$C87,0))+VALUE(IF($H87="kop",$G87,0))</f>
        <v>0</v>
      </c>
      <c r="AE87" s="148" t="n">
        <f aca="false">VALUE(IF($D87="osl",$C87,0))+VALUE(IF($H87="osl",$G87,0))</f>
        <v>0</v>
      </c>
      <c r="AF87" s="148" t="n">
        <f aca="false">VALUE(IF($D87="vra",$C87,0))+VALUE(IF($H87="vra",$G87,0))</f>
        <v>0</v>
      </c>
      <c r="AG87" s="148" t="n">
        <f aca="false">VALUE(IF($D87="zho",$C87,0))+VALUE(IF($H87="zho",$G87,0))</f>
        <v>0</v>
      </c>
      <c r="AH87" s="148" t="n">
        <f aca="false">VALUE(IF($D87="zbú",$C87,0))+VALUE(IF($H87="zbú",$G87,0))</f>
        <v>0</v>
      </c>
      <c r="AI87" s="148" t="n">
        <f aca="false">VALUE(IF($D87="pří",$C87,0))+VALUE(IF($H87="pří",$G87,0))</f>
        <v>0</v>
      </c>
      <c r="AJ87" s="148" t="n">
        <f aca="false">VALUE(IF($D87="dot",$C87,0))+VALUE(IF($H87="dot",$G87,0))</f>
        <v>0</v>
      </c>
      <c r="AK87" s="148" t="n">
        <f aca="false">VALUE(IF($D87="opř",$C87,0))+VALUE(IF($H87="opř",$G87,0))</f>
        <v>0</v>
      </c>
      <c r="AL87" s="148" t="n">
        <f aca="false">SUM(P87:AK87)</f>
        <v>0</v>
      </c>
      <c r="AN87" s="180" t="str">
        <f aca="false">CONCATENATE('Přehled akce'!$K$4," / ",'Přehled akce'!$K$5)</f>
        <v> / </v>
      </c>
      <c r="AO87" s="181" t="n">
        <f aca="false">IF('Příjmy a výdaje'!$G87="ano",'Příjmy a výdaje'!$B87,0)</f>
        <v>0</v>
      </c>
      <c r="AP87" s="182" t="n">
        <f aca="false">IF('Příjmy a výdaje'!$G87="ano",'Příjmy a výdaje'!$C87,0)</f>
        <v>0</v>
      </c>
      <c r="AQ87" s="183" t="n">
        <f aca="false">'Příjmy a výdaje'!$AP87</f>
        <v>0</v>
      </c>
    </row>
    <row r="88" customFormat="false" ht="12.75" hidden="false" customHeight="false" outlineLevel="0" collapsed="false">
      <c r="A88" s="169" t="n">
        <v>74</v>
      </c>
      <c r="B88" s="222"/>
      <c r="C88" s="185"/>
      <c r="D88" s="186"/>
      <c r="E88" s="193"/>
      <c r="F88" s="223"/>
      <c r="G88" s="224"/>
      <c r="H88" s="190"/>
      <c r="I88" s="246"/>
      <c r="J88" s="178" t="str">
        <f aca="false">IF(AL88=C88,IF(AL88=0,"-","ok"),"chyba")</f>
        <v>-</v>
      </c>
      <c r="K88" s="179"/>
      <c r="L88" s="179"/>
      <c r="M88" s="179"/>
      <c r="N88" s="179"/>
      <c r="O88" s="239"/>
      <c r="P88" s="148" t="n">
        <f aca="false">VALUE(IF($D88="vyb",$C88,0))+VALUE(IF($H88="vyb",$G88,0))</f>
        <v>0</v>
      </c>
      <c r="Q88" s="148" t="n">
        <f aca="false">VALUE(IF($D88="mtv",$C88,0))+VALUE(IF($H88="mtv",$G88,0))</f>
        <v>0</v>
      </c>
      <c r="R88" s="148" t="n">
        <f aca="false">VALUE(IF($D88="mat",$C88,0))+VALUE(IF($H88="mat",$G88,0))</f>
        <v>0</v>
      </c>
      <c r="S88" s="148" t="n">
        <f aca="false">VALUE(IF($D88="pot",$C88,0))+VALUE(IF($H88="pot",$G88,0))</f>
        <v>0</v>
      </c>
      <c r="T88" s="148" t="n">
        <f aca="false">VALUE(IF($D88="táb",$C88,0))+VALUE(IF($H88="táb",$G88,0))</f>
        <v>0</v>
      </c>
      <c r="U88" s="148" t="n">
        <f aca="false">VALUE(IF($D88="oma",$C88,0))+VALUE(IF($H88="oma",$G88,0))</f>
        <v>0</v>
      </c>
      <c r="V88" s="148" t="n">
        <f aca="false">VALUE(IF($D88="ces",$C88,0))+VALUE(IF($H88="ces",$G88,0))</f>
        <v>0</v>
      </c>
      <c r="W88" s="148" t="n">
        <f aca="false">VALUE(IF($D88="poš",$C88,0))+VALUE(IF($H88="poš",$G88,0))</f>
        <v>0</v>
      </c>
      <c r="X88" s="148" t="n">
        <f aca="false">VALUE(IF($D88="tel",$C88,0))+VALUE(IF($H88="tel",$G88,0))</f>
        <v>0</v>
      </c>
      <c r="Y88" s="148" t="n">
        <f aca="false">VALUE(IF($D88="dop",$C88,0))+VALUE(IF($H88="dop",$G88,0))</f>
        <v>0</v>
      </c>
      <c r="Z88" s="148" t="n">
        <f aca="false">VALUE(IF($D88="nák",$C88,0))+VALUE(IF($H88="nák",$G88,0))</f>
        <v>0</v>
      </c>
      <c r="AA88" s="148" t="n">
        <f aca="false">VALUE(IF($D88="náj",$C88,0))+VALUE(IF($H88="náj",$G88,0))</f>
        <v>0</v>
      </c>
      <c r="AB88" s="148" t="n">
        <f aca="false">VALUE(IF($D88="půj",$C88,0))+VALUE(IF($H88="půj",$G88,0))</f>
        <v>0</v>
      </c>
      <c r="AC88" s="148" t="n">
        <f aca="false">VALUE(IF($D88="vst",$C88,0))+VALUE(IF($H88="vst",$G88,0))</f>
        <v>0</v>
      </c>
      <c r="AD88" s="148" t="n">
        <f aca="false">VALUE(IF($D88="kop",$C88,0))+VALUE(IF($H88="kop",$G88,0))</f>
        <v>0</v>
      </c>
      <c r="AE88" s="148" t="n">
        <f aca="false">VALUE(IF($D88="osl",$C88,0))+VALUE(IF($H88="osl",$G88,0))</f>
        <v>0</v>
      </c>
      <c r="AF88" s="148" t="n">
        <f aca="false">VALUE(IF($D88="vra",$C88,0))+VALUE(IF($H88="vra",$G88,0))</f>
        <v>0</v>
      </c>
      <c r="AG88" s="148" t="n">
        <f aca="false">VALUE(IF($D88="zho",$C88,0))+VALUE(IF($H88="zho",$G88,0))</f>
        <v>0</v>
      </c>
      <c r="AH88" s="148" t="n">
        <f aca="false">VALUE(IF($D88="zbú",$C88,0))+VALUE(IF($H88="zbú",$G88,0))</f>
        <v>0</v>
      </c>
      <c r="AI88" s="148" t="n">
        <f aca="false">VALUE(IF($D88="pří",$C88,0))+VALUE(IF($H88="pří",$G88,0))</f>
        <v>0</v>
      </c>
      <c r="AJ88" s="148" t="n">
        <f aca="false">VALUE(IF($D88="dot",$C88,0))+VALUE(IF($H88="dot",$G88,0))</f>
        <v>0</v>
      </c>
      <c r="AK88" s="148" t="n">
        <f aca="false">VALUE(IF($D88="opř",$C88,0))+VALUE(IF($H88="opř",$G88,0))</f>
        <v>0</v>
      </c>
      <c r="AL88" s="148" t="n">
        <f aca="false">SUM(P88:AK88)</f>
        <v>0</v>
      </c>
      <c r="AN88" s="180" t="str">
        <f aca="false">CONCATENATE('Přehled akce'!$K$4," / ",'Přehled akce'!$K$5)</f>
        <v> / </v>
      </c>
      <c r="AO88" s="181" t="n">
        <f aca="false">IF('Příjmy a výdaje'!$G88="ano",'Příjmy a výdaje'!$B88,0)</f>
        <v>0</v>
      </c>
      <c r="AP88" s="182" t="n">
        <f aca="false">IF('Příjmy a výdaje'!$G88="ano",'Příjmy a výdaje'!$C88,0)</f>
        <v>0</v>
      </c>
      <c r="AQ88" s="183" t="n">
        <f aca="false">'Příjmy a výdaje'!$AP88</f>
        <v>0</v>
      </c>
    </row>
    <row r="89" customFormat="false" ht="12.75" hidden="false" customHeight="false" outlineLevel="0" collapsed="false">
      <c r="A89" s="169" t="n">
        <v>75</v>
      </c>
      <c r="B89" s="222"/>
      <c r="C89" s="185"/>
      <c r="D89" s="186"/>
      <c r="E89" s="193"/>
      <c r="F89" s="223"/>
      <c r="G89" s="224"/>
      <c r="H89" s="190"/>
      <c r="I89" s="246"/>
      <c r="J89" s="178" t="str">
        <f aca="false">IF(AL89=C89,IF(AL89=0,"-","ok"),"chyba")</f>
        <v>-</v>
      </c>
      <c r="K89" s="179"/>
      <c r="L89" s="179"/>
      <c r="M89" s="179"/>
      <c r="N89" s="179"/>
      <c r="P89" s="148" t="n">
        <f aca="false">VALUE(IF($D89="vyb",$C89,0))+VALUE(IF($H89="vyb",$G89,0))</f>
        <v>0</v>
      </c>
      <c r="Q89" s="148" t="n">
        <f aca="false">VALUE(IF($D89="mtv",$C89,0))+VALUE(IF($H89="mtv",$G89,0))</f>
        <v>0</v>
      </c>
      <c r="R89" s="148" t="n">
        <f aca="false">VALUE(IF($D89="mat",$C89,0))+VALUE(IF($H89="mat",$G89,0))</f>
        <v>0</v>
      </c>
      <c r="S89" s="148" t="n">
        <f aca="false">VALUE(IF($D89="pot",$C89,0))+VALUE(IF($H89="pot",$G89,0))</f>
        <v>0</v>
      </c>
      <c r="T89" s="148" t="n">
        <f aca="false">VALUE(IF($D89="táb",$C89,0))+VALUE(IF($H89="táb",$G89,0))</f>
        <v>0</v>
      </c>
      <c r="U89" s="148" t="n">
        <f aca="false">VALUE(IF($D89="oma",$C89,0))+VALUE(IF($H89="oma",$G89,0))</f>
        <v>0</v>
      </c>
      <c r="V89" s="148" t="n">
        <f aca="false">VALUE(IF($D89="ces",$C89,0))+VALUE(IF($H89="ces",$G89,0))</f>
        <v>0</v>
      </c>
      <c r="W89" s="148" t="n">
        <f aca="false">VALUE(IF($D89="poš",$C89,0))+VALUE(IF($H89="poš",$G89,0))</f>
        <v>0</v>
      </c>
      <c r="X89" s="148" t="n">
        <f aca="false">VALUE(IF($D89="tel",$C89,0))+VALUE(IF($H89="tel",$G89,0))</f>
        <v>0</v>
      </c>
      <c r="Y89" s="148" t="n">
        <f aca="false">VALUE(IF($D89="dop",$C89,0))+VALUE(IF($H89="dop",$G89,0))</f>
        <v>0</v>
      </c>
      <c r="Z89" s="148" t="n">
        <f aca="false">VALUE(IF($D89="nák",$C89,0))+VALUE(IF($H89="nák",$G89,0))</f>
        <v>0</v>
      </c>
      <c r="AA89" s="148" t="n">
        <f aca="false">VALUE(IF($D89="náj",$C89,0))+VALUE(IF($H89="náj",$G89,0))</f>
        <v>0</v>
      </c>
      <c r="AB89" s="148" t="n">
        <f aca="false">VALUE(IF($D89="půj",$C89,0))+VALUE(IF($H89="půj",$G89,0))</f>
        <v>0</v>
      </c>
      <c r="AC89" s="148" t="n">
        <f aca="false">VALUE(IF($D89="vst",$C89,0))+VALUE(IF($H89="vst",$G89,0))</f>
        <v>0</v>
      </c>
      <c r="AD89" s="148" t="n">
        <f aca="false">VALUE(IF($D89="kop",$C89,0))+VALUE(IF($H89="kop",$G89,0))</f>
        <v>0</v>
      </c>
      <c r="AE89" s="148" t="n">
        <f aca="false">VALUE(IF($D89="osl",$C89,0))+VALUE(IF($H89="osl",$G89,0))</f>
        <v>0</v>
      </c>
      <c r="AF89" s="148" t="n">
        <f aca="false">VALUE(IF($D89="vra",$C89,0))+VALUE(IF($H89="vra",$G89,0))</f>
        <v>0</v>
      </c>
      <c r="AG89" s="148" t="n">
        <f aca="false">VALUE(IF($D89="zho",$C89,0))+VALUE(IF($H89="zho",$G89,0))</f>
        <v>0</v>
      </c>
      <c r="AH89" s="148" t="n">
        <f aca="false">VALUE(IF($D89="zbú",$C89,0))+VALUE(IF($H89="zbú",$G89,0))</f>
        <v>0</v>
      </c>
      <c r="AI89" s="148" t="n">
        <f aca="false">VALUE(IF($D89="pří",$C89,0))+VALUE(IF($H89="pří",$G89,0))</f>
        <v>0</v>
      </c>
      <c r="AJ89" s="148" t="n">
        <f aca="false">VALUE(IF($D89="dot",$C89,0))+VALUE(IF($H89="dot",$G89,0))</f>
        <v>0</v>
      </c>
      <c r="AK89" s="148" t="n">
        <f aca="false">VALUE(IF($D89="opř",$C89,0))+VALUE(IF($H89="opř",$G89,0))</f>
        <v>0</v>
      </c>
      <c r="AL89" s="148" t="n">
        <f aca="false">SUM(P89:AK89)</f>
        <v>0</v>
      </c>
      <c r="AN89" s="180" t="str">
        <f aca="false">CONCATENATE('Přehled akce'!$K$4," / ",'Přehled akce'!$K$5)</f>
        <v> / </v>
      </c>
      <c r="AO89" s="181" t="n">
        <f aca="false">IF('Příjmy a výdaje'!$G89="ano",'Příjmy a výdaje'!$B89,0)</f>
        <v>0</v>
      </c>
      <c r="AP89" s="182" t="n">
        <f aca="false">IF('Příjmy a výdaje'!$G89="ano",'Příjmy a výdaje'!$C89,0)</f>
        <v>0</v>
      </c>
      <c r="AQ89" s="183" t="n">
        <f aca="false">'Příjmy a výdaje'!$AP89</f>
        <v>0</v>
      </c>
    </row>
    <row r="90" customFormat="false" ht="12.75" hidden="false" customHeight="false" outlineLevel="0" collapsed="false">
      <c r="A90" s="169" t="n">
        <v>76</v>
      </c>
      <c r="B90" s="222"/>
      <c r="C90" s="185"/>
      <c r="D90" s="186"/>
      <c r="E90" s="193"/>
      <c r="F90" s="223"/>
      <c r="G90" s="224"/>
      <c r="H90" s="190"/>
      <c r="I90" s="246"/>
      <c r="J90" s="178" t="str">
        <f aca="false">IF(AL90=C90,IF(AL90=0,"-","ok"),"chyba")</f>
        <v>-</v>
      </c>
      <c r="K90" s="179"/>
      <c r="L90" s="179"/>
      <c r="M90" s="179"/>
      <c r="N90" s="179"/>
      <c r="P90" s="148" t="n">
        <f aca="false">VALUE(IF($D90="vyb",$C90,0))+VALUE(IF($H90="vyb",$G90,0))</f>
        <v>0</v>
      </c>
      <c r="Q90" s="148" t="n">
        <f aca="false">VALUE(IF($D90="mtv",$C90,0))+VALUE(IF($H90="mtv",$G90,0))</f>
        <v>0</v>
      </c>
      <c r="R90" s="148" t="n">
        <f aca="false">VALUE(IF($D90="mat",$C90,0))+VALUE(IF($H90="mat",$G90,0))</f>
        <v>0</v>
      </c>
      <c r="S90" s="148" t="n">
        <f aca="false">VALUE(IF($D90="pot",$C90,0))+VALUE(IF($H90="pot",$G90,0))</f>
        <v>0</v>
      </c>
      <c r="T90" s="148" t="n">
        <f aca="false">VALUE(IF($D90="táb",$C90,0))+VALUE(IF($H90="táb",$G90,0))</f>
        <v>0</v>
      </c>
      <c r="U90" s="148" t="n">
        <f aca="false">VALUE(IF($D90="oma",$C90,0))+VALUE(IF($H90="oma",$G90,0))</f>
        <v>0</v>
      </c>
      <c r="V90" s="148" t="n">
        <f aca="false">VALUE(IF($D90="ces",$C90,0))+VALUE(IF($H90="ces",$G90,0))</f>
        <v>0</v>
      </c>
      <c r="W90" s="148" t="n">
        <f aca="false">VALUE(IF($D90="poš",$C90,0))+VALUE(IF($H90="poš",$G90,0))</f>
        <v>0</v>
      </c>
      <c r="X90" s="148" t="n">
        <f aca="false">VALUE(IF($D90="tel",$C90,0))+VALUE(IF($H90="tel",$G90,0))</f>
        <v>0</v>
      </c>
      <c r="Y90" s="148" t="n">
        <f aca="false">VALUE(IF($D90="dop",$C90,0))+VALUE(IF($H90="dop",$G90,0))</f>
        <v>0</v>
      </c>
      <c r="Z90" s="148" t="n">
        <f aca="false">VALUE(IF($D90="nák",$C90,0))+VALUE(IF($H90="nák",$G90,0))</f>
        <v>0</v>
      </c>
      <c r="AA90" s="148" t="n">
        <f aca="false">VALUE(IF($D90="náj",$C90,0))+VALUE(IF($H90="náj",$G90,0))</f>
        <v>0</v>
      </c>
      <c r="AB90" s="148" t="n">
        <f aca="false">VALUE(IF($D90="půj",$C90,0))+VALUE(IF($H90="půj",$G90,0))</f>
        <v>0</v>
      </c>
      <c r="AC90" s="148" t="n">
        <f aca="false">VALUE(IF($D90="vst",$C90,0))+VALUE(IF($H90="vst",$G90,0))</f>
        <v>0</v>
      </c>
      <c r="AD90" s="148" t="n">
        <f aca="false">VALUE(IF($D90="kop",$C90,0))+VALUE(IF($H90="kop",$G90,0))</f>
        <v>0</v>
      </c>
      <c r="AE90" s="148" t="n">
        <f aca="false">VALUE(IF($D90="osl",$C90,0))+VALUE(IF($H90="osl",$G90,0))</f>
        <v>0</v>
      </c>
      <c r="AF90" s="148" t="n">
        <f aca="false">VALUE(IF($D90="vra",$C90,0))+VALUE(IF($H90="vra",$G90,0))</f>
        <v>0</v>
      </c>
      <c r="AG90" s="148" t="n">
        <f aca="false">VALUE(IF($D90="zho",$C90,0))+VALUE(IF($H90="zho",$G90,0))</f>
        <v>0</v>
      </c>
      <c r="AH90" s="148" t="n">
        <f aca="false">VALUE(IF($D90="zbú",$C90,0))+VALUE(IF($H90="zbú",$G90,0))</f>
        <v>0</v>
      </c>
      <c r="AI90" s="148" t="n">
        <f aca="false">VALUE(IF($D90="pří",$C90,0))+VALUE(IF($H90="pří",$G90,0))</f>
        <v>0</v>
      </c>
      <c r="AJ90" s="148" t="n">
        <f aca="false">VALUE(IF($D90="dot",$C90,0))+VALUE(IF($H90="dot",$G90,0))</f>
        <v>0</v>
      </c>
      <c r="AK90" s="148" t="n">
        <f aca="false">VALUE(IF($D90="opř",$C90,0))+VALUE(IF($H90="opř",$G90,0))</f>
        <v>0</v>
      </c>
      <c r="AL90" s="148" t="n">
        <f aca="false">SUM(P90:AK90)</f>
        <v>0</v>
      </c>
      <c r="AN90" s="180" t="str">
        <f aca="false">CONCATENATE('Přehled akce'!$K$4," / ",'Přehled akce'!$K$5)</f>
        <v> / </v>
      </c>
      <c r="AO90" s="181" t="n">
        <f aca="false">IF('Příjmy a výdaje'!$G90="ano",'Příjmy a výdaje'!$B90,0)</f>
        <v>0</v>
      </c>
      <c r="AP90" s="182" t="n">
        <f aca="false">IF('Příjmy a výdaje'!$G90="ano",'Příjmy a výdaje'!$C90,0)</f>
        <v>0</v>
      </c>
      <c r="AQ90" s="183" t="n">
        <f aca="false">'Příjmy a výdaje'!$AP90</f>
        <v>0</v>
      </c>
    </row>
    <row r="91" customFormat="false" ht="12.75" hidden="false" customHeight="false" outlineLevel="0" collapsed="false">
      <c r="A91" s="169" t="n">
        <v>77</v>
      </c>
      <c r="B91" s="222"/>
      <c r="C91" s="185"/>
      <c r="D91" s="186"/>
      <c r="E91" s="193"/>
      <c r="F91" s="223"/>
      <c r="G91" s="224"/>
      <c r="H91" s="190"/>
      <c r="I91" s="246"/>
      <c r="J91" s="178" t="str">
        <f aca="false">IF(AL91=C91,IF(AL91=0,"-","ok"),"chyba")</f>
        <v>-</v>
      </c>
      <c r="K91" s="179"/>
      <c r="L91" s="179"/>
      <c r="M91" s="179"/>
      <c r="N91" s="179"/>
      <c r="P91" s="148" t="n">
        <f aca="false">VALUE(IF($D91="vyb",$C91,0))+VALUE(IF($H91="vyb",$G91,0))</f>
        <v>0</v>
      </c>
      <c r="Q91" s="148" t="n">
        <f aca="false">VALUE(IF($D91="mtv",$C91,0))+VALUE(IF($H91="mtv",$G91,0))</f>
        <v>0</v>
      </c>
      <c r="R91" s="148" t="n">
        <f aca="false">VALUE(IF($D91="mat",$C91,0))+VALUE(IF($H91="mat",$G91,0))</f>
        <v>0</v>
      </c>
      <c r="S91" s="148" t="n">
        <f aca="false">VALUE(IF($D91="pot",$C91,0))+VALUE(IF($H91="pot",$G91,0))</f>
        <v>0</v>
      </c>
      <c r="T91" s="148" t="n">
        <f aca="false">VALUE(IF($D91="táb",$C91,0))+VALUE(IF($H91="táb",$G91,0))</f>
        <v>0</v>
      </c>
      <c r="U91" s="148" t="n">
        <f aca="false">VALUE(IF($D91="oma",$C91,0))+VALUE(IF($H91="oma",$G91,0))</f>
        <v>0</v>
      </c>
      <c r="V91" s="148" t="n">
        <f aca="false">VALUE(IF($D91="ces",$C91,0))+VALUE(IF($H91="ces",$G91,0))</f>
        <v>0</v>
      </c>
      <c r="W91" s="148" t="n">
        <f aca="false">VALUE(IF($D91="poš",$C91,0))+VALUE(IF($H91="poš",$G91,0))</f>
        <v>0</v>
      </c>
      <c r="X91" s="148" t="n">
        <f aca="false">VALUE(IF($D91="tel",$C91,0))+VALUE(IF($H91="tel",$G91,0))</f>
        <v>0</v>
      </c>
      <c r="Y91" s="148" t="n">
        <f aca="false">VALUE(IF($D91="dop",$C91,0))+VALUE(IF($H91="dop",$G91,0))</f>
        <v>0</v>
      </c>
      <c r="Z91" s="148" t="n">
        <f aca="false">VALUE(IF($D91="nák",$C91,0))+VALUE(IF($H91="nák",$G91,0))</f>
        <v>0</v>
      </c>
      <c r="AA91" s="148" t="n">
        <f aca="false">VALUE(IF($D91="náj",$C91,0))+VALUE(IF($H91="náj",$G91,0))</f>
        <v>0</v>
      </c>
      <c r="AB91" s="148" t="n">
        <f aca="false">VALUE(IF($D91="půj",$C91,0))+VALUE(IF($H91="půj",$G91,0))</f>
        <v>0</v>
      </c>
      <c r="AC91" s="148" t="n">
        <f aca="false">VALUE(IF($D91="vst",$C91,0))+VALUE(IF($H91="vst",$G91,0))</f>
        <v>0</v>
      </c>
      <c r="AD91" s="148" t="n">
        <f aca="false">VALUE(IF($D91="kop",$C91,0))+VALUE(IF($H91="kop",$G91,0))</f>
        <v>0</v>
      </c>
      <c r="AE91" s="148" t="n">
        <f aca="false">VALUE(IF($D91="osl",$C91,0))+VALUE(IF($H91="osl",$G91,0))</f>
        <v>0</v>
      </c>
      <c r="AF91" s="148" t="n">
        <f aca="false">VALUE(IF($D91="vra",$C91,0))+VALUE(IF($H91="vra",$G91,0))</f>
        <v>0</v>
      </c>
      <c r="AG91" s="148" t="n">
        <f aca="false">VALUE(IF($D91="zho",$C91,0))+VALUE(IF($H91="zho",$G91,0))</f>
        <v>0</v>
      </c>
      <c r="AH91" s="148" t="n">
        <f aca="false">VALUE(IF($D91="zbú",$C91,0))+VALUE(IF($H91="zbú",$G91,0))</f>
        <v>0</v>
      </c>
      <c r="AI91" s="148" t="n">
        <f aca="false">VALUE(IF($D91="pří",$C91,0))+VALUE(IF($H91="pří",$G91,0))</f>
        <v>0</v>
      </c>
      <c r="AJ91" s="148" t="n">
        <f aca="false">VALUE(IF($D91="dot",$C91,0))+VALUE(IF($H91="dot",$G91,0))</f>
        <v>0</v>
      </c>
      <c r="AK91" s="148" t="n">
        <f aca="false">VALUE(IF($D91="opř",$C91,0))+VALUE(IF($H91="opř",$G91,0))</f>
        <v>0</v>
      </c>
      <c r="AL91" s="148" t="n">
        <f aca="false">SUM(P91:AK91)</f>
        <v>0</v>
      </c>
      <c r="AN91" s="180" t="str">
        <f aca="false">CONCATENATE('Přehled akce'!$K$4," / ",'Přehled akce'!$K$5)</f>
        <v> / </v>
      </c>
      <c r="AO91" s="181" t="n">
        <f aca="false">IF('Příjmy a výdaje'!$G91="ano",'Příjmy a výdaje'!$B91,0)</f>
        <v>0</v>
      </c>
      <c r="AP91" s="182" t="n">
        <f aca="false">IF('Příjmy a výdaje'!$G91="ano",'Příjmy a výdaje'!$C91,0)</f>
        <v>0</v>
      </c>
      <c r="AQ91" s="183" t="n">
        <f aca="false">'Příjmy a výdaje'!$AP91</f>
        <v>0</v>
      </c>
    </row>
    <row r="92" customFormat="false" ht="12.75" hidden="false" customHeight="false" outlineLevel="0" collapsed="false">
      <c r="A92" s="169" t="n">
        <v>78</v>
      </c>
      <c r="B92" s="222"/>
      <c r="C92" s="185"/>
      <c r="D92" s="186"/>
      <c r="E92" s="193"/>
      <c r="F92" s="223"/>
      <c r="G92" s="224"/>
      <c r="H92" s="190"/>
      <c r="I92" s="246"/>
      <c r="J92" s="178" t="str">
        <f aca="false">IF(AL92=C92,IF(AL92=0,"-","ok"),"chyba")</f>
        <v>-</v>
      </c>
      <c r="K92" s="179"/>
      <c r="L92" s="179"/>
      <c r="M92" s="179"/>
      <c r="N92" s="179"/>
      <c r="P92" s="148" t="n">
        <f aca="false">VALUE(IF($D92="vyb",$C92,0))+VALUE(IF($H92="vyb",$G92,0))</f>
        <v>0</v>
      </c>
      <c r="Q92" s="148" t="n">
        <f aca="false">VALUE(IF($D92="mtv",$C92,0))+VALUE(IF($H92="mtv",$G92,0))</f>
        <v>0</v>
      </c>
      <c r="R92" s="148" t="n">
        <f aca="false">VALUE(IF($D92="mat",$C92,0))+VALUE(IF($H92="mat",$G92,0))</f>
        <v>0</v>
      </c>
      <c r="S92" s="148" t="n">
        <f aca="false">VALUE(IF($D92="pot",$C92,0))+VALUE(IF($H92="pot",$G92,0))</f>
        <v>0</v>
      </c>
      <c r="T92" s="148" t="n">
        <f aca="false">VALUE(IF($D92="táb",$C92,0))+VALUE(IF($H92="táb",$G92,0))</f>
        <v>0</v>
      </c>
      <c r="U92" s="148" t="n">
        <f aca="false">VALUE(IF($D92="oma",$C92,0))+VALUE(IF($H92="oma",$G92,0))</f>
        <v>0</v>
      </c>
      <c r="V92" s="148" t="n">
        <f aca="false">VALUE(IF($D92="ces",$C92,0))+VALUE(IF($H92="ces",$G92,0))</f>
        <v>0</v>
      </c>
      <c r="W92" s="148" t="n">
        <f aca="false">VALUE(IF($D92="poš",$C92,0))+VALUE(IF($H92="poš",$G92,0))</f>
        <v>0</v>
      </c>
      <c r="X92" s="148" t="n">
        <f aca="false">VALUE(IF($D92="tel",$C92,0))+VALUE(IF($H92="tel",$G92,0))</f>
        <v>0</v>
      </c>
      <c r="Y92" s="148" t="n">
        <f aca="false">VALUE(IF($D92="dop",$C92,0))+VALUE(IF($H92="dop",$G92,0))</f>
        <v>0</v>
      </c>
      <c r="Z92" s="148" t="n">
        <f aca="false">VALUE(IF($D92="nák",$C92,0))+VALUE(IF($H92="nák",$G92,0))</f>
        <v>0</v>
      </c>
      <c r="AA92" s="148" t="n">
        <f aca="false">VALUE(IF($D92="náj",$C92,0))+VALUE(IF($H92="náj",$G92,0))</f>
        <v>0</v>
      </c>
      <c r="AB92" s="148" t="n">
        <f aca="false">VALUE(IF($D92="půj",$C92,0))+VALUE(IF($H92="půj",$G92,0))</f>
        <v>0</v>
      </c>
      <c r="AC92" s="148" t="n">
        <f aca="false">VALUE(IF($D92="vst",$C92,0))+VALUE(IF($H92="vst",$G92,0))</f>
        <v>0</v>
      </c>
      <c r="AD92" s="148" t="n">
        <f aca="false">VALUE(IF($D92="kop",$C92,0))+VALUE(IF($H92="kop",$G92,0))</f>
        <v>0</v>
      </c>
      <c r="AE92" s="148" t="n">
        <f aca="false">VALUE(IF($D92="osl",$C92,0))+VALUE(IF($H92="osl",$G92,0))</f>
        <v>0</v>
      </c>
      <c r="AF92" s="148" t="n">
        <f aca="false">VALUE(IF($D92="vra",$C92,0))+VALUE(IF($H92="vra",$G92,0))</f>
        <v>0</v>
      </c>
      <c r="AG92" s="148" t="n">
        <f aca="false">VALUE(IF($D92="zho",$C92,0))+VALUE(IF($H92="zho",$G92,0))</f>
        <v>0</v>
      </c>
      <c r="AH92" s="148" t="n">
        <f aca="false">VALUE(IF($D92="zbú",$C92,0))+VALUE(IF($H92="zbú",$G92,0))</f>
        <v>0</v>
      </c>
      <c r="AI92" s="148" t="n">
        <f aca="false">VALUE(IF($D92="pří",$C92,0))+VALUE(IF($H92="pří",$G92,0))</f>
        <v>0</v>
      </c>
      <c r="AJ92" s="148" t="n">
        <f aca="false">VALUE(IF($D92="dot",$C92,0))+VALUE(IF($H92="dot",$G92,0))</f>
        <v>0</v>
      </c>
      <c r="AK92" s="148" t="n">
        <f aca="false">VALUE(IF($D92="opř",$C92,0))+VALUE(IF($H92="opř",$G92,0))</f>
        <v>0</v>
      </c>
      <c r="AL92" s="148" t="n">
        <f aca="false">SUM(P92:AK92)</f>
        <v>0</v>
      </c>
      <c r="AN92" s="180" t="str">
        <f aca="false">CONCATENATE('Přehled akce'!$K$4," / ",'Přehled akce'!$K$5)</f>
        <v> / </v>
      </c>
      <c r="AO92" s="181" t="n">
        <f aca="false">IF('Příjmy a výdaje'!$G92="ano",'Příjmy a výdaje'!$B92,0)</f>
        <v>0</v>
      </c>
      <c r="AP92" s="182" t="n">
        <f aca="false">IF('Příjmy a výdaje'!$G92="ano",'Příjmy a výdaje'!$C92,0)</f>
        <v>0</v>
      </c>
      <c r="AQ92" s="183" t="n">
        <f aca="false">'Příjmy a výdaje'!$AP92</f>
        <v>0</v>
      </c>
    </row>
    <row r="93" customFormat="false" ht="12.75" hidden="false" customHeight="false" outlineLevel="0" collapsed="false">
      <c r="A93" s="169" t="n">
        <v>79</v>
      </c>
      <c r="B93" s="222"/>
      <c r="C93" s="185"/>
      <c r="D93" s="186"/>
      <c r="E93" s="193"/>
      <c r="F93" s="223"/>
      <c r="G93" s="224"/>
      <c r="H93" s="190"/>
      <c r="I93" s="246"/>
      <c r="J93" s="178" t="str">
        <f aca="false">IF(AL93=C93,IF(AL93=0,"-","ok"),"chyba")</f>
        <v>-</v>
      </c>
      <c r="K93" s="179"/>
      <c r="L93" s="179"/>
      <c r="M93" s="179"/>
      <c r="N93" s="179"/>
      <c r="P93" s="148" t="n">
        <f aca="false">VALUE(IF($D93="vyb",$C93,0))+VALUE(IF($H93="vyb",$G93,0))</f>
        <v>0</v>
      </c>
      <c r="Q93" s="148" t="n">
        <f aca="false">VALUE(IF($D93="mtv",$C93,0))+VALUE(IF($H93="mtv",$G93,0))</f>
        <v>0</v>
      </c>
      <c r="R93" s="148" t="n">
        <f aca="false">VALUE(IF($D93="mat",$C93,0))+VALUE(IF($H93="mat",$G93,0))</f>
        <v>0</v>
      </c>
      <c r="S93" s="148" t="n">
        <f aca="false">VALUE(IF($D93="pot",$C93,0))+VALUE(IF($H93="pot",$G93,0))</f>
        <v>0</v>
      </c>
      <c r="T93" s="148" t="n">
        <f aca="false">VALUE(IF($D93="táb",$C93,0))+VALUE(IF($H93="táb",$G93,0))</f>
        <v>0</v>
      </c>
      <c r="U93" s="148" t="n">
        <f aca="false">VALUE(IF($D93="oma",$C93,0))+VALUE(IF($H93="oma",$G93,0))</f>
        <v>0</v>
      </c>
      <c r="V93" s="148" t="n">
        <f aca="false">VALUE(IF($D93="ces",$C93,0))+VALUE(IF($H93="ces",$G93,0))</f>
        <v>0</v>
      </c>
      <c r="W93" s="148" t="n">
        <f aca="false">VALUE(IF($D93="poš",$C93,0))+VALUE(IF($H93="poš",$G93,0))</f>
        <v>0</v>
      </c>
      <c r="X93" s="148" t="n">
        <f aca="false">VALUE(IF($D93="tel",$C93,0))+VALUE(IF($H93="tel",$G93,0))</f>
        <v>0</v>
      </c>
      <c r="Y93" s="148" t="n">
        <f aca="false">VALUE(IF($D93="dop",$C93,0))+VALUE(IF($H93="dop",$G93,0))</f>
        <v>0</v>
      </c>
      <c r="Z93" s="148" t="n">
        <f aca="false">VALUE(IF($D93="nák",$C93,0))+VALUE(IF($H93="nák",$G93,0))</f>
        <v>0</v>
      </c>
      <c r="AA93" s="148" t="n">
        <f aca="false">VALUE(IF($D93="náj",$C93,0))+VALUE(IF($H93="náj",$G93,0))</f>
        <v>0</v>
      </c>
      <c r="AB93" s="148" t="n">
        <f aca="false">VALUE(IF($D93="půj",$C93,0))+VALUE(IF($H93="půj",$G93,0))</f>
        <v>0</v>
      </c>
      <c r="AC93" s="148" t="n">
        <f aca="false">VALUE(IF($D93="vst",$C93,0))+VALUE(IF($H93="vst",$G93,0))</f>
        <v>0</v>
      </c>
      <c r="AD93" s="148" t="n">
        <f aca="false">VALUE(IF($D93="kop",$C93,0))+VALUE(IF($H93="kop",$G93,0))</f>
        <v>0</v>
      </c>
      <c r="AE93" s="148" t="n">
        <f aca="false">VALUE(IF($D93="osl",$C93,0))+VALUE(IF($H93="osl",$G93,0))</f>
        <v>0</v>
      </c>
      <c r="AF93" s="148" t="n">
        <f aca="false">VALUE(IF($D93="vra",$C93,0))+VALUE(IF($H93="vra",$G93,0))</f>
        <v>0</v>
      </c>
      <c r="AG93" s="148" t="n">
        <f aca="false">VALUE(IF($D93="zho",$C93,0))+VALUE(IF($H93="zho",$G93,0))</f>
        <v>0</v>
      </c>
      <c r="AH93" s="148" t="n">
        <f aca="false">VALUE(IF($D93="zbú",$C93,0))+VALUE(IF($H93="zbú",$G93,0))</f>
        <v>0</v>
      </c>
      <c r="AI93" s="148" t="n">
        <f aca="false">VALUE(IF($D93="pří",$C93,0))+VALUE(IF($H93="pří",$G93,0))</f>
        <v>0</v>
      </c>
      <c r="AJ93" s="148" t="n">
        <f aca="false">VALUE(IF($D93="dot",$C93,0))+VALUE(IF($H93="dot",$G93,0))</f>
        <v>0</v>
      </c>
      <c r="AK93" s="148" t="n">
        <f aca="false">VALUE(IF($D93="opř",$C93,0))+VALUE(IF($H93="opř",$G93,0))</f>
        <v>0</v>
      </c>
      <c r="AL93" s="148" t="n">
        <f aca="false">SUM(P93:AK93)</f>
        <v>0</v>
      </c>
      <c r="AN93" s="180" t="str">
        <f aca="false">CONCATENATE('Přehled akce'!$K$4," / ",'Přehled akce'!$K$5)</f>
        <v> / </v>
      </c>
      <c r="AO93" s="181" t="n">
        <f aca="false">IF('Příjmy a výdaje'!$G93="ano",'Příjmy a výdaje'!$B93,0)</f>
        <v>0</v>
      </c>
      <c r="AP93" s="182" t="n">
        <f aca="false">IF('Příjmy a výdaje'!$G93="ano",'Příjmy a výdaje'!$C93,0)</f>
        <v>0</v>
      </c>
      <c r="AQ93" s="183" t="n">
        <f aca="false">'Příjmy a výdaje'!$AP93</f>
        <v>0</v>
      </c>
    </row>
    <row r="94" customFormat="false" ht="12.75" hidden="false" customHeight="false" outlineLevel="0" collapsed="false">
      <c r="A94" s="169" t="n">
        <v>80</v>
      </c>
      <c r="B94" s="222"/>
      <c r="C94" s="185"/>
      <c r="D94" s="186"/>
      <c r="E94" s="193"/>
      <c r="F94" s="223"/>
      <c r="G94" s="224"/>
      <c r="H94" s="190"/>
      <c r="I94" s="246"/>
      <c r="J94" s="178" t="str">
        <f aca="false">IF(AL94=C94,IF(AL94=0,"-","ok"),"chyba")</f>
        <v>-</v>
      </c>
      <c r="K94" s="179"/>
      <c r="L94" s="179"/>
      <c r="M94" s="179"/>
      <c r="N94" s="179"/>
      <c r="P94" s="148" t="n">
        <f aca="false">VALUE(IF($D94="vyb",$C94,0))+VALUE(IF($H94="vyb",$G94,0))</f>
        <v>0</v>
      </c>
      <c r="Q94" s="148" t="n">
        <f aca="false">VALUE(IF($D94="mtv",$C94,0))+VALUE(IF($H94="mtv",$G94,0))</f>
        <v>0</v>
      </c>
      <c r="R94" s="148" t="n">
        <f aca="false">VALUE(IF($D94="mat",$C94,0))+VALUE(IF($H94="mat",$G94,0))</f>
        <v>0</v>
      </c>
      <c r="S94" s="148" t="n">
        <f aca="false">VALUE(IF($D94="pot",$C94,0))+VALUE(IF($H94="pot",$G94,0))</f>
        <v>0</v>
      </c>
      <c r="T94" s="148" t="n">
        <f aca="false">VALUE(IF($D94="táb",$C94,0))+VALUE(IF($H94="táb",$G94,0))</f>
        <v>0</v>
      </c>
      <c r="U94" s="148" t="n">
        <f aca="false">VALUE(IF($D94="oma",$C94,0))+VALUE(IF($H94="oma",$G94,0))</f>
        <v>0</v>
      </c>
      <c r="V94" s="148" t="n">
        <f aca="false">VALUE(IF($D94="ces",$C94,0))+VALUE(IF($H94="ces",$G94,0))</f>
        <v>0</v>
      </c>
      <c r="W94" s="148" t="n">
        <f aca="false">VALUE(IF($D94="poš",$C94,0))+VALUE(IF($H94="poš",$G94,0))</f>
        <v>0</v>
      </c>
      <c r="X94" s="148" t="n">
        <f aca="false">VALUE(IF($D94="tel",$C94,0))+VALUE(IF($H94="tel",$G94,0))</f>
        <v>0</v>
      </c>
      <c r="Y94" s="148" t="n">
        <f aca="false">VALUE(IF($D94="dop",$C94,0))+VALUE(IF($H94="dop",$G94,0))</f>
        <v>0</v>
      </c>
      <c r="Z94" s="148" t="n">
        <f aca="false">VALUE(IF($D94="nák",$C94,0))+VALUE(IF($H94="nák",$G94,0))</f>
        <v>0</v>
      </c>
      <c r="AA94" s="148" t="n">
        <f aca="false">VALUE(IF($D94="náj",$C94,0))+VALUE(IF($H94="náj",$G94,0))</f>
        <v>0</v>
      </c>
      <c r="AB94" s="148" t="n">
        <f aca="false">VALUE(IF($D94="půj",$C94,0))+VALUE(IF($H94="půj",$G94,0))</f>
        <v>0</v>
      </c>
      <c r="AC94" s="148" t="n">
        <f aca="false">VALUE(IF($D94="vst",$C94,0))+VALUE(IF($H94="vst",$G94,0))</f>
        <v>0</v>
      </c>
      <c r="AD94" s="148" t="n">
        <f aca="false">VALUE(IF($D94="kop",$C94,0))+VALUE(IF($H94="kop",$G94,0))</f>
        <v>0</v>
      </c>
      <c r="AE94" s="148" t="n">
        <f aca="false">VALUE(IF($D94="osl",$C94,0))+VALUE(IF($H94="osl",$G94,0))</f>
        <v>0</v>
      </c>
      <c r="AF94" s="148" t="n">
        <f aca="false">VALUE(IF($D94="vra",$C94,0))+VALUE(IF($H94="vra",$G94,0))</f>
        <v>0</v>
      </c>
      <c r="AG94" s="148" t="n">
        <f aca="false">VALUE(IF($D94="zho",$C94,0))+VALUE(IF($H94="zho",$G94,0))</f>
        <v>0</v>
      </c>
      <c r="AH94" s="148" t="n">
        <f aca="false">VALUE(IF($D94="zbú",$C94,0))+VALUE(IF($H94="zbú",$G94,0))</f>
        <v>0</v>
      </c>
      <c r="AI94" s="148" t="n">
        <f aca="false">VALUE(IF($D94="pří",$C94,0))+VALUE(IF($H94="pří",$G94,0))</f>
        <v>0</v>
      </c>
      <c r="AJ94" s="148" t="n">
        <f aca="false">VALUE(IF($D94="dot",$C94,0))+VALUE(IF($H94="dot",$G94,0))</f>
        <v>0</v>
      </c>
      <c r="AK94" s="148" t="n">
        <f aca="false">VALUE(IF($D94="opř",$C94,0))+VALUE(IF($H94="opř",$G94,0))</f>
        <v>0</v>
      </c>
      <c r="AL94" s="148" t="n">
        <f aca="false">SUM(P94:AK94)</f>
        <v>0</v>
      </c>
      <c r="AN94" s="180" t="str">
        <f aca="false">CONCATENATE('Přehled akce'!$K$4," / ",'Přehled akce'!$K$5)</f>
        <v> / </v>
      </c>
      <c r="AO94" s="181" t="n">
        <f aca="false">IF('Příjmy a výdaje'!$G94="ano",'Příjmy a výdaje'!$B94,0)</f>
        <v>0</v>
      </c>
      <c r="AP94" s="182" t="n">
        <f aca="false">IF('Příjmy a výdaje'!$G94="ano",'Příjmy a výdaje'!$C94,0)</f>
        <v>0</v>
      </c>
      <c r="AQ94" s="183" t="n">
        <f aca="false">'Příjmy a výdaje'!$AP94</f>
        <v>0</v>
      </c>
    </row>
    <row r="95" customFormat="false" ht="12.75" hidden="false" customHeight="false" outlineLevel="0" collapsed="false">
      <c r="A95" s="169" t="n">
        <v>81</v>
      </c>
      <c r="B95" s="222"/>
      <c r="C95" s="185"/>
      <c r="D95" s="186"/>
      <c r="E95" s="193"/>
      <c r="F95" s="223"/>
      <c r="G95" s="224"/>
      <c r="H95" s="190"/>
      <c r="I95" s="246"/>
      <c r="J95" s="178" t="str">
        <f aca="false">IF(AL95=C95,IF(AL95=0,"-","ok"),"chyba")</f>
        <v>-</v>
      </c>
      <c r="K95" s="179"/>
      <c r="L95" s="179"/>
      <c r="M95" s="179"/>
      <c r="N95" s="179"/>
      <c r="P95" s="148" t="n">
        <f aca="false">VALUE(IF($D95="vyb",$C95,0))+VALUE(IF($H95="vyb",$G95,0))</f>
        <v>0</v>
      </c>
      <c r="Q95" s="148" t="n">
        <f aca="false">VALUE(IF($D95="mtv",$C95,0))+VALUE(IF($H95="mtv",$G95,0))</f>
        <v>0</v>
      </c>
      <c r="R95" s="148" t="n">
        <f aca="false">VALUE(IF($D95="mat",$C95,0))+VALUE(IF($H95="mat",$G95,0))</f>
        <v>0</v>
      </c>
      <c r="S95" s="148" t="n">
        <f aca="false">VALUE(IF($D95="pot",$C95,0))+VALUE(IF($H95="pot",$G95,0))</f>
        <v>0</v>
      </c>
      <c r="T95" s="148" t="n">
        <f aca="false">VALUE(IF($D95="táb",$C95,0))+VALUE(IF($H95="táb",$G95,0))</f>
        <v>0</v>
      </c>
      <c r="U95" s="148" t="n">
        <f aca="false">VALUE(IF($D95="oma",$C95,0))+VALUE(IF($H95="oma",$G95,0))</f>
        <v>0</v>
      </c>
      <c r="V95" s="148" t="n">
        <f aca="false">VALUE(IF($D95="ces",$C95,0))+VALUE(IF($H95="ces",$G95,0))</f>
        <v>0</v>
      </c>
      <c r="W95" s="148" t="n">
        <f aca="false">VALUE(IF($D95="poš",$C95,0))+VALUE(IF($H95="poš",$G95,0))</f>
        <v>0</v>
      </c>
      <c r="X95" s="148" t="n">
        <f aca="false">VALUE(IF($D95="tel",$C95,0))+VALUE(IF($H95="tel",$G95,0))</f>
        <v>0</v>
      </c>
      <c r="Y95" s="148" t="n">
        <f aca="false">VALUE(IF($D95="dop",$C95,0))+VALUE(IF($H95="dop",$G95,0))</f>
        <v>0</v>
      </c>
      <c r="Z95" s="148" t="n">
        <f aca="false">VALUE(IF($D95="nák",$C95,0))+VALUE(IF($H95="nák",$G95,0))</f>
        <v>0</v>
      </c>
      <c r="AA95" s="148" t="n">
        <f aca="false">VALUE(IF($D95="náj",$C95,0))+VALUE(IF($H95="náj",$G95,0))</f>
        <v>0</v>
      </c>
      <c r="AB95" s="148" t="n">
        <f aca="false">VALUE(IF($D95="půj",$C95,0))+VALUE(IF($H95="půj",$G95,0))</f>
        <v>0</v>
      </c>
      <c r="AC95" s="148" t="n">
        <f aca="false">VALUE(IF($D95="vst",$C95,0))+VALUE(IF($H95="vst",$G95,0))</f>
        <v>0</v>
      </c>
      <c r="AD95" s="148" t="n">
        <f aca="false">VALUE(IF($D95="kop",$C95,0))+VALUE(IF($H95="kop",$G95,0))</f>
        <v>0</v>
      </c>
      <c r="AE95" s="148" t="n">
        <f aca="false">VALUE(IF($D95="osl",$C95,0))+VALUE(IF($H95="osl",$G95,0))</f>
        <v>0</v>
      </c>
      <c r="AF95" s="148" t="n">
        <f aca="false">VALUE(IF($D95="vra",$C95,0))+VALUE(IF($H95="vra",$G95,0))</f>
        <v>0</v>
      </c>
      <c r="AG95" s="148" t="n">
        <f aca="false">VALUE(IF($D95="zho",$C95,0))+VALUE(IF($H95="zho",$G95,0))</f>
        <v>0</v>
      </c>
      <c r="AH95" s="148" t="n">
        <f aca="false">VALUE(IF($D95="zbú",$C95,0))+VALUE(IF($H95="zbú",$G95,0))</f>
        <v>0</v>
      </c>
      <c r="AI95" s="148" t="n">
        <f aca="false">VALUE(IF($D95="pří",$C95,0))+VALUE(IF($H95="pří",$G95,0))</f>
        <v>0</v>
      </c>
      <c r="AJ95" s="148" t="n">
        <f aca="false">VALUE(IF($D95="dot",$C95,0))+VALUE(IF($H95="dot",$G95,0))</f>
        <v>0</v>
      </c>
      <c r="AK95" s="148" t="n">
        <f aca="false">VALUE(IF($D95="opř",$C95,0))+VALUE(IF($H95="opř",$G95,0))</f>
        <v>0</v>
      </c>
      <c r="AL95" s="148" t="n">
        <f aca="false">SUM(P95:AK95)</f>
        <v>0</v>
      </c>
      <c r="AN95" s="180" t="str">
        <f aca="false">CONCATENATE('Přehled akce'!$K$4," / ",'Přehled akce'!$K$5)</f>
        <v> / </v>
      </c>
      <c r="AO95" s="181" t="n">
        <f aca="false">IF('Příjmy a výdaje'!$G95="ano",'Příjmy a výdaje'!$B95,0)</f>
        <v>0</v>
      </c>
      <c r="AP95" s="182" t="n">
        <f aca="false">IF('Příjmy a výdaje'!$G95="ano",'Příjmy a výdaje'!$C95,0)</f>
        <v>0</v>
      </c>
      <c r="AQ95" s="183" t="n">
        <f aca="false">'Příjmy a výdaje'!$AP95</f>
        <v>0</v>
      </c>
    </row>
    <row r="96" customFormat="false" ht="12.75" hidden="false" customHeight="false" outlineLevel="0" collapsed="false">
      <c r="A96" s="169" t="n">
        <v>82</v>
      </c>
      <c r="B96" s="222"/>
      <c r="C96" s="185"/>
      <c r="D96" s="186"/>
      <c r="E96" s="193"/>
      <c r="F96" s="223"/>
      <c r="G96" s="224"/>
      <c r="H96" s="190"/>
      <c r="I96" s="246"/>
      <c r="J96" s="178" t="str">
        <f aca="false">IF(AL96=C96,IF(AL96=0,"-","ok"),"chyba")</f>
        <v>-</v>
      </c>
      <c r="K96" s="179"/>
      <c r="L96" s="179"/>
      <c r="M96" s="179"/>
      <c r="N96" s="179"/>
      <c r="P96" s="148" t="n">
        <f aca="false">VALUE(IF($D96="vyb",$C96,0))+VALUE(IF($H96="vyb",$G96,0))</f>
        <v>0</v>
      </c>
      <c r="Q96" s="148" t="n">
        <f aca="false">VALUE(IF($D96="mtv",$C96,0))+VALUE(IF($H96="mtv",$G96,0))</f>
        <v>0</v>
      </c>
      <c r="R96" s="148" t="n">
        <f aca="false">VALUE(IF($D96="mat",$C96,0))+VALUE(IF($H96="mat",$G96,0))</f>
        <v>0</v>
      </c>
      <c r="S96" s="148" t="n">
        <f aca="false">VALUE(IF($D96="pot",$C96,0))+VALUE(IF($H96="pot",$G96,0))</f>
        <v>0</v>
      </c>
      <c r="T96" s="148" t="n">
        <f aca="false">VALUE(IF($D96="táb",$C96,0))+VALUE(IF($H96="táb",$G96,0))</f>
        <v>0</v>
      </c>
      <c r="U96" s="148" t="n">
        <f aca="false">VALUE(IF($D96="oma",$C96,0))+VALUE(IF($H96="oma",$G96,0))</f>
        <v>0</v>
      </c>
      <c r="V96" s="148" t="n">
        <f aca="false">VALUE(IF($D96="ces",$C96,0))+VALUE(IF($H96="ces",$G96,0))</f>
        <v>0</v>
      </c>
      <c r="W96" s="148" t="n">
        <f aca="false">VALUE(IF($D96="poš",$C96,0))+VALUE(IF($H96="poš",$G96,0))</f>
        <v>0</v>
      </c>
      <c r="X96" s="148" t="n">
        <f aca="false">VALUE(IF($D96="tel",$C96,0))+VALUE(IF($H96="tel",$G96,0))</f>
        <v>0</v>
      </c>
      <c r="Y96" s="148" t="n">
        <f aca="false">VALUE(IF($D96="dop",$C96,0))+VALUE(IF($H96="dop",$G96,0))</f>
        <v>0</v>
      </c>
      <c r="Z96" s="148" t="n">
        <f aca="false">VALUE(IF($D96="nák",$C96,0))+VALUE(IF($H96="nák",$G96,0))</f>
        <v>0</v>
      </c>
      <c r="AA96" s="148" t="n">
        <f aca="false">VALUE(IF($D96="náj",$C96,0))+VALUE(IF($H96="náj",$G96,0))</f>
        <v>0</v>
      </c>
      <c r="AB96" s="148" t="n">
        <f aca="false">VALUE(IF($D96="půj",$C96,0))+VALUE(IF($H96="půj",$G96,0))</f>
        <v>0</v>
      </c>
      <c r="AC96" s="148" t="n">
        <f aca="false">VALUE(IF($D96="vst",$C96,0))+VALUE(IF($H96="vst",$G96,0))</f>
        <v>0</v>
      </c>
      <c r="AD96" s="148" t="n">
        <f aca="false">VALUE(IF($D96="kop",$C96,0))+VALUE(IF($H96="kop",$G96,0))</f>
        <v>0</v>
      </c>
      <c r="AE96" s="148" t="n">
        <f aca="false">VALUE(IF($D96="osl",$C96,0))+VALUE(IF($H96="osl",$G96,0))</f>
        <v>0</v>
      </c>
      <c r="AF96" s="148" t="n">
        <f aca="false">VALUE(IF($D96="vra",$C96,0))+VALUE(IF($H96="vra",$G96,0))</f>
        <v>0</v>
      </c>
      <c r="AG96" s="148" t="n">
        <f aca="false">VALUE(IF($D96="zho",$C96,0))+VALUE(IF($H96="zho",$G96,0))</f>
        <v>0</v>
      </c>
      <c r="AH96" s="148" t="n">
        <f aca="false">VALUE(IF($D96="zbú",$C96,0))+VALUE(IF($H96="zbú",$G96,0))</f>
        <v>0</v>
      </c>
      <c r="AI96" s="148" t="n">
        <f aca="false">VALUE(IF($D96="pří",$C96,0))+VALUE(IF($H96="pří",$G96,0))</f>
        <v>0</v>
      </c>
      <c r="AJ96" s="148" t="n">
        <f aca="false">VALUE(IF($D96="dot",$C96,0))+VALUE(IF($H96="dot",$G96,0))</f>
        <v>0</v>
      </c>
      <c r="AK96" s="148" t="n">
        <f aca="false">VALUE(IF($D96="opř",$C96,0))+VALUE(IF($H96="opř",$G96,0))</f>
        <v>0</v>
      </c>
      <c r="AL96" s="148" t="n">
        <f aca="false">SUM(P96:AK96)</f>
        <v>0</v>
      </c>
      <c r="AN96" s="180" t="str">
        <f aca="false">CONCATENATE('Přehled akce'!$K$4," / ",'Přehled akce'!$K$5)</f>
        <v> / </v>
      </c>
      <c r="AO96" s="181" t="n">
        <f aca="false">IF('Příjmy a výdaje'!$G96="ano",'Příjmy a výdaje'!$B96,0)</f>
        <v>0</v>
      </c>
      <c r="AP96" s="182" t="n">
        <f aca="false">IF('Příjmy a výdaje'!$G96="ano",'Příjmy a výdaje'!$C96,0)</f>
        <v>0</v>
      </c>
      <c r="AQ96" s="183" t="n">
        <f aca="false">'Příjmy a výdaje'!$AP96</f>
        <v>0</v>
      </c>
    </row>
    <row r="97" customFormat="false" ht="12.75" hidden="false" customHeight="false" outlineLevel="0" collapsed="false">
      <c r="A97" s="169" t="n">
        <v>83</v>
      </c>
      <c r="B97" s="222"/>
      <c r="C97" s="185"/>
      <c r="D97" s="186"/>
      <c r="E97" s="193"/>
      <c r="F97" s="223"/>
      <c r="G97" s="224"/>
      <c r="H97" s="190"/>
      <c r="I97" s="249"/>
      <c r="J97" s="178" t="str">
        <f aca="false">IF(AL97=C97,IF(AL97=0,"-","ok"),"chyba")</f>
        <v>-</v>
      </c>
      <c r="K97" s="179"/>
      <c r="L97" s="179"/>
      <c r="M97" s="179"/>
      <c r="N97" s="179"/>
      <c r="P97" s="148" t="n">
        <f aca="false">VALUE(IF($D97="vyb",$C97,0))+VALUE(IF($H97="vyb",$G97,0))</f>
        <v>0</v>
      </c>
      <c r="Q97" s="148" t="n">
        <f aca="false">VALUE(IF($D97="mtv",$C97,0))+VALUE(IF($H97="mtv",$G97,0))</f>
        <v>0</v>
      </c>
      <c r="R97" s="148" t="n">
        <f aca="false">VALUE(IF($D97="mat",$C97,0))+VALUE(IF($H97="mat",$G97,0))</f>
        <v>0</v>
      </c>
      <c r="S97" s="148" t="n">
        <f aca="false">VALUE(IF($D97="pot",$C97,0))+VALUE(IF($H97="pot",$G97,0))</f>
        <v>0</v>
      </c>
      <c r="T97" s="148" t="n">
        <f aca="false">VALUE(IF($D97="táb",$C97,0))+VALUE(IF($H97="táb",$G97,0))</f>
        <v>0</v>
      </c>
      <c r="U97" s="148" t="n">
        <f aca="false">VALUE(IF($D97="oma",$C97,0))+VALUE(IF($H97="oma",$G97,0))</f>
        <v>0</v>
      </c>
      <c r="V97" s="148" t="n">
        <f aca="false">VALUE(IF($D97="ces",$C97,0))+VALUE(IF($H97="ces",$G97,0))</f>
        <v>0</v>
      </c>
      <c r="W97" s="148" t="n">
        <f aca="false">VALUE(IF($D97="poš",$C97,0))+VALUE(IF($H97="poš",$G97,0))</f>
        <v>0</v>
      </c>
      <c r="X97" s="148" t="n">
        <f aca="false">VALUE(IF($D97="tel",$C97,0))+VALUE(IF($H97="tel",$G97,0))</f>
        <v>0</v>
      </c>
      <c r="Y97" s="148" t="n">
        <f aca="false">VALUE(IF($D97="dop",$C97,0))+VALUE(IF($H97="dop",$G97,0))</f>
        <v>0</v>
      </c>
      <c r="Z97" s="148" t="n">
        <f aca="false">VALUE(IF($D97="nák",$C97,0))+VALUE(IF($H97="nák",$G97,0))</f>
        <v>0</v>
      </c>
      <c r="AA97" s="148" t="n">
        <f aca="false">VALUE(IF($D97="náj",$C97,0))+VALUE(IF($H97="náj",$G97,0))</f>
        <v>0</v>
      </c>
      <c r="AB97" s="148" t="n">
        <f aca="false">VALUE(IF($D97="půj",$C97,0))+VALUE(IF($H97="půj",$G97,0))</f>
        <v>0</v>
      </c>
      <c r="AC97" s="148" t="n">
        <f aca="false">VALUE(IF($D97="vst",$C97,0))+VALUE(IF($H97="vst",$G97,0))</f>
        <v>0</v>
      </c>
      <c r="AD97" s="148" t="n">
        <f aca="false">VALUE(IF($D97="kop",$C97,0))+VALUE(IF($H97="kop",$G97,0))</f>
        <v>0</v>
      </c>
      <c r="AE97" s="148" t="n">
        <f aca="false">VALUE(IF($D97="osl",$C97,0))+VALUE(IF($H97="osl",$G97,0))</f>
        <v>0</v>
      </c>
      <c r="AF97" s="148" t="n">
        <f aca="false">VALUE(IF($D97="vra",$C97,0))+VALUE(IF($H97="vra",$G97,0))</f>
        <v>0</v>
      </c>
      <c r="AG97" s="148" t="n">
        <f aca="false">VALUE(IF($D97="zho",$C97,0))+VALUE(IF($H97="zho",$G97,0))</f>
        <v>0</v>
      </c>
      <c r="AH97" s="148" t="n">
        <f aca="false">VALUE(IF($D97="zbú",$C97,0))+VALUE(IF($H97="zbú",$G97,0))</f>
        <v>0</v>
      </c>
      <c r="AI97" s="148" t="n">
        <f aca="false">VALUE(IF($D97="pří",$C97,0))+VALUE(IF($H97="pří",$G97,0))</f>
        <v>0</v>
      </c>
      <c r="AJ97" s="148" t="n">
        <f aca="false">VALUE(IF($D97="dot",$C97,0))+VALUE(IF($H97="dot",$G97,0))</f>
        <v>0</v>
      </c>
      <c r="AK97" s="148" t="n">
        <f aca="false">VALUE(IF($D97="opř",$C97,0))+VALUE(IF($H97="opř",$G97,0))</f>
        <v>0</v>
      </c>
      <c r="AL97" s="148" t="n">
        <f aca="false">SUM(P97:AK97)</f>
        <v>0</v>
      </c>
      <c r="AN97" s="180" t="str">
        <f aca="false">CONCATENATE('Přehled akce'!$K$4," / ",'Přehled akce'!$K$5)</f>
        <v> / </v>
      </c>
      <c r="AO97" s="181" t="n">
        <f aca="false">IF('Příjmy a výdaje'!$G97="ano",'Příjmy a výdaje'!$B97,0)</f>
        <v>0</v>
      </c>
      <c r="AP97" s="182" t="n">
        <f aca="false">IF('Příjmy a výdaje'!$G97="ano",'Příjmy a výdaje'!$C97,0)</f>
        <v>0</v>
      </c>
      <c r="AQ97" s="183" t="n">
        <f aca="false">'Příjmy a výdaje'!$AP97</f>
        <v>0</v>
      </c>
    </row>
    <row r="98" customFormat="false" ht="12.75" hidden="false" customHeight="false" outlineLevel="0" collapsed="false">
      <c r="A98" s="169" t="n">
        <v>84</v>
      </c>
      <c r="B98" s="222"/>
      <c r="C98" s="185"/>
      <c r="D98" s="186"/>
      <c r="E98" s="193"/>
      <c r="F98" s="223"/>
      <c r="G98" s="224"/>
      <c r="H98" s="190"/>
      <c r="I98" s="249"/>
      <c r="J98" s="178" t="str">
        <f aca="false">IF(AL98=C98,IF(AL98=0,"-","ok"),"chyba")</f>
        <v>-</v>
      </c>
      <c r="K98" s="179"/>
      <c r="L98" s="179"/>
      <c r="M98" s="179"/>
      <c r="N98" s="179"/>
      <c r="P98" s="148" t="n">
        <f aca="false">VALUE(IF($D98="vyb",$C98,0))+VALUE(IF($H98="vyb",$G98,0))</f>
        <v>0</v>
      </c>
      <c r="Q98" s="148" t="n">
        <f aca="false">VALUE(IF($D98="mtv",$C98,0))+VALUE(IF($H98="mtv",$G98,0))</f>
        <v>0</v>
      </c>
      <c r="R98" s="148" t="n">
        <f aca="false">VALUE(IF($D98="mat",$C98,0))+VALUE(IF($H98="mat",$G98,0))</f>
        <v>0</v>
      </c>
      <c r="S98" s="148" t="n">
        <f aca="false">VALUE(IF($D98="pot",$C98,0))+VALUE(IF($H98="pot",$G98,0))</f>
        <v>0</v>
      </c>
      <c r="T98" s="148" t="n">
        <f aca="false">VALUE(IF($D98="táb",$C98,0))+VALUE(IF($H98="táb",$G98,0))</f>
        <v>0</v>
      </c>
      <c r="U98" s="148" t="n">
        <f aca="false">VALUE(IF($D98="oma",$C98,0))+VALUE(IF($H98="oma",$G98,0))</f>
        <v>0</v>
      </c>
      <c r="V98" s="148" t="n">
        <f aca="false">VALUE(IF($D98="ces",$C98,0))+VALUE(IF($H98="ces",$G98,0))</f>
        <v>0</v>
      </c>
      <c r="W98" s="148" t="n">
        <f aca="false">VALUE(IF($D98="poš",$C98,0))+VALUE(IF($H98="poš",$G98,0))</f>
        <v>0</v>
      </c>
      <c r="X98" s="148" t="n">
        <f aca="false">VALUE(IF($D98="tel",$C98,0))+VALUE(IF($H98="tel",$G98,0))</f>
        <v>0</v>
      </c>
      <c r="Y98" s="148" t="n">
        <f aca="false">VALUE(IF($D98="dop",$C98,0))+VALUE(IF($H98="dop",$G98,0))</f>
        <v>0</v>
      </c>
      <c r="Z98" s="148" t="n">
        <f aca="false">VALUE(IF($D98="nák",$C98,0))+VALUE(IF($H98="nák",$G98,0))</f>
        <v>0</v>
      </c>
      <c r="AA98" s="148" t="n">
        <f aca="false">VALUE(IF($D98="náj",$C98,0))+VALUE(IF($H98="náj",$G98,0))</f>
        <v>0</v>
      </c>
      <c r="AB98" s="148" t="n">
        <f aca="false">VALUE(IF($D98="půj",$C98,0))+VALUE(IF($H98="půj",$G98,0))</f>
        <v>0</v>
      </c>
      <c r="AC98" s="148" t="n">
        <f aca="false">VALUE(IF($D98="vst",$C98,0))+VALUE(IF($H98="vst",$G98,0))</f>
        <v>0</v>
      </c>
      <c r="AD98" s="148" t="n">
        <f aca="false">VALUE(IF($D98="kop",$C98,0))+VALUE(IF($H98="kop",$G98,0))</f>
        <v>0</v>
      </c>
      <c r="AE98" s="148" t="n">
        <f aca="false">VALUE(IF($D98="osl",$C98,0))+VALUE(IF($H98="osl",$G98,0))</f>
        <v>0</v>
      </c>
      <c r="AF98" s="148" t="n">
        <f aca="false">VALUE(IF($D98="vra",$C98,0))+VALUE(IF($H98="vra",$G98,0))</f>
        <v>0</v>
      </c>
      <c r="AG98" s="148" t="n">
        <f aca="false">VALUE(IF($D98="zho",$C98,0))+VALUE(IF($H98="zho",$G98,0))</f>
        <v>0</v>
      </c>
      <c r="AH98" s="148" t="n">
        <f aca="false">VALUE(IF($D98="zbú",$C98,0))+VALUE(IF($H98="zbú",$G98,0))</f>
        <v>0</v>
      </c>
      <c r="AI98" s="148" t="n">
        <f aca="false">VALUE(IF($D98="pří",$C98,0))+VALUE(IF($H98="pří",$G98,0))</f>
        <v>0</v>
      </c>
      <c r="AJ98" s="148" t="n">
        <f aca="false">VALUE(IF($D98="dot",$C98,0))+VALUE(IF($H98="dot",$G98,0))</f>
        <v>0</v>
      </c>
      <c r="AK98" s="148" t="n">
        <f aca="false">VALUE(IF($D98="opř",$C98,0))+VALUE(IF($H98="opř",$G98,0))</f>
        <v>0</v>
      </c>
      <c r="AL98" s="148" t="n">
        <f aca="false">SUM(P98:AK98)</f>
        <v>0</v>
      </c>
      <c r="AN98" s="180" t="str">
        <f aca="false">CONCATENATE('Přehled akce'!$K$4," / ",'Přehled akce'!$K$5)</f>
        <v> / </v>
      </c>
      <c r="AO98" s="181" t="n">
        <f aca="false">IF('Příjmy a výdaje'!$G98="ano",'Příjmy a výdaje'!$B98,0)</f>
        <v>0</v>
      </c>
      <c r="AP98" s="182" t="n">
        <f aca="false">IF('Příjmy a výdaje'!$G98="ano",'Příjmy a výdaje'!$C98,0)</f>
        <v>0</v>
      </c>
      <c r="AQ98" s="183" t="n">
        <f aca="false">'Příjmy a výdaje'!$AP98</f>
        <v>0</v>
      </c>
    </row>
    <row r="99" customFormat="false" ht="12.75" hidden="false" customHeight="false" outlineLevel="0" collapsed="false">
      <c r="A99" s="169" t="n">
        <v>85</v>
      </c>
      <c r="B99" s="222"/>
      <c r="C99" s="185"/>
      <c r="D99" s="186"/>
      <c r="E99" s="193"/>
      <c r="F99" s="223"/>
      <c r="G99" s="224"/>
      <c r="H99" s="190"/>
      <c r="I99" s="249"/>
      <c r="J99" s="178" t="str">
        <f aca="false">IF(AL99=C99,IF(AL99=0,"-","ok"),"chyba")</f>
        <v>-</v>
      </c>
      <c r="K99" s="179"/>
      <c r="L99" s="179"/>
      <c r="M99" s="179"/>
      <c r="N99" s="179"/>
      <c r="P99" s="148" t="n">
        <f aca="false">VALUE(IF($D99="vyb",$C99,0))+VALUE(IF($H99="vyb",$G99,0))</f>
        <v>0</v>
      </c>
      <c r="Q99" s="148" t="n">
        <f aca="false">VALUE(IF($D99="mtv",$C99,0))+VALUE(IF($H99="mtv",$G99,0))</f>
        <v>0</v>
      </c>
      <c r="R99" s="148" t="n">
        <f aca="false">VALUE(IF($D99="mat",$C99,0))+VALUE(IF($H99="mat",$G99,0))</f>
        <v>0</v>
      </c>
      <c r="S99" s="148" t="n">
        <f aca="false">VALUE(IF($D99="pot",$C99,0))+VALUE(IF($H99="pot",$G99,0))</f>
        <v>0</v>
      </c>
      <c r="T99" s="148" t="n">
        <f aca="false">VALUE(IF($D99="táb",$C99,0))+VALUE(IF($H99="táb",$G99,0))</f>
        <v>0</v>
      </c>
      <c r="U99" s="148" t="n">
        <f aca="false">VALUE(IF($D99="oma",$C99,0))+VALUE(IF($H99="oma",$G99,0))</f>
        <v>0</v>
      </c>
      <c r="V99" s="148" t="n">
        <f aca="false">VALUE(IF($D99="ces",$C99,0))+VALUE(IF($H99="ces",$G99,0))</f>
        <v>0</v>
      </c>
      <c r="W99" s="148" t="n">
        <f aca="false">VALUE(IF($D99="poš",$C99,0))+VALUE(IF($H99="poš",$G99,0))</f>
        <v>0</v>
      </c>
      <c r="X99" s="148" t="n">
        <f aca="false">VALUE(IF($D99="tel",$C99,0))+VALUE(IF($H99="tel",$G99,0))</f>
        <v>0</v>
      </c>
      <c r="Y99" s="148" t="n">
        <f aca="false">VALUE(IF($D99="dop",$C99,0))+VALUE(IF($H99="dop",$G99,0))</f>
        <v>0</v>
      </c>
      <c r="Z99" s="148" t="n">
        <f aca="false">VALUE(IF($D99="nák",$C99,0))+VALUE(IF($H99="nák",$G99,0))</f>
        <v>0</v>
      </c>
      <c r="AA99" s="148" t="n">
        <f aca="false">VALUE(IF($D99="náj",$C99,0))+VALUE(IF($H99="náj",$G99,0))</f>
        <v>0</v>
      </c>
      <c r="AB99" s="148" t="n">
        <f aca="false">VALUE(IF($D99="půj",$C99,0))+VALUE(IF($H99="půj",$G99,0))</f>
        <v>0</v>
      </c>
      <c r="AC99" s="148" t="n">
        <f aca="false">VALUE(IF($D99="vst",$C99,0))+VALUE(IF($H99="vst",$G99,0))</f>
        <v>0</v>
      </c>
      <c r="AD99" s="148" t="n">
        <f aca="false">VALUE(IF($D99="kop",$C99,0))+VALUE(IF($H99="kop",$G99,0))</f>
        <v>0</v>
      </c>
      <c r="AE99" s="148" t="n">
        <f aca="false">VALUE(IF($D99="osl",$C99,0))+VALUE(IF($H99="osl",$G99,0))</f>
        <v>0</v>
      </c>
      <c r="AF99" s="148" t="n">
        <f aca="false">VALUE(IF($D99="vra",$C99,0))+VALUE(IF($H99="vra",$G99,0))</f>
        <v>0</v>
      </c>
      <c r="AG99" s="148" t="n">
        <f aca="false">VALUE(IF($D99="zho",$C99,0))+VALUE(IF($H99="zho",$G99,0))</f>
        <v>0</v>
      </c>
      <c r="AH99" s="148" t="n">
        <f aca="false">VALUE(IF($D99="zbú",$C99,0))+VALUE(IF($H99="zbú",$G99,0))</f>
        <v>0</v>
      </c>
      <c r="AI99" s="148" t="n">
        <f aca="false">VALUE(IF($D99="pří",$C99,0))+VALUE(IF($H99="pří",$G99,0))</f>
        <v>0</v>
      </c>
      <c r="AJ99" s="148" t="n">
        <f aca="false">VALUE(IF($D99="dot",$C99,0))+VALUE(IF($H99="dot",$G99,0))</f>
        <v>0</v>
      </c>
      <c r="AK99" s="148" t="n">
        <f aca="false">VALUE(IF($D99="opř",$C99,0))+VALUE(IF($H99="opř",$G99,0))</f>
        <v>0</v>
      </c>
      <c r="AL99" s="148" t="n">
        <f aca="false">SUM(P99:AK99)</f>
        <v>0</v>
      </c>
      <c r="AN99" s="180" t="str">
        <f aca="false">CONCATENATE('Přehled akce'!$K$4," / ",'Přehled akce'!$K$5)</f>
        <v> / </v>
      </c>
      <c r="AO99" s="181" t="n">
        <f aca="false">IF('Příjmy a výdaje'!$G99="ano",'Příjmy a výdaje'!$B99,0)</f>
        <v>0</v>
      </c>
      <c r="AP99" s="182" t="n">
        <f aca="false">IF('Příjmy a výdaje'!$G99="ano",'Příjmy a výdaje'!$C99,0)</f>
        <v>0</v>
      </c>
      <c r="AQ99" s="183" t="n">
        <f aca="false">'Příjmy a výdaje'!$AP99</f>
        <v>0</v>
      </c>
    </row>
    <row r="100" customFormat="false" ht="12.75" hidden="false" customHeight="false" outlineLevel="0" collapsed="false">
      <c r="A100" s="169" t="n">
        <v>86</v>
      </c>
      <c r="B100" s="222"/>
      <c r="C100" s="185"/>
      <c r="D100" s="186"/>
      <c r="E100" s="193"/>
      <c r="F100" s="223"/>
      <c r="G100" s="224"/>
      <c r="H100" s="190"/>
      <c r="I100" s="249"/>
      <c r="J100" s="178" t="str">
        <f aca="false">IF(AL100=C100,IF(AL100=0,"-","ok"),"chyba")</f>
        <v>-</v>
      </c>
      <c r="K100" s="179"/>
      <c r="L100" s="179"/>
      <c r="M100" s="179"/>
      <c r="N100" s="179"/>
      <c r="P100" s="148" t="n">
        <f aca="false">VALUE(IF($D100="vyb",$C100,0))+VALUE(IF($H100="vyb",$G100,0))</f>
        <v>0</v>
      </c>
      <c r="Q100" s="148" t="n">
        <f aca="false">VALUE(IF($D100="mtv",$C100,0))+VALUE(IF($H100="mtv",$G100,0))</f>
        <v>0</v>
      </c>
      <c r="R100" s="148" t="n">
        <f aca="false">VALUE(IF($D100="mat",$C100,0))+VALUE(IF($H100="mat",$G100,0))</f>
        <v>0</v>
      </c>
      <c r="S100" s="148" t="n">
        <f aca="false">VALUE(IF($D100="pot",$C100,0))+VALUE(IF($H100="pot",$G100,0))</f>
        <v>0</v>
      </c>
      <c r="T100" s="148" t="n">
        <f aca="false">VALUE(IF($D100="táb",$C100,0))+VALUE(IF($H100="táb",$G100,0))</f>
        <v>0</v>
      </c>
      <c r="U100" s="148" t="n">
        <f aca="false">VALUE(IF($D100="oma",$C100,0))+VALUE(IF($H100="oma",$G100,0))</f>
        <v>0</v>
      </c>
      <c r="V100" s="148" t="n">
        <f aca="false">VALUE(IF($D100="ces",$C100,0))+VALUE(IF($H100="ces",$G100,0))</f>
        <v>0</v>
      </c>
      <c r="W100" s="148" t="n">
        <f aca="false">VALUE(IF($D100="poš",$C100,0))+VALUE(IF($H100="poš",$G100,0))</f>
        <v>0</v>
      </c>
      <c r="X100" s="148" t="n">
        <f aca="false">VALUE(IF($D100="tel",$C100,0))+VALUE(IF($H100="tel",$G100,0))</f>
        <v>0</v>
      </c>
      <c r="Y100" s="148" t="n">
        <f aca="false">VALUE(IF($D100="dop",$C100,0))+VALUE(IF($H100="dop",$G100,0))</f>
        <v>0</v>
      </c>
      <c r="Z100" s="148" t="n">
        <f aca="false">VALUE(IF($D100="nák",$C100,0))+VALUE(IF($H100="nák",$G100,0))</f>
        <v>0</v>
      </c>
      <c r="AA100" s="148" t="n">
        <f aca="false">VALUE(IF($D100="náj",$C100,0))+VALUE(IF($H100="náj",$G100,0))</f>
        <v>0</v>
      </c>
      <c r="AB100" s="148" t="n">
        <f aca="false">VALUE(IF($D100="půj",$C100,0))+VALUE(IF($H100="půj",$G100,0))</f>
        <v>0</v>
      </c>
      <c r="AC100" s="148" t="n">
        <f aca="false">VALUE(IF($D100="vst",$C100,0))+VALUE(IF($H100="vst",$G100,0))</f>
        <v>0</v>
      </c>
      <c r="AD100" s="148" t="n">
        <f aca="false">VALUE(IF($D100="kop",$C100,0))+VALUE(IF($H100="kop",$G100,0))</f>
        <v>0</v>
      </c>
      <c r="AE100" s="148" t="n">
        <f aca="false">VALUE(IF($D100="osl",$C100,0))+VALUE(IF($H100="osl",$G100,0))</f>
        <v>0</v>
      </c>
      <c r="AF100" s="148" t="n">
        <f aca="false">VALUE(IF($D100="vra",$C100,0))+VALUE(IF($H100="vra",$G100,0))</f>
        <v>0</v>
      </c>
      <c r="AG100" s="148" t="n">
        <f aca="false">VALUE(IF($D100="zho",$C100,0))+VALUE(IF($H100="zho",$G100,0))</f>
        <v>0</v>
      </c>
      <c r="AH100" s="148" t="n">
        <f aca="false">VALUE(IF($D100="zbú",$C100,0))+VALUE(IF($H100="zbú",$G100,0))</f>
        <v>0</v>
      </c>
      <c r="AI100" s="148" t="n">
        <f aca="false">VALUE(IF($D100="pří",$C100,0))+VALUE(IF($H100="pří",$G100,0))</f>
        <v>0</v>
      </c>
      <c r="AJ100" s="148" t="n">
        <f aca="false">VALUE(IF($D100="dot",$C100,0))+VALUE(IF($H100="dot",$G100,0))</f>
        <v>0</v>
      </c>
      <c r="AK100" s="148" t="n">
        <f aca="false">VALUE(IF($D100="opř",$C100,0))+VALUE(IF($H100="opř",$G100,0))</f>
        <v>0</v>
      </c>
      <c r="AL100" s="148" t="n">
        <f aca="false">SUM(P100:AK100)</f>
        <v>0</v>
      </c>
      <c r="AN100" s="180" t="str">
        <f aca="false">CONCATENATE('Přehled akce'!$K$4," / ",'Přehled akce'!$K$5)</f>
        <v> / </v>
      </c>
      <c r="AO100" s="181" t="n">
        <f aca="false">IF('Příjmy a výdaje'!$G100="ano",'Příjmy a výdaje'!$B100,0)</f>
        <v>0</v>
      </c>
      <c r="AP100" s="182" t="n">
        <f aca="false">IF('Příjmy a výdaje'!$G100="ano",'Příjmy a výdaje'!$C100,0)</f>
        <v>0</v>
      </c>
      <c r="AQ100" s="183" t="n">
        <f aca="false">'Příjmy a výdaje'!$AP100</f>
        <v>0</v>
      </c>
    </row>
    <row r="101" customFormat="false" ht="12.75" hidden="false" customHeight="false" outlineLevel="0" collapsed="false">
      <c r="A101" s="169" t="n">
        <v>87</v>
      </c>
      <c r="B101" s="222"/>
      <c r="C101" s="185"/>
      <c r="D101" s="186"/>
      <c r="E101" s="193"/>
      <c r="F101" s="223"/>
      <c r="G101" s="224"/>
      <c r="H101" s="190"/>
      <c r="I101" s="249"/>
      <c r="J101" s="178" t="str">
        <f aca="false">IF(AL101=C101,IF(AL101=0,"-","ok"),"chyba")</f>
        <v>-</v>
      </c>
      <c r="K101" s="179"/>
      <c r="L101" s="179"/>
      <c r="M101" s="179"/>
      <c r="N101" s="179"/>
      <c r="P101" s="148" t="n">
        <f aca="false">VALUE(IF($D101="vyb",$C101,0))+VALUE(IF($H101="vyb",$G101,0))</f>
        <v>0</v>
      </c>
      <c r="Q101" s="148" t="n">
        <f aca="false">VALUE(IF($D101="mtv",$C101,0))+VALUE(IF($H101="mtv",$G101,0))</f>
        <v>0</v>
      </c>
      <c r="R101" s="148" t="n">
        <f aca="false">VALUE(IF($D101="mat",$C101,0))+VALUE(IF($H101="mat",$G101,0))</f>
        <v>0</v>
      </c>
      <c r="S101" s="148" t="n">
        <f aca="false">VALUE(IF($D101="pot",$C101,0))+VALUE(IF($H101="pot",$G101,0))</f>
        <v>0</v>
      </c>
      <c r="T101" s="148" t="n">
        <f aca="false">VALUE(IF($D101="táb",$C101,0))+VALUE(IF($H101="táb",$G101,0))</f>
        <v>0</v>
      </c>
      <c r="U101" s="148" t="n">
        <f aca="false">VALUE(IF($D101="oma",$C101,0))+VALUE(IF($H101="oma",$G101,0))</f>
        <v>0</v>
      </c>
      <c r="V101" s="148" t="n">
        <f aca="false">VALUE(IF($D101="ces",$C101,0))+VALUE(IF($H101="ces",$G101,0))</f>
        <v>0</v>
      </c>
      <c r="W101" s="148" t="n">
        <f aca="false">VALUE(IF($D101="poš",$C101,0))+VALUE(IF($H101="poš",$G101,0))</f>
        <v>0</v>
      </c>
      <c r="X101" s="148" t="n">
        <f aca="false">VALUE(IF($D101="tel",$C101,0))+VALUE(IF($H101="tel",$G101,0))</f>
        <v>0</v>
      </c>
      <c r="Y101" s="148" t="n">
        <f aca="false">VALUE(IF($D101="dop",$C101,0))+VALUE(IF($H101="dop",$G101,0))</f>
        <v>0</v>
      </c>
      <c r="Z101" s="148" t="n">
        <f aca="false">VALUE(IF($D101="nák",$C101,0))+VALUE(IF($H101="nák",$G101,0))</f>
        <v>0</v>
      </c>
      <c r="AA101" s="148" t="n">
        <f aca="false">VALUE(IF($D101="náj",$C101,0))+VALUE(IF($H101="náj",$G101,0))</f>
        <v>0</v>
      </c>
      <c r="AB101" s="148" t="n">
        <f aca="false">VALUE(IF($D101="půj",$C101,0))+VALUE(IF($H101="půj",$G101,0))</f>
        <v>0</v>
      </c>
      <c r="AC101" s="148" t="n">
        <f aca="false">VALUE(IF($D101="vst",$C101,0))+VALUE(IF($H101="vst",$G101,0))</f>
        <v>0</v>
      </c>
      <c r="AD101" s="148" t="n">
        <f aca="false">VALUE(IF($D101="kop",$C101,0))+VALUE(IF($H101="kop",$G101,0))</f>
        <v>0</v>
      </c>
      <c r="AE101" s="148" t="n">
        <f aca="false">VALUE(IF($D101="osl",$C101,0))+VALUE(IF($H101="osl",$G101,0))</f>
        <v>0</v>
      </c>
      <c r="AF101" s="148" t="n">
        <f aca="false">VALUE(IF($D101="vra",$C101,0))+VALUE(IF($H101="vra",$G101,0))</f>
        <v>0</v>
      </c>
      <c r="AG101" s="148" t="n">
        <f aca="false">VALUE(IF($D101="zho",$C101,0))+VALUE(IF($H101="zho",$G101,0))</f>
        <v>0</v>
      </c>
      <c r="AH101" s="148" t="n">
        <f aca="false">VALUE(IF($D101="zbú",$C101,0))+VALUE(IF($H101="zbú",$G101,0))</f>
        <v>0</v>
      </c>
      <c r="AI101" s="148" t="n">
        <f aca="false">VALUE(IF($D101="pří",$C101,0))+VALUE(IF($H101="pří",$G101,0))</f>
        <v>0</v>
      </c>
      <c r="AJ101" s="148" t="n">
        <f aca="false">VALUE(IF($D101="dot",$C101,0))+VALUE(IF($H101="dot",$G101,0))</f>
        <v>0</v>
      </c>
      <c r="AK101" s="148" t="n">
        <f aca="false">VALUE(IF($D101="opř",$C101,0))+VALUE(IF($H101="opř",$G101,0))</f>
        <v>0</v>
      </c>
      <c r="AL101" s="148" t="n">
        <f aca="false">SUM(P101:AK101)</f>
        <v>0</v>
      </c>
      <c r="AN101" s="180" t="str">
        <f aca="false">CONCATENATE('Přehled akce'!$K$4," / ",'Přehled akce'!$K$5)</f>
        <v> / </v>
      </c>
      <c r="AO101" s="181" t="n">
        <f aca="false">IF('Příjmy a výdaje'!$G101="ano",'Příjmy a výdaje'!$B101,0)</f>
        <v>0</v>
      </c>
      <c r="AP101" s="182" t="n">
        <f aca="false">IF('Příjmy a výdaje'!$G101="ano",'Příjmy a výdaje'!$C101,0)</f>
        <v>0</v>
      </c>
      <c r="AQ101" s="183" t="n">
        <f aca="false">'Příjmy a výdaje'!$AP101</f>
        <v>0</v>
      </c>
    </row>
    <row r="102" customFormat="false" ht="12.75" hidden="false" customHeight="false" outlineLevel="0" collapsed="false">
      <c r="A102" s="169" t="n">
        <v>88</v>
      </c>
      <c r="B102" s="184"/>
      <c r="C102" s="194"/>
      <c r="D102" s="186"/>
      <c r="E102" s="193"/>
      <c r="F102" s="223"/>
      <c r="G102" s="224"/>
      <c r="H102" s="190"/>
      <c r="I102" s="249"/>
      <c r="J102" s="178" t="str">
        <f aca="false">IF(AL102=C102,IF(AL102=0,"-","ok"),"chyba")</f>
        <v>-</v>
      </c>
      <c r="K102" s="179"/>
      <c r="L102" s="179"/>
      <c r="M102" s="179"/>
      <c r="N102" s="179"/>
      <c r="P102" s="148" t="n">
        <f aca="false">VALUE(IF($D102="vyb",$C102,0))+VALUE(IF($H102="vyb",$G102,0))</f>
        <v>0</v>
      </c>
      <c r="Q102" s="148" t="n">
        <f aca="false">VALUE(IF($D102="mtv",$C102,0))+VALUE(IF($H102="mtv",$G102,0))</f>
        <v>0</v>
      </c>
      <c r="R102" s="148" t="n">
        <f aca="false">VALUE(IF($D102="mat",$C102,0))+VALUE(IF($H102="mat",$G102,0))</f>
        <v>0</v>
      </c>
      <c r="S102" s="148" t="n">
        <f aca="false">VALUE(IF($D102="pot",$C102,0))+VALUE(IF($H102="pot",$G102,0))</f>
        <v>0</v>
      </c>
      <c r="T102" s="148" t="n">
        <f aca="false">VALUE(IF($D102="táb",$C102,0))+VALUE(IF($H102="táb",$G102,0))</f>
        <v>0</v>
      </c>
      <c r="U102" s="148" t="n">
        <f aca="false">VALUE(IF($D102="oma",$C102,0))+VALUE(IF($H102="oma",$G102,0))</f>
        <v>0</v>
      </c>
      <c r="V102" s="148" t="n">
        <f aca="false">VALUE(IF($D102="ces",$C102,0))+VALUE(IF($H102="ces",$G102,0))</f>
        <v>0</v>
      </c>
      <c r="W102" s="148" t="n">
        <f aca="false">VALUE(IF($D102="poš",$C102,0))+VALUE(IF($H102="poš",$G102,0))</f>
        <v>0</v>
      </c>
      <c r="X102" s="148" t="n">
        <f aca="false">VALUE(IF($D102="tel",$C102,0))+VALUE(IF($H102="tel",$G102,0))</f>
        <v>0</v>
      </c>
      <c r="Y102" s="148" t="n">
        <f aca="false">VALUE(IF($D102="dop",$C102,0))+VALUE(IF($H102="dop",$G102,0))</f>
        <v>0</v>
      </c>
      <c r="Z102" s="148" t="n">
        <f aca="false">VALUE(IF($D102="nák",$C102,0))+VALUE(IF($H102="nák",$G102,0))</f>
        <v>0</v>
      </c>
      <c r="AA102" s="148" t="n">
        <f aca="false">VALUE(IF($D102="náj",$C102,0))+VALUE(IF($H102="náj",$G102,0))</f>
        <v>0</v>
      </c>
      <c r="AB102" s="148" t="n">
        <f aca="false">VALUE(IF($D102="půj",$C102,0))+VALUE(IF($H102="půj",$G102,0))</f>
        <v>0</v>
      </c>
      <c r="AC102" s="148" t="n">
        <f aca="false">VALUE(IF($D102="vst",$C102,0))+VALUE(IF($H102="vst",$G102,0))</f>
        <v>0</v>
      </c>
      <c r="AD102" s="148" t="n">
        <f aca="false">VALUE(IF($D102="kop",$C102,0))+VALUE(IF($H102="kop",$G102,0))</f>
        <v>0</v>
      </c>
      <c r="AE102" s="148" t="n">
        <f aca="false">VALUE(IF($D102="osl",$C102,0))+VALUE(IF($H102="osl",$G102,0))</f>
        <v>0</v>
      </c>
      <c r="AF102" s="148" t="n">
        <f aca="false">VALUE(IF($D102="vra",$C102,0))+VALUE(IF($H102="vra",$G102,0))</f>
        <v>0</v>
      </c>
      <c r="AG102" s="148" t="n">
        <f aca="false">VALUE(IF($D102="zho",$C102,0))+VALUE(IF($H102="zho",$G102,0))</f>
        <v>0</v>
      </c>
      <c r="AH102" s="148" t="n">
        <f aca="false">VALUE(IF($D102="zbú",$C102,0))+VALUE(IF($H102="zbú",$G102,0))</f>
        <v>0</v>
      </c>
      <c r="AI102" s="148" t="n">
        <f aca="false">VALUE(IF($D102="pří",$C102,0))+VALUE(IF($H102="pří",$G102,0))</f>
        <v>0</v>
      </c>
      <c r="AJ102" s="148" t="n">
        <f aca="false">VALUE(IF($D102="dot",$C102,0))+VALUE(IF($H102="dot",$G102,0))</f>
        <v>0</v>
      </c>
      <c r="AK102" s="148" t="n">
        <f aca="false">VALUE(IF($D102="opř",$C102,0))+VALUE(IF($H102="opř",$G102,0))</f>
        <v>0</v>
      </c>
      <c r="AL102" s="148" t="n">
        <f aca="false">SUM(P102:AK102)</f>
        <v>0</v>
      </c>
      <c r="AN102" s="180" t="str">
        <f aca="false">CONCATENATE('Přehled akce'!$K$4," / ",'Přehled akce'!$K$5)</f>
        <v> / </v>
      </c>
      <c r="AO102" s="181" t="n">
        <f aca="false">IF('Příjmy a výdaje'!$G102="ano",'Příjmy a výdaje'!$B102,0)</f>
        <v>0</v>
      </c>
      <c r="AP102" s="182" t="n">
        <f aca="false">IF('Příjmy a výdaje'!$G102="ano",'Příjmy a výdaje'!$C102,0)</f>
        <v>0</v>
      </c>
      <c r="AQ102" s="183" t="n">
        <f aca="false">'Příjmy a výdaje'!$AP102</f>
        <v>0</v>
      </c>
    </row>
    <row r="103" customFormat="false" ht="12.75" hidden="false" customHeight="false" outlineLevel="0" collapsed="false">
      <c r="A103" s="169" t="n">
        <v>89</v>
      </c>
      <c r="B103" s="184"/>
      <c r="C103" s="194"/>
      <c r="D103" s="186"/>
      <c r="E103" s="188"/>
      <c r="F103" s="223"/>
      <c r="G103" s="224"/>
      <c r="H103" s="190"/>
      <c r="I103" s="249"/>
      <c r="J103" s="178" t="str">
        <f aca="false">IF(AL103=C103,IF(AL103=0,"-","ok"),"chyba")</f>
        <v>-</v>
      </c>
      <c r="K103" s="179"/>
      <c r="L103" s="179"/>
      <c r="M103" s="179"/>
      <c r="N103" s="179"/>
      <c r="P103" s="148" t="n">
        <f aca="false">VALUE(IF($D103="vyb",$C103,0))+VALUE(IF($H103="vyb",$G103,0))</f>
        <v>0</v>
      </c>
      <c r="Q103" s="148" t="n">
        <f aca="false">VALUE(IF($D103="mtv",$C103,0))+VALUE(IF($H103="mtv",$G103,0))</f>
        <v>0</v>
      </c>
      <c r="R103" s="148" t="n">
        <f aca="false">VALUE(IF($D103="mat",$C103,0))+VALUE(IF($H103="mat",$G103,0))</f>
        <v>0</v>
      </c>
      <c r="S103" s="148" t="n">
        <f aca="false">VALUE(IF($D103="pot",$C103,0))+VALUE(IF($H103="pot",$G103,0))</f>
        <v>0</v>
      </c>
      <c r="T103" s="148" t="n">
        <f aca="false">VALUE(IF($D103="táb",$C103,0))+VALUE(IF($H103="táb",$G103,0))</f>
        <v>0</v>
      </c>
      <c r="U103" s="148" t="n">
        <f aca="false">VALUE(IF($D103="oma",$C103,0))+VALUE(IF($H103="oma",$G103,0))</f>
        <v>0</v>
      </c>
      <c r="V103" s="148" t="n">
        <f aca="false">VALUE(IF($D103="ces",$C103,0))+VALUE(IF($H103="ces",$G103,0))</f>
        <v>0</v>
      </c>
      <c r="W103" s="148" t="n">
        <f aca="false">VALUE(IF($D103="poš",$C103,0))+VALUE(IF($H103="poš",$G103,0))</f>
        <v>0</v>
      </c>
      <c r="X103" s="148" t="n">
        <f aca="false">VALUE(IF($D103="tel",$C103,0))+VALUE(IF($H103="tel",$G103,0))</f>
        <v>0</v>
      </c>
      <c r="Y103" s="148" t="n">
        <f aca="false">VALUE(IF($D103="dop",$C103,0))+VALUE(IF($H103="dop",$G103,0))</f>
        <v>0</v>
      </c>
      <c r="Z103" s="148" t="n">
        <f aca="false">VALUE(IF($D103="nák",$C103,0))+VALUE(IF($H103="nák",$G103,0))</f>
        <v>0</v>
      </c>
      <c r="AA103" s="148" t="n">
        <f aca="false">VALUE(IF($D103="náj",$C103,0))+VALUE(IF($H103="náj",$G103,0))</f>
        <v>0</v>
      </c>
      <c r="AB103" s="148" t="n">
        <f aca="false">VALUE(IF($D103="půj",$C103,0))+VALUE(IF($H103="půj",$G103,0))</f>
        <v>0</v>
      </c>
      <c r="AC103" s="148" t="n">
        <f aca="false">VALUE(IF($D103="vst",$C103,0))+VALUE(IF($H103="vst",$G103,0))</f>
        <v>0</v>
      </c>
      <c r="AD103" s="148" t="n">
        <f aca="false">VALUE(IF($D103="kop",$C103,0))+VALUE(IF($H103="kop",$G103,0))</f>
        <v>0</v>
      </c>
      <c r="AE103" s="148" t="n">
        <f aca="false">VALUE(IF($D103="osl",$C103,0))+VALUE(IF($H103="osl",$G103,0))</f>
        <v>0</v>
      </c>
      <c r="AF103" s="148" t="n">
        <f aca="false">VALUE(IF($D103="vra",$C103,0))+VALUE(IF($H103="vra",$G103,0))</f>
        <v>0</v>
      </c>
      <c r="AG103" s="148" t="n">
        <f aca="false">VALUE(IF($D103="zho",$C103,0))+VALUE(IF($H103="zho",$G103,0))</f>
        <v>0</v>
      </c>
      <c r="AH103" s="148" t="n">
        <f aca="false">VALUE(IF($D103="zbú",$C103,0))+VALUE(IF($H103="zbú",$G103,0))</f>
        <v>0</v>
      </c>
      <c r="AI103" s="148" t="n">
        <f aca="false">VALUE(IF($D103="pří",$C103,0))+VALUE(IF($H103="pří",$G103,0))</f>
        <v>0</v>
      </c>
      <c r="AJ103" s="148" t="n">
        <f aca="false">VALUE(IF($D103="dot",$C103,0))+VALUE(IF($H103="dot",$G103,0))</f>
        <v>0</v>
      </c>
      <c r="AK103" s="148" t="n">
        <f aca="false">VALUE(IF($D103="opř",$C103,0))+VALUE(IF($H103="opř",$G103,0))</f>
        <v>0</v>
      </c>
      <c r="AL103" s="148" t="n">
        <f aca="false">SUM(P103:AK103)</f>
        <v>0</v>
      </c>
      <c r="AN103" s="180" t="str">
        <f aca="false">CONCATENATE('Přehled akce'!$K$4," / ",'Přehled akce'!$K$5)</f>
        <v> / </v>
      </c>
      <c r="AO103" s="181" t="n">
        <f aca="false">IF('Příjmy a výdaje'!$G103="ano",'Příjmy a výdaje'!$B103,0)</f>
        <v>0</v>
      </c>
      <c r="AP103" s="182" t="n">
        <f aca="false">IF('Příjmy a výdaje'!$G103="ano",'Příjmy a výdaje'!$C103,0)</f>
        <v>0</v>
      </c>
      <c r="AQ103" s="183" t="n">
        <f aca="false">'Příjmy a výdaje'!$AP103</f>
        <v>0</v>
      </c>
    </row>
    <row r="104" customFormat="false" ht="12.75" hidden="false" customHeight="false" outlineLevel="0" collapsed="false">
      <c r="A104" s="169" t="n">
        <v>90</v>
      </c>
      <c r="B104" s="184"/>
      <c r="C104" s="194"/>
      <c r="D104" s="186"/>
      <c r="E104" s="188"/>
      <c r="F104" s="223"/>
      <c r="G104" s="224"/>
      <c r="H104" s="190"/>
      <c r="I104" s="249"/>
      <c r="J104" s="178" t="str">
        <f aca="false">IF(AL104=C104,IF(AL104=0,"-","ok"),"chyba")</f>
        <v>-</v>
      </c>
      <c r="K104" s="179"/>
      <c r="L104" s="179"/>
      <c r="M104" s="179"/>
      <c r="N104" s="179"/>
      <c r="P104" s="148" t="n">
        <f aca="false">VALUE(IF($D104="vyb",$C104,0))+VALUE(IF($H104="vyb",$G104,0))</f>
        <v>0</v>
      </c>
      <c r="Q104" s="148" t="n">
        <f aca="false">VALUE(IF($D104="mtv",$C104,0))+VALUE(IF($H104="mtv",$G104,0))</f>
        <v>0</v>
      </c>
      <c r="R104" s="148" t="n">
        <f aca="false">VALUE(IF($D104="mat",$C104,0))+VALUE(IF($H104="mat",$G104,0))</f>
        <v>0</v>
      </c>
      <c r="S104" s="148" t="n">
        <f aca="false">VALUE(IF($D104="pot",$C104,0))+VALUE(IF($H104="pot",$G104,0))</f>
        <v>0</v>
      </c>
      <c r="T104" s="148" t="n">
        <f aca="false">VALUE(IF($D104="táb",$C104,0))+VALUE(IF($H104="táb",$G104,0))</f>
        <v>0</v>
      </c>
      <c r="U104" s="148" t="n">
        <f aca="false">VALUE(IF($D104="oma",$C104,0))+VALUE(IF($H104="oma",$G104,0))</f>
        <v>0</v>
      </c>
      <c r="V104" s="148" t="n">
        <f aca="false">VALUE(IF($D104="ces",$C104,0))+VALUE(IF($H104="ces",$G104,0))</f>
        <v>0</v>
      </c>
      <c r="W104" s="148" t="n">
        <f aca="false">VALUE(IF($D104="poš",$C104,0))+VALUE(IF($H104="poš",$G104,0))</f>
        <v>0</v>
      </c>
      <c r="X104" s="148" t="n">
        <f aca="false">VALUE(IF($D104="tel",$C104,0))+VALUE(IF($H104="tel",$G104,0))</f>
        <v>0</v>
      </c>
      <c r="Y104" s="148" t="n">
        <f aca="false">VALUE(IF($D104="dop",$C104,0))+VALUE(IF($H104="dop",$G104,0))</f>
        <v>0</v>
      </c>
      <c r="Z104" s="148" t="n">
        <f aca="false">VALUE(IF($D104="nák",$C104,0))+VALUE(IF($H104="nák",$G104,0))</f>
        <v>0</v>
      </c>
      <c r="AA104" s="148" t="n">
        <f aca="false">VALUE(IF($D104="náj",$C104,0))+VALUE(IF($H104="náj",$G104,0))</f>
        <v>0</v>
      </c>
      <c r="AB104" s="148" t="n">
        <f aca="false">VALUE(IF($D104="půj",$C104,0))+VALUE(IF($H104="půj",$G104,0))</f>
        <v>0</v>
      </c>
      <c r="AC104" s="148" t="n">
        <f aca="false">VALUE(IF($D104="vst",$C104,0))+VALUE(IF($H104="vst",$G104,0))</f>
        <v>0</v>
      </c>
      <c r="AD104" s="148" t="n">
        <f aca="false">VALUE(IF($D104="kop",$C104,0))+VALUE(IF($H104="kop",$G104,0))</f>
        <v>0</v>
      </c>
      <c r="AE104" s="148" t="n">
        <f aca="false">VALUE(IF($D104="osl",$C104,0))+VALUE(IF($H104="osl",$G104,0))</f>
        <v>0</v>
      </c>
      <c r="AF104" s="148" t="n">
        <f aca="false">VALUE(IF($D104="vra",$C104,0))+VALUE(IF($H104="vra",$G104,0))</f>
        <v>0</v>
      </c>
      <c r="AG104" s="148" t="n">
        <f aca="false">VALUE(IF($D104="zho",$C104,0))+VALUE(IF($H104="zho",$G104,0))</f>
        <v>0</v>
      </c>
      <c r="AH104" s="148" t="n">
        <f aca="false">VALUE(IF($D104="zbú",$C104,0))+VALUE(IF($H104="zbú",$G104,0))</f>
        <v>0</v>
      </c>
      <c r="AI104" s="148" t="n">
        <f aca="false">VALUE(IF($D104="pří",$C104,0))+VALUE(IF($H104="pří",$G104,0))</f>
        <v>0</v>
      </c>
      <c r="AJ104" s="148" t="n">
        <f aca="false">VALUE(IF($D104="dot",$C104,0))+VALUE(IF($H104="dot",$G104,0))</f>
        <v>0</v>
      </c>
      <c r="AK104" s="148" t="n">
        <f aca="false">VALUE(IF($D104="opř",$C104,0))+VALUE(IF($H104="opř",$G104,0))</f>
        <v>0</v>
      </c>
      <c r="AL104" s="148" t="n">
        <f aca="false">SUM(P104:AK104)</f>
        <v>0</v>
      </c>
      <c r="AN104" s="180" t="str">
        <f aca="false">CONCATENATE('Přehled akce'!$K$4," / ",'Přehled akce'!$K$5)</f>
        <v> / </v>
      </c>
      <c r="AO104" s="181" t="n">
        <f aca="false">IF('Příjmy a výdaje'!$G104="ano",'Příjmy a výdaje'!$B104,0)</f>
        <v>0</v>
      </c>
      <c r="AP104" s="182" t="n">
        <f aca="false">IF('Příjmy a výdaje'!$G104="ano",'Příjmy a výdaje'!$C104,0)</f>
        <v>0</v>
      </c>
      <c r="AQ104" s="183" t="n">
        <f aca="false">'Příjmy a výdaje'!$AP104</f>
        <v>0</v>
      </c>
    </row>
    <row r="105" customFormat="false" ht="12.75" hidden="false" customHeight="false" outlineLevel="0" collapsed="false">
      <c r="A105" s="169" t="n">
        <v>91</v>
      </c>
      <c r="B105" s="184"/>
      <c r="C105" s="194"/>
      <c r="D105" s="186"/>
      <c r="E105" s="188"/>
      <c r="F105" s="223"/>
      <c r="G105" s="224"/>
      <c r="H105" s="190"/>
      <c r="I105" s="249"/>
      <c r="J105" s="178" t="str">
        <f aca="false">IF(AL105=C105,IF(AL105=0,"-","ok"),"chyba")</f>
        <v>-</v>
      </c>
      <c r="K105" s="179"/>
      <c r="L105" s="179"/>
      <c r="M105" s="179"/>
      <c r="N105" s="179"/>
      <c r="P105" s="148" t="n">
        <f aca="false">VALUE(IF($D105="vyb",$C105,0))+VALUE(IF($H105="vyb",$G105,0))</f>
        <v>0</v>
      </c>
      <c r="Q105" s="148" t="n">
        <f aca="false">VALUE(IF($D105="mtv",$C105,0))+VALUE(IF($H105="mtv",$G105,0))</f>
        <v>0</v>
      </c>
      <c r="R105" s="148" t="n">
        <f aca="false">VALUE(IF($D105="mat",$C105,0))+VALUE(IF($H105="mat",$G105,0))</f>
        <v>0</v>
      </c>
      <c r="S105" s="148" t="n">
        <f aca="false">VALUE(IF($D105="pot",$C105,0))+VALUE(IF($H105="pot",$G105,0))</f>
        <v>0</v>
      </c>
      <c r="T105" s="148" t="n">
        <f aca="false">VALUE(IF($D105="táb",$C105,0))+VALUE(IF($H105="táb",$G105,0))</f>
        <v>0</v>
      </c>
      <c r="U105" s="148" t="n">
        <f aca="false">VALUE(IF($D105="oma",$C105,0))+VALUE(IF($H105="oma",$G105,0))</f>
        <v>0</v>
      </c>
      <c r="V105" s="148" t="n">
        <f aca="false">VALUE(IF($D105="ces",$C105,0))+VALUE(IF($H105="ces",$G105,0))</f>
        <v>0</v>
      </c>
      <c r="W105" s="148" t="n">
        <f aca="false">VALUE(IF($D105="poš",$C105,0))+VALUE(IF($H105="poš",$G105,0))</f>
        <v>0</v>
      </c>
      <c r="X105" s="148" t="n">
        <f aca="false">VALUE(IF($D105="tel",$C105,0))+VALUE(IF($H105="tel",$G105,0))</f>
        <v>0</v>
      </c>
      <c r="Y105" s="148" t="n">
        <f aca="false">VALUE(IF($D105="dop",$C105,0))+VALUE(IF($H105="dop",$G105,0))</f>
        <v>0</v>
      </c>
      <c r="Z105" s="148" t="n">
        <f aca="false">VALUE(IF($D105="nák",$C105,0))+VALUE(IF($H105="nák",$G105,0))</f>
        <v>0</v>
      </c>
      <c r="AA105" s="148" t="n">
        <f aca="false">VALUE(IF($D105="náj",$C105,0))+VALUE(IF($H105="náj",$G105,0))</f>
        <v>0</v>
      </c>
      <c r="AB105" s="148" t="n">
        <f aca="false">VALUE(IF($D105="půj",$C105,0))+VALUE(IF($H105="půj",$G105,0))</f>
        <v>0</v>
      </c>
      <c r="AC105" s="148" t="n">
        <f aca="false">VALUE(IF($D105="vst",$C105,0))+VALUE(IF($H105="vst",$G105,0))</f>
        <v>0</v>
      </c>
      <c r="AD105" s="148" t="n">
        <f aca="false">VALUE(IF($D105="kop",$C105,0))+VALUE(IF($H105="kop",$G105,0))</f>
        <v>0</v>
      </c>
      <c r="AE105" s="148" t="n">
        <f aca="false">VALUE(IF($D105="osl",$C105,0))+VALUE(IF($H105="osl",$G105,0))</f>
        <v>0</v>
      </c>
      <c r="AF105" s="148" t="n">
        <f aca="false">VALUE(IF($D105="vra",$C105,0))+VALUE(IF($H105="vra",$G105,0))</f>
        <v>0</v>
      </c>
      <c r="AG105" s="148" t="n">
        <f aca="false">VALUE(IF($D105="zho",$C105,0))+VALUE(IF($H105="zho",$G105,0))</f>
        <v>0</v>
      </c>
      <c r="AH105" s="148" t="n">
        <f aca="false">VALUE(IF($D105="zbú",$C105,0))+VALUE(IF($H105="zbú",$G105,0))</f>
        <v>0</v>
      </c>
      <c r="AI105" s="148" t="n">
        <f aca="false">VALUE(IF($D105="pří",$C105,0))+VALUE(IF($H105="pří",$G105,0))</f>
        <v>0</v>
      </c>
      <c r="AJ105" s="148" t="n">
        <f aca="false">VALUE(IF($D105="dot",$C105,0))+VALUE(IF($H105="dot",$G105,0))</f>
        <v>0</v>
      </c>
      <c r="AK105" s="148" t="n">
        <f aca="false">VALUE(IF($D105="opř",$C105,0))+VALUE(IF($H105="opř",$G105,0))</f>
        <v>0</v>
      </c>
      <c r="AL105" s="148" t="n">
        <f aca="false">SUM(P105:AK105)</f>
        <v>0</v>
      </c>
      <c r="AN105" s="180" t="str">
        <f aca="false">CONCATENATE('Přehled akce'!$K$4," / ",'Přehled akce'!$K$5)</f>
        <v> / </v>
      </c>
      <c r="AO105" s="181" t="n">
        <f aca="false">IF('Příjmy a výdaje'!$G105="ano",'Příjmy a výdaje'!$B105,0)</f>
        <v>0</v>
      </c>
      <c r="AP105" s="182" t="n">
        <f aca="false">IF('Příjmy a výdaje'!$G105="ano",'Příjmy a výdaje'!$C105,0)</f>
        <v>0</v>
      </c>
      <c r="AQ105" s="183" t="n">
        <f aca="false">'Příjmy a výdaje'!$AP105</f>
        <v>0</v>
      </c>
    </row>
    <row r="106" customFormat="false" ht="12.75" hidden="false" customHeight="false" outlineLevel="0" collapsed="false">
      <c r="A106" s="169" t="n">
        <v>92</v>
      </c>
      <c r="B106" s="250"/>
      <c r="C106" s="194"/>
      <c r="D106" s="174"/>
      <c r="E106" s="188"/>
      <c r="F106" s="223"/>
      <c r="G106" s="224"/>
      <c r="H106" s="190"/>
      <c r="I106" s="249"/>
      <c r="J106" s="178" t="str">
        <f aca="false">IF(AL106=C106,IF(AL106=0,"-","ok"),"chyba")</f>
        <v>-</v>
      </c>
      <c r="K106" s="179"/>
      <c r="L106" s="179"/>
      <c r="M106" s="179"/>
      <c r="N106" s="179"/>
      <c r="P106" s="148" t="n">
        <f aca="false">VALUE(IF($D106="vyb",$C106,0))+VALUE(IF($H106="vyb",$G106,0))</f>
        <v>0</v>
      </c>
      <c r="Q106" s="148" t="n">
        <f aca="false">VALUE(IF($D106="mtv",$C106,0))+VALUE(IF($H106="mtv",$G106,0))</f>
        <v>0</v>
      </c>
      <c r="R106" s="148" t="n">
        <f aca="false">VALUE(IF($D106="mat",$C106,0))+VALUE(IF($H106="mat",$G106,0))</f>
        <v>0</v>
      </c>
      <c r="S106" s="148" t="n">
        <f aca="false">VALUE(IF($D106="pot",$C106,0))+VALUE(IF($H106="pot",$G106,0))</f>
        <v>0</v>
      </c>
      <c r="T106" s="148" t="n">
        <f aca="false">VALUE(IF($D106="táb",$C106,0))+VALUE(IF($H106="táb",$G106,0))</f>
        <v>0</v>
      </c>
      <c r="U106" s="148" t="n">
        <f aca="false">VALUE(IF($D106="oma",$C106,0))+VALUE(IF($H106="oma",$G106,0))</f>
        <v>0</v>
      </c>
      <c r="V106" s="148" t="n">
        <f aca="false">VALUE(IF($D106="ces",$C106,0))+VALUE(IF($H106="ces",$G106,0))</f>
        <v>0</v>
      </c>
      <c r="W106" s="148" t="n">
        <f aca="false">VALUE(IF($D106="poš",$C106,0))+VALUE(IF($H106="poš",$G106,0))</f>
        <v>0</v>
      </c>
      <c r="X106" s="148" t="n">
        <f aca="false">VALUE(IF($D106="tel",$C106,0))+VALUE(IF($H106="tel",$G106,0))</f>
        <v>0</v>
      </c>
      <c r="Y106" s="148" t="n">
        <f aca="false">VALUE(IF($D106="dop",$C106,0))+VALUE(IF($H106="dop",$G106,0))</f>
        <v>0</v>
      </c>
      <c r="Z106" s="148" t="n">
        <f aca="false">VALUE(IF($D106="nák",$C106,0))+VALUE(IF($H106="nák",$G106,0))</f>
        <v>0</v>
      </c>
      <c r="AA106" s="148" t="n">
        <f aca="false">VALUE(IF($D106="náj",$C106,0))+VALUE(IF($H106="náj",$G106,0))</f>
        <v>0</v>
      </c>
      <c r="AB106" s="148" t="n">
        <f aca="false">VALUE(IF($D106="půj",$C106,0))+VALUE(IF($H106="půj",$G106,0))</f>
        <v>0</v>
      </c>
      <c r="AC106" s="148" t="n">
        <f aca="false">VALUE(IF($D106="vst",$C106,0))+VALUE(IF($H106="vst",$G106,0))</f>
        <v>0</v>
      </c>
      <c r="AD106" s="148" t="n">
        <f aca="false">VALUE(IF($D106="kop",$C106,0))+VALUE(IF($H106="kop",$G106,0))</f>
        <v>0</v>
      </c>
      <c r="AE106" s="148" t="n">
        <f aca="false">VALUE(IF($D106="osl",$C106,0))+VALUE(IF($H106="osl",$G106,0))</f>
        <v>0</v>
      </c>
      <c r="AF106" s="148" t="n">
        <f aca="false">VALUE(IF($D106="vra",$C106,0))+VALUE(IF($H106="vra",$G106,0))</f>
        <v>0</v>
      </c>
      <c r="AG106" s="148" t="n">
        <f aca="false">VALUE(IF($D106="zho",$C106,0))+VALUE(IF($H106="zho",$G106,0))</f>
        <v>0</v>
      </c>
      <c r="AH106" s="148" t="n">
        <f aca="false">VALUE(IF($D106="zbú",$C106,0))+VALUE(IF($H106="zbú",$G106,0))</f>
        <v>0</v>
      </c>
      <c r="AI106" s="148" t="n">
        <f aca="false">VALUE(IF($D106="pří",$C106,0))+VALUE(IF($H106="pří",$G106,0))</f>
        <v>0</v>
      </c>
      <c r="AJ106" s="148" t="n">
        <f aca="false">VALUE(IF($D106="dot",$C106,0))+VALUE(IF($H106="dot",$G106,0))</f>
        <v>0</v>
      </c>
      <c r="AK106" s="148" t="n">
        <f aca="false">VALUE(IF($D106="opř",$C106,0))+VALUE(IF($H106="opř",$G106,0))</f>
        <v>0</v>
      </c>
      <c r="AL106" s="148" t="n">
        <f aca="false">SUM(P106:AK106)</f>
        <v>0</v>
      </c>
      <c r="AN106" s="180" t="str">
        <f aca="false">CONCATENATE('Přehled akce'!$K$4," / ",'Přehled akce'!$K$5)</f>
        <v> / </v>
      </c>
      <c r="AO106" s="181" t="n">
        <f aca="false">IF('Příjmy a výdaje'!$G106="ano",'Příjmy a výdaje'!$B106,0)</f>
        <v>0</v>
      </c>
      <c r="AP106" s="182" t="n">
        <f aca="false">IF('Příjmy a výdaje'!$G106="ano",'Příjmy a výdaje'!$C106,0)</f>
        <v>0</v>
      </c>
      <c r="AQ106" s="183" t="n">
        <f aca="false">'Příjmy a výdaje'!$AP106</f>
        <v>0</v>
      </c>
    </row>
    <row r="107" customFormat="false" ht="12.75" hidden="false" customHeight="false" outlineLevel="0" collapsed="false">
      <c r="A107" s="169" t="n">
        <v>93</v>
      </c>
      <c r="B107" s="250"/>
      <c r="C107" s="194"/>
      <c r="D107" s="174"/>
      <c r="E107" s="188"/>
      <c r="F107" s="223"/>
      <c r="G107" s="224"/>
      <c r="H107" s="190"/>
      <c r="I107" s="249"/>
      <c r="J107" s="178" t="str">
        <f aca="false">IF(AL107=C107,IF(AL107=0,"-","ok"),"chyba")</f>
        <v>-</v>
      </c>
      <c r="K107" s="179"/>
      <c r="L107" s="179"/>
      <c r="M107" s="179"/>
      <c r="N107" s="179"/>
      <c r="P107" s="148" t="n">
        <f aca="false">VALUE(IF($D107="vyb",$C107,0))+VALUE(IF($H107="vyb",$G107,0))</f>
        <v>0</v>
      </c>
      <c r="Q107" s="148" t="n">
        <f aca="false">VALUE(IF($D107="mtv",$C107,0))+VALUE(IF($H107="mtv",$G107,0))</f>
        <v>0</v>
      </c>
      <c r="R107" s="148" t="n">
        <f aca="false">VALUE(IF($D107="mat",$C107,0))+VALUE(IF($H107="mat",$G107,0))</f>
        <v>0</v>
      </c>
      <c r="S107" s="148" t="n">
        <f aca="false">VALUE(IF($D107="pot",$C107,0))+VALUE(IF($H107="pot",$G107,0))</f>
        <v>0</v>
      </c>
      <c r="T107" s="148" t="n">
        <f aca="false">VALUE(IF($D107="táb",$C107,0))+VALUE(IF($H107="táb",$G107,0))</f>
        <v>0</v>
      </c>
      <c r="U107" s="148" t="n">
        <f aca="false">VALUE(IF($D107="oma",$C107,0))+VALUE(IF($H107="oma",$G107,0))</f>
        <v>0</v>
      </c>
      <c r="V107" s="148" t="n">
        <f aca="false">VALUE(IF($D107="ces",$C107,0))+VALUE(IF($H107="ces",$G107,0))</f>
        <v>0</v>
      </c>
      <c r="W107" s="148" t="n">
        <f aca="false">VALUE(IF($D107="poš",$C107,0))+VALUE(IF($H107="poš",$G107,0))</f>
        <v>0</v>
      </c>
      <c r="X107" s="148" t="n">
        <f aca="false">VALUE(IF($D107="tel",$C107,0))+VALUE(IF($H107="tel",$G107,0))</f>
        <v>0</v>
      </c>
      <c r="Y107" s="148" t="n">
        <f aca="false">VALUE(IF($D107="dop",$C107,0))+VALUE(IF($H107="dop",$G107,0))</f>
        <v>0</v>
      </c>
      <c r="Z107" s="148" t="n">
        <f aca="false">VALUE(IF($D107="nák",$C107,0))+VALUE(IF($H107="nák",$G107,0))</f>
        <v>0</v>
      </c>
      <c r="AA107" s="148" t="n">
        <f aca="false">VALUE(IF($D107="náj",$C107,0))+VALUE(IF($H107="náj",$G107,0))</f>
        <v>0</v>
      </c>
      <c r="AB107" s="148" t="n">
        <f aca="false">VALUE(IF($D107="půj",$C107,0))+VALUE(IF($H107="půj",$G107,0))</f>
        <v>0</v>
      </c>
      <c r="AC107" s="148" t="n">
        <f aca="false">VALUE(IF($D107="vst",$C107,0))+VALUE(IF($H107="vst",$G107,0))</f>
        <v>0</v>
      </c>
      <c r="AD107" s="148" t="n">
        <f aca="false">VALUE(IF($D107="kop",$C107,0))+VALUE(IF($H107="kop",$G107,0))</f>
        <v>0</v>
      </c>
      <c r="AE107" s="148" t="n">
        <f aca="false">VALUE(IF($D107="osl",$C107,0))+VALUE(IF($H107="osl",$G107,0))</f>
        <v>0</v>
      </c>
      <c r="AF107" s="148" t="n">
        <f aca="false">VALUE(IF($D107="vra",$C107,0))+VALUE(IF($H107="vra",$G107,0))</f>
        <v>0</v>
      </c>
      <c r="AG107" s="148" t="n">
        <f aca="false">VALUE(IF($D107="zho",$C107,0))+VALUE(IF($H107="zho",$G107,0))</f>
        <v>0</v>
      </c>
      <c r="AH107" s="148" t="n">
        <f aca="false">VALUE(IF($D107="zbú",$C107,0))+VALUE(IF($H107="zbú",$G107,0))</f>
        <v>0</v>
      </c>
      <c r="AI107" s="148" t="n">
        <f aca="false">VALUE(IF($D107="pří",$C107,0))+VALUE(IF($H107="pří",$G107,0))</f>
        <v>0</v>
      </c>
      <c r="AJ107" s="148" t="n">
        <f aca="false">VALUE(IF($D107="dot",$C107,0))+VALUE(IF($H107="dot",$G107,0))</f>
        <v>0</v>
      </c>
      <c r="AK107" s="148" t="n">
        <f aca="false">VALUE(IF($D107="opř",$C107,0))+VALUE(IF($H107="opř",$G107,0))</f>
        <v>0</v>
      </c>
      <c r="AL107" s="148" t="n">
        <f aca="false">SUM(P107:AK107)</f>
        <v>0</v>
      </c>
      <c r="AN107" s="180" t="str">
        <f aca="false">CONCATENATE('Přehled akce'!$K$4," / ",'Přehled akce'!$K$5)</f>
        <v> / </v>
      </c>
      <c r="AO107" s="181" t="n">
        <f aca="false">IF('Příjmy a výdaje'!$G107="ano",'Příjmy a výdaje'!$B107,0)</f>
        <v>0</v>
      </c>
      <c r="AP107" s="182" t="n">
        <f aca="false">IF('Příjmy a výdaje'!$G107="ano",'Příjmy a výdaje'!$C107,0)</f>
        <v>0</v>
      </c>
      <c r="AQ107" s="183" t="n">
        <f aca="false">'Příjmy a výdaje'!$AP107</f>
        <v>0</v>
      </c>
    </row>
    <row r="108" customFormat="false" ht="12.75" hidden="false" customHeight="false" outlineLevel="0" collapsed="false">
      <c r="A108" s="169" t="n">
        <v>94</v>
      </c>
      <c r="B108" s="250"/>
      <c r="C108" s="194"/>
      <c r="D108" s="174"/>
      <c r="E108" s="188"/>
      <c r="F108" s="223"/>
      <c r="G108" s="224"/>
      <c r="H108" s="190"/>
      <c r="I108" s="249"/>
      <c r="J108" s="178" t="str">
        <f aca="false">IF(AL108=C108,IF(AL108=0,"-","ok"),"chyba")</f>
        <v>-</v>
      </c>
      <c r="K108" s="179"/>
      <c r="L108" s="179"/>
      <c r="M108" s="179"/>
      <c r="N108" s="179"/>
      <c r="P108" s="148" t="n">
        <f aca="false">VALUE(IF($D108="vyb",$C108,0))+VALUE(IF($H108="vyb",$G108,0))</f>
        <v>0</v>
      </c>
      <c r="Q108" s="148" t="n">
        <f aca="false">VALUE(IF($D108="mtv",$C108,0))+VALUE(IF($H108="mtv",$G108,0))</f>
        <v>0</v>
      </c>
      <c r="R108" s="148" t="n">
        <f aca="false">VALUE(IF($D108="mat",$C108,0))+VALUE(IF($H108="mat",$G108,0))</f>
        <v>0</v>
      </c>
      <c r="S108" s="148" t="n">
        <f aca="false">VALUE(IF($D108="pot",$C108,0))+VALUE(IF($H108="pot",$G108,0))</f>
        <v>0</v>
      </c>
      <c r="T108" s="148" t="n">
        <f aca="false">VALUE(IF($D108="táb",$C108,0))+VALUE(IF($H108="táb",$G108,0))</f>
        <v>0</v>
      </c>
      <c r="U108" s="148" t="n">
        <f aca="false">VALUE(IF($D108="oma",$C108,0))+VALUE(IF($H108="oma",$G108,0))</f>
        <v>0</v>
      </c>
      <c r="V108" s="148" t="n">
        <f aca="false">VALUE(IF($D108="ces",$C108,0))+VALUE(IF($H108="ces",$G108,0))</f>
        <v>0</v>
      </c>
      <c r="W108" s="148" t="n">
        <f aca="false">VALUE(IF($D108="poš",$C108,0))+VALUE(IF($H108="poš",$G108,0))</f>
        <v>0</v>
      </c>
      <c r="X108" s="148" t="n">
        <f aca="false">VALUE(IF($D108="tel",$C108,0))+VALUE(IF($H108="tel",$G108,0))</f>
        <v>0</v>
      </c>
      <c r="Y108" s="148" t="n">
        <f aca="false">VALUE(IF($D108="dop",$C108,0))+VALUE(IF($H108="dop",$G108,0))</f>
        <v>0</v>
      </c>
      <c r="Z108" s="148" t="n">
        <f aca="false">VALUE(IF($D108="nák",$C108,0))+VALUE(IF($H108="nák",$G108,0))</f>
        <v>0</v>
      </c>
      <c r="AA108" s="148" t="n">
        <f aca="false">VALUE(IF($D108="náj",$C108,0))+VALUE(IF($H108="náj",$G108,0))</f>
        <v>0</v>
      </c>
      <c r="AB108" s="148" t="n">
        <f aca="false">VALUE(IF($D108="půj",$C108,0))+VALUE(IF($H108="půj",$G108,0))</f>
        <v>0</v>
      </c>
      <c r="AC108" s="148" t="n">
        <f aca="false">VALUE(IF($D108="vst",$C108,0))+VALUE(IF($H108="vst",$G108,0))</f>
        <v>0</v>
      </c>
      <c r="AD108" s="148" t="n">
        <f aca="false">VALUE(IF($D108="kop",$C108,0))+VALUE(IF($H108="kop",$G108,0))</f>
        <v>0</v>
      </c>
      <c r="AE108" s="148" t="n">
        <f aca="false">VALUE(IF($D108="osl",$C108,0))+VALUE(IF($H108="osl",$G108,0))</f>
        <v>0</v>
      </c>
      <c r="AF108" s="148" t="n">
        <f aca="false">VALUE(IF($D108="vra",$C108,0))+VALUE(IF($H108="vra",$G108,0))</f>
        <v>0</v>
      </c>
      <c r="AG108" s="148" t="n">
        <f aca="false">VALUE(IF($D108="zho",$C108,0))+VALUE(IF($H108="zho",$G108,0))</f>
        <v>0</v>
      </c>
      <c r="AH108" s="148" t="n">
        <f aca="false">VALUE(IF($D108="zbú",$C108,0))+VALUE(IF($H108="zbú",$G108,0))</f>
        <v>0</v>
      </c>
      <c r="AI108" s="148" t="n">
        <f aca="false">VALUE(IF($D108="pří",$C108,0))+VALUE(IF($H108="pří",$G108,0))</f>
        <v>0</v>
      </c>
      <c r="AJ108" s="148" t="n">
        <f aca="false">VALUE(IF($D108="dot",$C108,0))+VALUE(IF($H108="dot",$G108,0))</f>
        <v>0</v>
      </c>
      <c r="AK108" s="148" t="n">
        <f aca="false">VALUE(IF($D108="opř",$C108,0))+VALUE(IF($H108="opř",$G108,0))</f>
        <v>0</v>
      </c>
      <c r="AL108" s="148" t="n">
        <f aca="false">SUM(P108:AK108)</f>
        <v>0</v>
      </c>
      <c r="AN108" s="180" t="str">
        <f aca="false">CONCATENATE('Přehled akce'!$K$4," / ",'Přehled akce'!$K$5)</f>
        <v> / </v>
      </c>
      <c r="AO108" s="181" t="n">
        <f aca="false">IF('Příjmy a výdaje'!$G108="ano",'Příjmy a výdaje'!$B108,0)</f>
        <v>0</v>
      </c>
      <c r="AP108" s="182" t="n">
        <f aca="false">IF('Příjmy a výdaje'!$G108="ano",'Příjmy a výdaje'!$C108,0)</f>
        <v>0</v>
      </c>
      <c r="AQ108" s="183" t="n">
        <f aca="false">'Příjmy a výdaje'!$AP108</f>
        <v>0</v>
      </c>
    </row>
    <row r="109" customFormat="false" ht="12.75" hidden="false" customHeight="false" outlineLevel="0" collapsed="false">
      <c r="A109" s="169" t="n">
        <v>95</v>
      </c>
      <c r="B109" s="250"/>
      <c r="C109" s="194"/>
      <c r="D109" s="174"/>
      <c r="E109" s="188"/>
      <c r="F109" s="223"/>
      <c r="G109" s="224"/>
      <c r="H109" s="190"/>
      <c r="I109" s="249"/>
      <c r="J109" s="178" t="str">
        <f aca="false">IF(AL109=C109,IF(AL109=0,"-","ok"),"chyba")</f>
        <v>-</v>
      </c>
      <c r="K109" s="179"/>
      <c r="L109" s="179"/>
      <c r="M109" s="179"/>
      <c r="N109" s="179"/>
      <c r="P109" s="148" t="n">
        <f aca="false">VALUE(IF($D109="vyb",$C109,0))+VALUE(IF($H109="vyb",$G109,0))</f>
        <v>0</v>
      </c>
      <c r="Q109" s="148" t="n">
        <f aca="false">VALUE(IF($D109="mtv",$C109,0))+VALUE(IF($H109="mtv",$G109,0))</f>
        <v>0</v>
      </c>
      <c r="R109" s="148" t="n">
        <f aca="false">VALUE(IF($D109="mat",$C109,0))+VALUE(IF($H109="mat",$G109,0))</f>
        <v>0</v>
      </c>
      <c r="S109" s="148" t="n">
        <f aca="false">VALUE(IF($D109="pot",$C109,0))+VALUE(IF($H109="pot",$G109,0))</f>
        <v>0</v>
      </c>
      <c r="T109" s="148" t="n">
        <f aca="false">VALUE(IF($D109="táb",$C109,0))+VALUE(IF($H109="táb",$G109,0))</f>
        <v>0</v>
      </c>
      <c r="U109" s="148" t="n">
        <f aca="false">VALUE(IF($D109="oma",$C109,0))+VALUE(IF($H109="oma",$G109,0))</f>
        <v>0</v>
      </c>
      <c r="V109" s="148" t="n">
        <f aca="false">VALUE(IF($D109="ces",$C109,0))+VALUE(IF($H109="ces",$G109,0))</f>
        <v>0</v>
      </c>
      <c r="W109" s="148" t="n">
        <f aca="false">VALUE(IF($D109="poš",$C109,0))+VALUE(IF($H109="poš",$G109,0))</f>
        <v>0</v>
      </c>
      <c r="X109" s="148" t="n">
        <f aca="false">VALUE(IF($D109="tel",$C109,0))+VALUE(IF($H109="tel",$G109,0))</f>
        <v>0</v>
      </c>
      <c r="Y109" s="148" t="n">
        <f aca="false">VALUE(IF($D109="dop",$C109,0))+VALUE(IF($H109="dop",$G109,0))</f>
        <v>0</v>
      </c>
      <c r="Z109" s="148" t="n">
        <f aca="false">VALUE(IF($D109="nák",$C109,0))+VALUE(IF($H109="nák",$G109,0))</f>
        <v>0</v>
      </c>
      <c r="AA109" s="148" t="n">
        <f aca="false">VALUE(IF($D109="náj",$C109,0))+VALUE(IF($H109="náj",$G109,0))</f>
        <v>0</v>
      </c>
      <c r="AB109" s="148" t="n">
        <f aca="false">VALUE(IF($D109="půj",$C109,0))+VALUE(IF($H109="půj",$G109,0))</f>
        <v>0</v>
      </c>
      <c r="AC109" s="148" t="n">
        <f aca="false">VALUE(IF($D109="vst",$C109,0))+VALUE(IF($H109="vst",$G109,0))</f>
        <v>0</v>
      </c>
      <c r="AD109" s="148" t="n">
        <f aca="false">VALUE(IF($D109="kop",$C109,0))+VALUE(IF($H109="kop",$G109,0))</f>
        <v>0</v>
      </c>
      <c r="AE109" s="148" t="n">
        <f aca="false">VALUE(IF($D109="osl",$C109,0))+VALUE(IF($H109="osl",$G109,0))</f>
        <v>0</v>
      </c>
      <c r="AF109" s="148" t="n">
        <f aca="false">VALUE(IF($D109="vra",$C109,0))+VALUE(IF($H109="vra",$G109,0))</f>
        <v>0</v>
      </c>
      <c r="AG109" s="148" t="n">
        <f aca="false">VALUE(IF($D109="zho",$C109,0))+VALUE(IF($H109="zho",$G109,0))</f>
        <v>0</v>
      </c>
      <c r="AH109" s="148" t="n">
        <f aca="false">VALUE(IF($D109="zbú",$C109,0))+VALUE(IF($H109="zbú",$G109,0))</f>
        <v>0</v>
      </c>
      <c r="AI109" s="148" t="n">
        <f aca="false">VALUE(IF($D109="pří",$C109,0))+VALUE(IF($H109="pří",$G109,0))</f>
        <v>0</v>
      </c>
      <c r="AJ109" s="148" t="n">
        <f aca="false">VALUE(IF($D109="dot",$C109,0))+VALUE(IF($H109="dot",$G109,0))</f>
        <v>0</v>
      </c>
      <c r="AK109" s="148" t="n">
        <f aca="false">VALUE(IF($D109="opř",$C109,0))+VALUE(IF($H109="opř",$G109,0))</f>
        <v>0</v>
      </c>
      <c r="AL109" s="148" t="n">
        <f aca="false">SUM(P109:AK109)</f>
        <v>0</v>
      </c>
      <c r="AN109" s="180" t="str">
        <f aca="false">CONCATENATE('Přehled akce'!$K$4," / ",'Přehled akce'!$K$5)</f>
        <v> / </v>
      </c>
      <c r="AO109" s="181" t="n">
        <f aca="false">IF('Příjmy a výdaje'!$G109="ano",'Příjmy a výdaje'!$B109,0)</f>
        <v>0</v>
      </c>
      <c r="AP109" s="182" t="n">
        <f aca="false">IF('Příjmy a výdaje'!$G109="ano",'Příjmy a výdaje'!$C109,0)</f>
        <v>0</v>
      </c>
      <c r="AQ109" s="183" t="n">
        <f aca="false">'Příjmy a výdaje'!$AP109</f>
        <v>0</v>
      </c>
    </row>
    <row r="110" customFormat="false" ht="12.75" hidden="false" customHeight="false" outlineLevel="0" collapsed="false">
      <c r="A110" s="169" t="n">
        <v>96</v>
      </c>
      <c r="B110" s="250"/>
      <c r="C110" s="194"/>
      <c r="D110" s="174"/>
      <c r="E110" s="188"/>
      <c r="F110" s="223"/>
      <c r="G110" s="224"/>
      <c r="H110" s="190"/>
      <c r="I110" s="195"/>
      <c r="J110" s="178" t="str">
        <f aca="false">IF(AL110=C110,IF(AL110=0,"-","ok"),"chyba")</f>
        <v>-</v>
      </c>
      <c r="K110" s="179"/>
      <c r="L110" s="179"/>
      <c r="M110" s="179"/>
      <c r="N110" s="179"/>
      <c r="P110" s="148" t="n">
        <f aca="false">VALUE(IF($D110="vyb",$C110,0))+VALUE(IF($H110="vyb",$G110,0))</f>
        <v>0</v>
      </c>
      <c r="Q110" s="148" t="n">
        <f aca="false">VALUE(IF($D110="mtv",$C110,0))+VALUE(IF($H110="mtv",$G110,0))</f>
        <v>0</v>
      </c>
      <c r="R110" s="148" t="n">
        <f aca="false">VALUE(IF($D110="mat",$C110,0))+VALUE(IF($H110="mat",$G110,0))</f>
        <v>0</v>
      </c>
      <c r="S110" s="148" t="n">
        <f aca="false">VALUE(IF($D110="pot",$C110,0))+VALUE(IF($H110="pot",$G110,0))</f>
        <v>0</v>
      </c>
      <c r="T110" s="148" t="n">
        <f aca="false">VALUE(IF($D110="táb",$C110,0))+VALUE(IF($H110="táb",$G110,0))</f>
        <v>0</v>
      </c>
      <c r="U110" s="148" t="n">
        <f aca="false">VALUE(IF($D110="oma",$C110,0))+VALUE(IF($H110="oma",$G110,0))</f>
        <v>0</v>
      </c>
      <c r="V110" s="148" t="n">
        <f aca="false">VALUE(IF($D110="ces",$C110,0))+VALUE(IF($H110="ces",$G110,0))</f>
        <v>0</v>
      </c>
      <c r="W110" s="148" t="n">
        <f aca="false">VALUE(IF($D110="poš",$C110,0))+VALUE(IF($H110="poš",$G110,0))</f>
        <v>0</v>
      </c>
      <c r="X110" s="148" t="n">
        <f aca="false">VALUE(IF($D110="tel",$C110,0))+VALUE(IF($H110="tel",$G110,0))</f>
        <v>0</v>
      </c>
      <c r="Y110" s="148" t="n">
        <f aca="false">VALUE(IF($D110="dop",$C110,0))+VALUE(IF($H110="dop",$G110,0))</f>
        <v>0</v>
      </c>
      <c r="Z110" s="148" t="n">
        <f aca="false">VALUE(IF($D110="nák",$C110,0))+VALUE(IF($H110="nák",$G110,0))</f>
        <v>0</v>
      </c>
      <c r="AA110" s="148" t="n">
        <f aca="false">VALUE(IF($D110="náj",$C110,0))+VALUE(IF($H110="náj",$G110,0))</f>
        <v>0</v>
      </c>
      <c r="AB110" s="148" t="n">
        <f aca="false">VALUE(IF($D110="půj",$C110,0))+VALUE(IF($H110="půj",$G110,0))</f>
        <v>0</v>
      </c>
      <c r="AC110" s="148" t="n">
        <f aca="false">VALUE(IF($D110="vst",$C110,0))+VALUE(IF($H110="vst",$G110,0))</f>
        <v>0</v>
      </c>
      <c r="AD110" s="148" t="n">
        <f aca="false">VALUE(IF($D110="kop",$C110,0))+VALUE(IF($H110="kop",$G110,0))</f>
        <v>0</v>
      </c>
      <c r="AE110" s="148" t="n">
        <f aca="false">VALUE(IF($D110="osl",$C110,0))+VALUE(IF($H110="osl",$G110,0))</f>
        <v>0</v>
      </c>
      <c r="AF110" s="148" t="n">
        <f aca="false">VALUE(IF($D110="vra",$C110,0))+VALUE(IF($H110="vra",$G110,0))</f>
        <v>0</v>
      </c>
      <c r="AG110" s="148" t="n">
        <f aca="false">VALUE(IF($D110="zho",$C110,0))+VALUE(IF($H110="zho",$G110,0))</f>
        <v>0</v>
      </c>
      <c r="AH110" s="148" t="n">
        <f aca="false">VALUE(IF($D110="zbú",$C110,0))+VALUE(IF($H110="zbú",$G110,0))</f>
        <v>0</v>
      </c>
      <c r="AI110" s="148" t="n">
        <f aca="false">VALUE(IF($D110="pří",$C110,0))+VALUE(IF($H110="pří",$G110,0))</f>
        <v>0</v>
      </c>
      <c r="AJ110" s="148" t="n">
        <f aca="false">VALUE(IF($D110="dot",$C110,0))+VALUE(IF($H110="dot",$G110,0))</f>
        <v>0</v>
      </c>
      <c r="AK110" s="148" t="n">
        <f aca="false">VALUE(IF($D110="opř",$C110,0))+VALUE(IF($H110="opř",$G110,0))</f>
        <v>0</v>
      </c>
      <c r="AL110" s="148" t="n">
        <f aca="false">SUM(P110:AK110)</f>
        <v>0</v>
      </c>
      <c r="AN110" s="180" t="str">
        <f aca="false">CONCATENATE('Přehled akce'!$K$4," / ",'Přehled akce'!$K$5)</f>
        <v> / </v>
      </c>
      <c r="AO110" s="181" t="n">
        <f aca="false">IF('Příjmy a výdaje'!$G110="ano",'Příjmy a výdaje'!$B110,0)</f>
        <v>0</v>
      </c>
      <c r="AP110" s="182" t="n">
        <f aca="false">IF('Příjmy a výdaje'!$G110="ano",'Příjmy a výdaje'!$C110,0)</f>
        <v>0</v>
      </c>
      <c r="AQ110" s="183" t="n">
        <f aca="false">'Příjmy a výdaje'!$AP110</f>
        <v>0</v>
      </c>
    </row>
    <row r="111" customFormat="false" ht="12.75" hidden="false" customHeight="false" outlineLevel="0" collapsed="false">
      <c r="A111" s="169" t="n">
        <v>97</v>
      </c>
      <c r="B111" s="250"/>
      <c r="C111" s="194"/>
      <c r="D111" s="174"/>
      <c r="E111" s="188"/>
      <c r="F111" s="223"/>
      <c r="G111" s="224"/>
      <c r="H111" s="190"/>
      <c r="I111" s="195"/>
      <c r="J111" s="178" t="str">
        <f aca="false">IF(AL111=C111,IF(AL111=0,"-","ok"),"chyba")</f>
        <v>-</v>
      </c>
      <c r="K111" s="179"/>
      <c r="L111" s="179"/>
      <c r="M111" s="179"/>
      <c r="N111" s="179"/>
      <c r="P111" s="148" t="n">
        <f aca="false">VALUE(IF($D111="vyb",$C111,0))+VALUE(IF($H111="vyb",$G111,0))</f>
        <v>0</v>
      </c>
      <c r="Q111" s="148" t="n">
        <f aca="false">VALUE(IF($D111="mtv",$C111,0))+VALUE(IF($H111="mtv",$G111,0))</f>
        <v>0</v>
      </c>
      <c r="R111" s="148" t="n">
        <f aca="false">VALUE(IF($D111="mat",$C111,0))+VALUE(IF($H111="mat",$G111,0))</f>
        <v>0</v>
      </c>
      <c r="S111" s="148" t="n">
        <f aca="false">VALUE(IF($D111="pot",$C111,0))+VALUE(IF($H111="pot",$G111,0))</f>
        <v>0</v>
      </c>
      <c r="T111" s="148" t="n">
        <f aca="false">VALUE(IF($D111="táb",$C111,0))+VALUE(IF($H111="táb",$G111,0))</f>
        <v>0</v>
      </c>
      <c r="U111" s="148" t="n">
        <f aca="false">VALUE(IF($D111="oma",$C111,0))+VALUE(IF($H111="oma",$G111,0))</f>
        <v>0</v>
      </c>
      <c r="V111" s="148" t="n">
        <f aca="false">VALUE(IF($D111="ces",$C111,0))+VALUE(IF($H111="ces",$G111,0))</f>
        <v>0</v>
      </c>
      <c r="W111" s="148" t="n">
        <f aca="false">VALUE(IF($D111="poš",$C111,0))+VALUE(IF($H111="poš",$G111,0))</f>
        <v>0</v>
      </c>
      <c r="X111" s="148" t="n">
        <f aca="false">VALUE(IF($D111="tel",$C111,0))+VALUE(IF($H111="tel",$G111,0))</f>
        <v>0</v>
      </c>
      <c r="Y111" s="148" t="n">
        <f aca="false">VALUE(IF($D111="dop",$C111,0))+VALUE(IF($H111="dop",$G111,0))</f>
        <v>0</v>
      </c>
      <c r="Z111" s="148" t="n">
        <f aca="false">VALUE(IF($D111="nák",$C111,0))+VALUE(IF($H111="nák",$G111,0))</f>
        <v>0</v>
      </c>
      <c r="AA111" s="148" t="n">
        <f aca="false">VALUE(IF($D111="náj",$C111,0))+VALUE(IF($H111="náj",$G111,0))</f>
        <v>0</v>
      </c>
      <c r="AB111" s="148" t="n">
        <f aca="false">VALUE(IF($D111="půj",$C111,0))+VALUE(IF($H111="půj",$G111,0))</f>
        <v>0</v>
      </c>
      <c r="AC111" s="148" t="n">
        <f aca="false">VALUE(IF($D111="vst",$C111,0))+VALUE(IF($H111="vst",$G111,0))</f>
        <v>0</v>
      </c>
      <c r="AD111" s="148" t="n">
        <f aca="false">VALUE(IF($D111="kop",$C111,0))+VALUE(IF($H111="kop",$G111,0))</f>
        <v>0</v>
      </c>
      <c r="AE111" s="148" t="n">
        <f aca="false">VALUE(IF($D111="osl",$C111,0))+VALUE(IF($H111="osl",$G111,0))</f>
        <v>0</v>
      </c>
      <c r="AF111" s="148" t="n">
        <f aca="false">VALUE(IF($D111="vra",$C111,0))+VALUE(IF($H111="vra",$G111,0))</f>
        <v>0</v>
      </c>
      <c r="AG111" s="148" t="n">
        <f aca="false">VALUE(IF($D111="zho",$C111,0))+VALUE(IF($H111="zho",$G111,0))</f>
        <v>0</v>
      </c>
      <c r="AH111" s="148" t="n">
        <f aca="false">VALUE(IF($D111="zbú",$C111,0))+VALUE(IF($H111="zbú",$G111,0))</f>
        <v>0</v>
      </c>
      <c r="AI111" s="148" t="n">
        <f aca="false">VALUE(IF($D111="pří",$C111,0))+VALUE(IF($H111="pří",$G111,0))</f>
        <v>0</v>
      </c>
      <c r="AJ111" s="148" t="n">
        <f aca="false">VALUE(IF($D111="dot",$C111,0))+VALUE(IF($H111="dot",$G111,0))</f>
        <v>0</v>
      </c>
      <c r="AK111" s="148" t="n">
        <f aca="false">VALUE(IF($D111="opř",$C111,0))+VALUE(IF($H111="opř",$G111,0))</f>
        <v>0</v>
      </c>
      <c r="AL111" s="148" t="n">
        <f aca="false">SUM(P111:AK111)</f>
        <v>0</v>
      </c>
      <c r="AN111" s="180" t="str">
        <f aca="false">CONCATENATE('Přehled akce'!$K$4," / ",'Přehled akce'!$K$5)</f>
        <v> / </v>
      </c>
      <c r="AO111" s="181" t="n">
        <f aca="false">IF('Příjmy a výdaje'!$G111="ano",'Příjmy a výdaje'!$B111,0)</f>
        <v>0</v>
      </c>
      <c r="AP111" s="182" t="n">
        <f aca="false">IF('Příjmy a výdaje'!$G111="ano",'Příjmy a výdaje'!$C111,0)</f>
        <v>0</v>
      </c>
      <c r="AQ111" s="183" t="n">
        <f aca="false">'Příjmy a výdaje'!$AP111</f>
        <v>0</v>
      </c>
    </row>
    <row r="112" customFormat="false" ht="12.75" hidden="false" customHeight="false" outlineLevel="0" collapsed="false">
      <c r="A112" s="169" t="n">
        <v>98</v>
      </c>
      <c r="B112" s="251"/>
      <c r="C112" s="252"/>
      <c r="D112" s="253"/>
      <c r="E112" s="253"/>
      <c r="F112" s="254"/>
      <c r="G112" s="255"/>
      <c r="H112" s="256"/>
      <c r="I112" s="195"/>
      <c r="J112" s="257" t="str">
        <f aca="false">IF(AL112=C112,IF(AL112=0,"-","ok"),"chyba")</f>
        <v>-</v>
      </c>
      <c r="K112" s="179"/>
      <c r="L112" s="179"/>
      <c r="M112" s="179"/>
      <c r="N112" s="179"/>
      <c r="P112" s="148" t="n">
        <f aca="false">VALUE(IF($D112="vyb",$C112,0))+VALUE(IF($H112="vyb",$G112,0))</f>
        <v>0</v>
      </c>
      <c r="Q112" s="148" t="n">
        <f aca="false">VALUE(IF($D112="mtv",$C112,0))+VALUE(IF($H112="mtv",$G112,0))</f>
        <v>0</v>
      </c>
      <c r="R112" s="148" t="n">
        <f aca="false">VALUE(IF($D112="mat",$C112,0))+VALUE(IF($H112="mat",$G112,0))</f>
        <v>0</v>
      </c>
      <c r="S112" s="148" t="n">
        <f aca="false">VALUE(IF($D112="pot",$C112,0))+VALUE(IF($H112="pot",$G112,0))</f>
        <v>0</v>
      </c>
      <c r="T112" s="148" t="n">
        <f aca="false">VALUE(IF($D112="táb",$C112,0))+VALUE(IF($H112="táb",$G112,0))</f>
        <v>0</v>
      </c>
      <c r="U112" s="148" t="n">
        <f aca="false">VALUE(IF($D112="oma",$C112,0))+VALUE(IF($H112="oma",$G112,0))</f>
        <v>0</v>
      </c>
      <c r="V112" s="148" t="n">
        <f aca="false">VALUE(IF($D112="ces",$C112,0))+VALUE(IF($H112="ces",$G112,0))</f>
        <v>0</v>
      </c>
      <c r="W112" s="148" t="n">
        <f aca="false">VALUE(IF($D112="poš",$C112,0))+VALUE(IF($H112="poš",$G112,0))</f>
        <v>0</v>
      </c>
      <c r="X112" s="148" t="n">
        <f aca="false">VALUE(IF($D112="tel",$C112,0))+VALUE(IF($H112="tel",$G112,0))</f>
        <v>0</v>
      </c>
      <c r="Y112" s="148" t="n">
        <f aca="false">VALUE(IF($D112="dop",$C112,0))+VALUE(IF($H112="dop",$G112,0))</f>
        <v>0</v>
      </c>
      <c r="Z112" s="148" t="n">
        <f aca="false">VALUE(IF($D112="nák",$C112,0))+VALUE(IF($H112="nák",$G112,0))</f>
        <v>0</v>
      </c>
      <c r="AA112" s="148" t="n">
        <f aca="false">VALUE(IF($D112="náj",$C112,0))+VALUE(IF($H112="náj",$G112,0))</f>
        <v>0</v>
      </c>
      <c r="AB112" s="148" t="n">
        <f aca="false">VALUE(IF($D112="půj",$C112,0))+VALUE(IF($H112="půj",$G112,0))</f>
        <v>0</v>
      </c>
      <c r="AC112" s="148" t="n">
        <f aca="false">VALUE(IF($D112="vst",$C112,0))+VALUE(IF($H112="vst",$G112,0))</f>
        <v>0</v>
      </c>
      <c r="AD112" s="148" t="n">
        <f aca="false">VALUE(IF($D112="kop",$C112,0))+VALUE(IF($H112="kop",$G112,0))</f>
        <v>0</v>
      </c>
      <c r="AE112" s="148" t="n">
        <f aca="false">VALUE(IF($D112="osl",$C112,0))+VALUE(IF($H112="osl",$G112,0))</f>
        <v>0</v>
      </c>
      <c r="AF112" s="148" t="n">
        <f aca="false">VALUE(IF($D112="vra",$C112,0))+VALUE(IF($H112="vra",$G112,0))</f>
        <v>0</v>
      </c>
      <c r="AG112" s="148" t="n">
        <f aca="false">VALUE(IF($D112="zho",$C112,0))+VALUE(IF($H112="zho",$G112,0))</f>
        <v>0</v>
      </c>
      <c r="AH112" s="148" t="n">
        <f aca="false">VALUE(IF($D112="zbú",$C112,0))+VALUE(IF($H112="zbú",$G112,0))</f>
        <v>0</v>
      </c>
      <c r="AI112" s="148" t="n">
        <f aca="false">VALUE(IF($D112="pří",$C112,0))+VALUE(IF($H112="pří",$G112,0))</f>
        <v>0</v>
      </c>
      <c r="AJ112" s="148" t="n">
        <f aca="false">VALUE(IF($D112="dot",$C112,0))+VALUE(IF($H112="dot",$G112,0))</f>
        <v>0</v>
      </c>
      <c r="AK112" s="148" t="n">
        <f aca="false">VALUE(IF($D112="opř",$C112,0))+VALUE(IF($H112="opř",$G112,0))</f>
        <v>0</v>
      </c>
      <c r="AL112" s="148" t="n">
        <f aca="false">SUM(P112:AK112)</f>
        <v>0</v>
      </c>
      <c r="AN112" s="180" t="str">
        <f aca="false">CONCATENATE('Přehled akce'!$K$4," / ",'Přehled akce'!$K$5)</f>
        <v> / </v>
      </c>
      <c r="AO112" s="181" t="n">
        <f aca="false">IF('Příjmy a výdaje'!$G112="ano",'Příjmy a výdaje'!$B112,0)</f>
        <v>0</v>
      </c>
      <c r="AP112" s="182" t="n">
        <f aca="false">IF('Příjmy a výdaje'!$G112="ano",'Příjmy a výdaje'!$C112,0)</f>
        <v>0</v>
      </c>
      <c r="AQ112" s="183" t="n">
        <f aca="false">'Příjmy a výdaje'!$AP112</f>
        <v>0</v>
      </c>
    </row>
    <row r="113" customFormat="false" ht="12.75" hidden="false" customHeight="false" outlineLevel="0" collapsed="false">
      <c r="A113" s="169" t="n">
        <v>99</v>
      </c>
      <c r="B113" s="184"/>
      <c r="C113" s="194"/>
      <c r="D113" s="188"/>
      <c r="E113" s="188"/>
      <c r="F113" s="223"/>
      <c r="G113" s="224"/>
      <c r="H113" s="190"/>
      <c r="I113" s="195"/>
      <c r="J113" s="258" t="str">
        <f aca="false">IF(AL113=C113,IF(AL113=0,"-","ok"),"chyba")</f>
        <v>-</v>
      </c>
      <c r="K113" s="179"/>
      <c r="L113" s="179"/>
      <c r="M113" s="179"/>
      <c r="N113" s="179"/>
      <c r="P113" s="148" t="n">
        <f aca="false">VALUE(IF($D113="vyb",$C113,0))+VALUE(IF($H113="vyb",$G113,0))</f>
        <v>0</v>
      </c>
      <c r="Q113" s="148" t="n">
        <f aca="false">VALUE(IF($D113="mtv",$C113,0))+VALUE(IF($H113="mtv",$G113,0))</f>
        <v>0</v>
      </c>
      <c r="R113" s="148" t="n">
        <f aca="false">VALUE(IF($D113="mat",$C113,0))+VALUE(IF($H113="mat",$G113,0))</f>
        <v>0</v>
      </c>
      <c r="S113" s="148" t="n">
        <f aca="false">VALUE(IF($D113="pot",$C113,0))+VALUE(IF($H113="pot",$G113,0))</f>
        <v>0</v>
      </c>
      <c r="T113" s="148" t="n">
        <f aca="false">VALUE(IF($D113="táb",$C113,0))+VALUE(IF($H113="táb",$G113,0))</f>
        <v>0</v>
      </c>
      <c r="U113" s="148" t="n">
        <f aca="false">VALUE(IF($D113="oma",$C113,0))+VALUE(IF($H113="oma",$G113,0))</f>
        <v>0</v>
      </c>
      <c r="V113" s="148" t="n">
        <f aca="false">VALUE(IF($D113="ces",$C113,0))+VALUE(IF($H113="ces",$G113,0))</f>
        <v>0</v>
      </c>
      <c r="W113" s="148" t="n">
        <f aca="false">VALUE(IF($D113="poš",$C113,0))+VALUE(IF($H113="poš",$G113,0))</f>
        <v>0</v>
      </c>
      <c r="X113" s="148" t="n">
        <f aca="false">VALUE(IF($D113="tel",$C113,0))+VALUE(IF($H113="tel",$G113,0))</f>
        <v>0</v>
      </c>
      <c r="Y113" s="148" t="n">
        <f aca="false">VALUE(IF($D113="dop",$C113,0))+VALUE(IF($H113="dop",$G113,0))</f>
        <v>0</v>
      </c>
      <c r="Z113" s="148" t="n">
        <f aca="false">VALUE(IF($D113="nák",$C113,0))+VALUE(IF($H113="nák",$G113,0))</f>
        <v>0</v>
      </c>
      <c r="AA113" s="148" t="n">
        <f aca="false">VALUE(IF($D113="náj",$C113,0))+VALUE(IF($H113="náj",$G113,0))</f>
        <v>0</v>
      </c>
      <c r="AB113" s="148" t="n">
        <f aca="false">VALUE(IF($D113="půj",$C113,0))+VALUE(IF($H113="půj",$G113,0))</f>
        <v>0</v>
      </c>
      <c r="AC113" s="148" t="n">
        <f aca="false">VALUE(IF($D113="vst",$C113,0))+VALUE(IF($H113="vst",$G113,0))</f>
        <v>0</v>
      </c>
      <c r="AD113" s="148" t="n">
        <f aca="false">VALUE(IF($D113="kop",$C113,0))+VALUE(IF($H113="kop",$G113,0))</f>
        <v>0</v>
      </c>
      <c r="AE113" s="148" t="n">
        <f aca="false">VALUE(IF($D113="osl",$C113,0))+VALUE(IF($H113="osl",$G113,0))</f>
        <v>0</v>
      </c>
      <c r="AF113" s="148" t="n">
        <f aca="false">VALUE(IF($D113="vra",$C113,0))+VALUE(IF($H113="vra",$G113,0))</f>
        <v>0</v>
      </c>
      <c r="AG113" s="148" t="n">
        <f aca="false">VALUE(IF($D113="zho",$C113,0))+VALUE(IF($H113="zho",$G113,0))</f>
        <v>0</v>
      </c>
      <c r="AH113" s="148" t="n">
        <f aca="false">VALUE(IF($D113="zbú",$C113,0))+VALUE(IF($H113="zbú",$G113,0))</f>
        <v>0</v>
      </c>
      <c r="AI113" s="148" t="n">
        <f aca="false">VALUE(IF($D113="pří",$C113,0))+VALUE(IF($H113="pří",$G113,0))</f>
        <v>0</v>
      </c>
      <c r="AJ113" s="148" t="n">
        <f aca="false">VALUE(IF($D113="dot",$C113,0))+VALUE(IF($H113="dot",$G113,0))</f>
        <v>0</v>
      </c>
      <c r="AK113" s="148" t="n">
        <f aca="false">VALUE(IF($D113="opř",$C113,0))+VALUE(IF($H113="opř",$G113,0))</f>
        <v>0</v>
      </c>
      <c r="AL113" s="148" t="n">
        <f aca="false">SUM(P113:AK113)</f>
        <v>0</v>
      </c>
      <c r="AN113" s="180" t="str">
        <f aca="false">CONCATENATE('Přehled akce'!$K$4," / ",'Přehled akce'!$K$5)</f>
        <v> / </v>
      </c>
      <c r="AO113" s="181" t="n">
        <f aca="false">IF('Příjmy a výdaje'!$G113="ano",'Příjmy a výdaje'!$B113,0)</f>
        <v>0</v>
      </c>
      <c r="AP113" s="182" t="n">
        <f aca="false">IF('Příjmy a výdaje'!$G113="ano",'Příjmy a výdaje'!$C113,0)</f>
        <v>0</v>
      </c>
      <c r="AQ113" s="183" t="n">
        <f aca="false">'Příjmy a výdaje'!$AP113</f>
        <v>0</v>
      </c>
    </row>
    <row r="114" customFormat="false" ht="12.75" hidden="false" customHeight="false" outlineLevel="0" collapsed="false">
      <c r="A114" s="169" t="n">
        <v>100</v>
      </c>
      <c r="B114" s="184"/>
      <c r="C114" s="194"/>
      <c r="D114" s="174"/>
      <c r="E114" s="188"/>
      <c r="F114" s="223"/>
      <c r="G114" s="224"/>
      <c r="H114" s="190"/>
      <c r="I114" s="195"/>
      <c r="J114" s="178" t="str">
        <f aca="false">IF(AL114=C114,IF(AL114=0,"-","ok"),"chyba")</f>
        <v>-</v>
      </c>
      <c r="K114" s="179"/>
      <c r="L114" s="179"/>
      <c r="M114" s="179"/>
      <c r="N114" s="179"/>
      <c r="P114" s="148" t="n">
        <f aca="false">VALUE(IF($D114="vyb",$C114,0))+VALUE(IF($H114="vyb",$G114,0))</f>
        <v>0</v>
      </c>
      <c r="Q114" s="148" t="n">
        <f aca="false">VALUE(IF($D114="mtv",$C114,0))+VALUE(IF($H114="mtv",$G114,0))</f>
        <v>0</v>
      </c>
      <c r="R114" s="148" t="n">
        <f aca="false">VALUE(IF($D114="mat",$C114,0))+VALUE(IF($H114="mat",$G114,0))</f>
        <v>0</v>
      </c>
      <c r="S114" s="148" t="n">
        <f aca="false">VALUE(IF($D114="pot",$C114,0))+VALUE(IF($H114="pot",$G114,0))</f>
        <v>0</v>
      </c>
      <c r="T114" s="148" t="n">
        <f aca="false">VALUE(IF($D114="táb",$C114,0))+VALUE(IF($H114="táb",$G114,0))</f>
        <v>0</v>
      </c>
      <c r="U114" s="148" t="n">
        <f aca="false">VALUE(IF($D114="oma",$C114,0))+VALUE(IF($H114="oma",$G114,0))</f>
        <v>0</v>
      </c>
      <c r="V114" s="148" t="n">
        <f aca="false">VALUE(IF($D114="ces",$C114,0))+VALUE(IF($H114="ces",$G114,0))</f>
        <v>0</v>
      </c>
      <c r="W114" s="148" t="n">
        <f aca="false">VALUE(IF($D114="poš",$C114,0))+VALUE(IF($H114="poš",$G114,0))</f>
        <v>0</v>
      </c>
      <c r="X114" s="148" t="n">
        <f aca="false">VALUE(IF($D114="tel",$C114,0))+VALUE(IF($H114="tel",$G114,0))</f>
        <v>0</v>
      </c>
      <c r="Y114" s="148" t="n">
        <f aca="false">VALUE(IF($D114="dop",$C114,0))+VALUE(IF($H114="dop",$G114,0))</f>
        <v>0</v>
      </c>
      <c r="Z114" s="148" t="n">
        <f aca="false">VALUE(IF($D114="nák",$C114,0))+VALUE(IF($H114="nák",$G114,0))</f>
        <v>0</v>
      </c>
      <c r="AA114" s="148" t="n">
        <f aca="false">VALUE(IF($D114="náj",$C114,0))+VALUE(IF($H114="náj",$G114,0))</f>
        <v>0</v>
      </c>
      <c r="AB114" s="148" t="n">
        <f aca="false">VALUE(IF($D114="půj",$C114,0))+VALUE(IF($H114="půj",$G114,0))</f>
        <v>0</v>
      </c>
      <c r="AC114" s="148" t="n">
        <f aca="false">VALUE(IF($D114="vst",$C114,0))+VALUE(IF($H114="vst",$G114,0))</f>
        <v>0</v>
      </c>
      <c r="AD114" s="148" t="n">
        <f aca="false">VALUE(IF($D114="kop",$C114,0))+VALUE(IF($H114="kop",$G114,0))</f>
        <v>0</v>
      </c>
      <c r="AE114" s="148" t="n">
        <f aca="false">VALUE(IF($D114="osl",$C114,0))+VALUE(IF($H114="osl",$G114,0))</f>
        <v>0</v>
      </c>
      <c r="AF114" s="148" t="n">
        <f aca="false">VALUE(IF($D114="vra",$C114,0))+VALUE(IF($H114="vra",$G114,0))</f>
        <v>0</v>
      </c>
      <c r="AG114" s="148" t="n">
        <f aca="false">VALUE(IF($D114="zho",$C114,0))+VALUE(IF($H114="zho",$G114,0))</f>
        <v>0</v>
      </c>
      <c r="AH114" s="148" t="n">
        <f aca="false">VALUE(IF($D114="zbú",$C114,0))+VALUE(IF($H114="zbú",$G114,0))</f>
        <v>0</v>
      </c>
      <c r="AI114" s="148" t="n">
        <f aca="false">VALUE(IF($D114="pří",$C114,0))+VALUE(IF($H114="pří",$G114,0))</f>
        <v>0</v>
      </c>
      <c r="AJ114" s="148" t="n">
        <f aca="false">VALUE(IF($D114="dot",$C114,0))+VALUE(IF($H114="dot",$G114,0))</f>
        <v>0</v>
      </c>
      <c r="AK114" s="148" t="n">
        <f aca="false">VALUE(IF($D114="opř",$C114,0))+VALUE(IF($H114="opř",$G114,0))</f>
        <v>0</v>
      </c>
      <c r="AL114" s="148" t="n">
        <f aca="false">SUM(P114:AK114)</f>
        <v>0</v>
      </c>
      <c r="AN114" s="180" t="str">
        <f aca="false">CONCATENATE('Přehled akce'!$K$4," / ",'Přehled akce'!$K$5)</f>
        <v> / </v>
      </c>
      <c r="AO114" s="181" t="n">
        <f aca="false">IF('Příjmy a výdaje'!$G114="ano",'Příjmy a výdaje'!$B114,0)</f>
        <v>0</v>
      </c>
      <c r="AP114" s="182" t="n">
        <f aca="false">IF('Příjmy a výdaje'!$G114="ano",'Příjmy a výdaje'!$C114,0)</f>
        <v>0</v>
      </c>
      <c r="AQ114" s="183" t="n">
        <f aca="false">'Příjmy a výdaje'!$AP114</f>
        <v>0</v>
      </c>
    </row>
    <row r="115" customFormat="false" ht="12.75" hidden="false" customHeight="false" outlineLevel="0" collapsed="false">
      <c r="A115" s="169" t="n">
        <v>101</v>
      </c>
      <c r="B115" s="184"/>
      <c r="C115" s="194"/>
      <c r="D115" s="174"/>
      <c r="E115" s="188"/>
      <c r="F115" s="223"/>
      <c r="G115" s="224"/>
      <c r="H115" s="190"/>
      <c r="I115" s="195"/>
      <c r="J115" s="178" t="str">
        <f aca="false">IF(AL115=C115,IF(AL115=0,"-","ok"),"chyba")</f>
        <v>-</v>
      </c>
      <c r="K115" s="179"/>
      <c r="L115" s="179"/>
      <c r="M115" s="179"/>
      <c r="N115" s="179"/>
      <c r="P115" s="148" t="n">
        <f aca="false">VALUE(IF($D115="vyb",$C115,0))+VALUE(IF($H115="vyb",$G115,0))</f>
        <v>0</v>
      </c>
      <c r="Q115" s="148" t="n">
        <f aca="false">VALUE(IF($D115="mtv",$C115,0))+VALUE(IF($H115="mtv",$G115,0))</f>
        <v>0</v>
      </c>
      <c r="R115" s="148" t="n">
        <f aca="false">VALUE(IF($D115="mat",$C115,0))+VALUE(IF($H115="mat",$G115,0))</f>
        <v>0</v>
      </c>
      <c r="S115" s="148" t="n">
        <f aca="false">VALUE(IF($D115="pot",$C115,0))+VALUE(IF($H115="pot",$G115,0))</f>
        <v>0</v>
      </c>
      <c r="T115" s="148" t="n">
        <f aca="false">VALUE(IF($D115="táb",$C115,0))+VALUE(IF($H115="táb",$G115,0))</f>
        <v>0</v>
      </c>
      <c r="U115" s="148" t="n">
        <f aca="false">VALUE(IF($D115="oma",$C115,0))+VALUE(IF($H115="oma",$G115,0))</f>
        <v>0</v>
      </c>
      <c r="V115" s="148" t="n">
        <f aca="false">VALUE(IF($D115="ces",$C115,0))+VALUE(IF($H115="ces",$G115,0))</f>
        <v>0</v>
      </c>
      <c r="W115" s="148" t="n">
        <f aca="false">VALUE(IF($D115="poš",$C115,0))+VALUE(IF($H115="poš",$G115,0))</f>
        <v>0</v>
      </c>
      <c r="X115" s="148" t="n">
        <f aca="false">VALUE(IF($D115="tel",$C115,0))+VALUE(IF($H115="tel",$G115,0))</f>
        <v>0</v>
      </c>
      <c r="Y115" s="148" t="n">
        <f aca="false">VALUE(IF($D115="dop",$C115,0))+VALUE(IF($H115="dop",$G115,0))</f>
        <v>0</v>
      </c>
      <c r="Z115" s="148" t="n">
        <f aca="false">VALUE(IF($D115="nák",$C115,0))+VALUE(IF($H115="nák",$G115,0))</f>
        <v>0</v>
      </c>
      <c r="AA115" s="148" t="n">
        <f aca="false">VALUE(IF($D115="náj",$C115,0))+VALUE(IF($H115="náj",$G115,0))</f>
        <v>0</v>
      </c>
      <c r="AB115" s="148" t="n">
        <f aca="false">VALUE(IF($D115="půj",$C115,0))+VALUE(IF($H115="půj",$G115,0))</f>
        <v>0</v>
      </c>
      <c r="AC115" s="148" t="n">
        <f aca="false">VALUE(IF($D115="vst",$C115,0))+VALUE(IF($H115="vst",$G115,0))</f>
        <v>0</v>
      </c>
      <c r="AD115" s="148" t="n">
        <f aca="false">VALUE(IF($D115="kop",$C115,0))+VALUE(IF($H115="kop",$G115,0))</f>
        <v>0</v>
      </c>
      <c r="AE115" s="148" t="n">
        <f aca="false">VALUE(IF($D115="osl",$C115,0))+VALUE(IF($H115="osl",$G115,0))</f>
        <v>0</v>
      </c>
      <c r="AF115" s="148" t="n">
        <f aca="false">VALUE(IF($D115="vra",$C115,0))+VALUE(IF($H115="vra",$G115,0))</f>
        <v>0</v>
      </c>
      <c r="AG115" s="148" t="n">
        <f aca="false">VALUE(IF($D115="zho",$C115,0))+VALUE(IF($H115="zho",$G115,0))</f>
        <v>0</v>
      </c>
      <c r="AH115" s="148" t="n">
        <f aca="false">VALUE(IF($D115="zbú",$C115,0))+VALUE(IF($H115="zbú",$G115,0))</f>
        <v>0</v>
      </c>
      <c r="AI115" s="148" t="n">
        <f aca="false">VALUE(IF($D115="pří",$C115,0))+VALUE(IF($H115="pří",$G115,0))</f>
        <v>0</v>
      </c>
      <c r="AJ115" s="148" t="n">
        <f aca="false">VALUE(IF($D115="dot",$C115,0))+VALUE(IF($H115="dot",$G115,0))</f>
        <v>0</v>
      </c>
      <c r="AK115" s="148" t="n">
        <f aca="false">VALUE(IF($D115="opř",$C115,0))+VALUE(IF($H115="opř",$G115,0))</f>
        <v>0</v>
      </c>
      <c r="AL115" s="148" t="n">
        <f aca="false">SUM(P115:AK115)</f>
        <v>0</v>
      </c>
      <c r="AN115" s="180" t="str">
        <f aca="false">CONCATENATE('Přehled akce'!$K$4," / ",'Přehled akce'!$K$5)</f>
        <v> / </v>
      </c>
      <c r="AO115" s="181" t="n">
        <f aca="false">IF('Příjmy a výdaje'!$G115="ano",'Příjmy a výdaje'!$B115,0)</f>
        <v>0</v>
      </c>
      <c r="AP115" s="182" t="n">
        <f aca="false">IF('Příjmy a výdaje'!$G115="ano",'Příjmy a výdaje'!$C115,0)</f>
        <v>0</v>
      </c>
      <c r="AQ115" s="183" t="n">
        <f aca="false">'Příjmy a výdaje'!$AP115</f>
        <v>0</v>
      </c>
    </row>
    <row r="116" customFormat="false" ht="12.75" hidden="false" customHeight="false" outlineLevel="0" collapsed="false">
      <c r="A116" s="169" t="n">
        <v>102</v>
      </c>
      <c r="B116" s="184"/>
      <c r="C116" s="194"/>
      <c r="D116" s="174"/>
      <c r="E116" s="188"/>
      <c r="F116" s="223"/>
      <c r="G116" s="224"/>
      <c r="H116" s="190"/>
      <c r="I116" s="195"/>
      <c r="J116" s="178" t="str">
        <f aca="false">IF(AL116=C116,IF(AL116=0,"-","ok"),"chyba")</f>
        <v>-</v>
      </c>
      <c r="K116" s="179"/>
      <c r="L116" s="179"/>
      <c r="M116" s="179"/>
      <c r="N116" s="179"/>
      <c r="P116" s="148" t="n">
        <f aca="false">VALUE(IF($D116="vyb",$C116,0))+VALUE(IF($H116="vyb",$G116,0))</f>
        <v>0</v>
      </c>
      <c r="Q116" s="148" t="n">
        <f aca="false">VALUE(IF($D116="mtv",$C116,0))+VALUE(IF($H116="mtv",$G116,0))</f>
        <v>0</v>
      </c>
      <c r="R116" s="148" t="n">
        <f aca="false">VALUE(IF($D116="mat",$C116,0))+VALUE(IF($H116="mat",$G116,0))</f>
        <v>0</v>
      </c>
      <c r="S116" s="148" t="n">
        <f aca="false">VALUE(IF($D116="pot",$C116,0))+VALUE(IF($H116="pot",$G116,0))</f>
        <v>0</v>
      </c>
      <c r="T116" s="148" t="n">
        <f aca="false">VALUE(IF($D116="táb",$C116,0))+VALUE(IF($H116="táb",$G116,0))</f>
        <v>0</v>
      </c>
      <c r="U116" s="148" t="n">
        <f aca="false">VALUE(IF($D116="oma",$C116,0))+VALUE(IF($H116="oma",$G116,0))</f>
        <v>0</v>
      </c>
      <c r="V116" s="148" t="n">
        <f aca="false">VALUE(IF($D116="ces",$C116,0))+VALUE(IF($H116="ces",$G116,0))</f>
        <v>0</v>
      </c>
      <c r="W116" s="148" t="n">
        <f aca="false">VALUE(IF($D116="poš",$C116,0))+VALUE(IF($H116="poš",$G116,0))</f>
        <v>0</v>
      </c>
      <c r="X116" s="148" t="n">
        <f aca="false">VALUE(IF($D116="tel",$C116,0))+VALUE(IF($H116="tel",$G116,0))</f>
        <v>0</v>
      </c>
      <c r="Y116" s="148" t="n">
        <f aca="false">VALUE(IF($D116="dop",$C116,0))+VALUE(IF($H116="dop",$G116,0))</f>
        <v>0</v>
      </c>
      <c r="Z116" s="148" t="n">
        <f aca="false">VALUE(IF($D116="nák",$C116,0))+VALUE(IF($H116="nák",$G116,0))</f>
        <v>0</v>
      </c>
      <c r="AA116" s="148" t="n">
        <f aca="false">VALUE(IF($D116="náj",$C116,0))+VALUE(IF($H116="náj",$G116,0))</f>
        <v>0</v>
      </c>
      <c r="AB116" s="148" t="n">
        <f aca="false">VALUE(IF($D116="půj",$C116,0))+VALUE(IF($H116="půj",$G116,0))</f>
        <v>0</v>
      </c>
      <c r="AC116" s="148" t="n">
        <f aca="false">VALUE(IF($D116="vst",$C116,0))+VALUE(IF($H116="vst",$G116,0))</f>
        <v>0</v>
      </c>
      <c r="AD116" s="148" t="n">
        <f aca="false">VALUE(IF($D116="kop",$C116,0))+VALUE(IF($H116="kop",$G116,0))</f>
        <v>0</v>
      </c>
      <c r="AE116" s="148" t="n">
        <f aca="false">VALUE(IF($D116="osl",$C116,0))+VALUE(IF($H116="osl",$G116,0))</f>
        <v>0</v>
      </c>
      <c r="AF116" s="148" t="n">
        <f aca="false">VALUE(IF($D116="vra",$C116,0))+VALUE(IF($H116="vra",$G116,0))</f>
        <v>0</v>
      </c>
      <c r="AG116" s="148" t="n">
        <f aca="false">VALUE(IF($D116="zho",$C116,0))+VALUE(IF($H116="zho",$G116,0))</f>
        <v>0</v>
      </c>
      <c r="AH116" s="148" t="n">
        <f aca="false">VALUE(IF($D116="zbú",$C116,0))+VALUE(IF($H116="zbú",$G116,0))</f>
        <v>0</v>
      </c>
      <c r="AI116" s="148" t="n">
        <f aca="false">VALUE(IF($D116="pří",$C116,0))+VALUE(IF($H116="pří",$G116,0))</f>
        <v>0</v>
      </c>
      <c r="AJ116" s="148" t="n">
        <f aca="false">VALUE(IF($D116="dot",$C116,0))+VALUE(IF($H116="dot",$G116,0))</f>
        <v>0</v>
      </c>
      <c r="AK116" s="148" t="n">
        <f aca="false">VALUE(IF($D116="opř",$C116,0))+VALUE(IF($H116="opř",$G116,0))</f>
        <v>0</v>
      </c>
      <c r="AL116" s="148" t="n">
        <f aca="false">SUM(P116:AK116)</f>
        <v>0</v>
      </c>
      <c r="AN116" s="180" t="str">
        <f aca="false">CONCATENATE('Přehled akce'!$K$4," / ",'Přehled akce'!$K$5)</f>
        <v> / </v>
      </c>
      <c r="AO116" s="181" t="n">
        <f aca="false">IF('Příjmy a výdaje'!$G116="ano",'Příjmy a výdaje'!$B116,0)</f>
        <v>0</v>
      </c>
      <c r="AP116" s="182" t="n">
        <f aca="false">IF('Příjmy a výdaje'!$G116="ano",'Příjmy a výdaje'!$C116,0)</f>
        <v>0</v>
      </c>
      <c r="AQ116" s="183" t="n">
        <f aca="false">'Příjmy a výdaje'!$AP116</f>
        <v>0</v>
      </c>
    </row>
    <row r="117" customFormat="false" ht="13.5" hidden="false" customHeight="false" outlineLevel="0" collapsed="false">
      <c r="A117" s="169" t="n">
        <v>103</v>
      </c>
      <c r="B117" s="197"/>
      <c r="C117" s="198"/>
      <c r="D117" s="199"/>
      <c r="E117" s="199"/>
      <c r="F117" s="229"/>
      <c r="G117" s="230"/>
      <c r="H117" s="190"/>
      <c r="I117" s="195"/>
      <c r="J117" s="231" t="str">
        <f aca="false">IF(AL117=C117,IF(AL117=0,"-","ok"),"chyba")</f>
        <v>-</v>
      </c>
      <c r="K117" s="179"/>
      <c r="L117" s="179"/>
      <c r="M117" s="179"/>
      <c r="N117" s="179"/>
      <c r="O117" s="248"/>
      <c r="P117" s="148" t="n">
        <f aca="false">VALUE(IF($D117="vyb",$C117,0))+VALUE(IF($H117="vyb",$G117,0))</f>
        <v>0</v>
      </c>
      <c r="Q117" s="148" t="n">
        <f aca="false">VALUE(IF($D117="mtv",$C117,0))+VALUE(IF($H117="mtv",$G117,0))</f>
        <v>0</v>
      </c>
      <c r="R117" s="148" t="n">
        <f aca="false">VALUE(IF($D117="mat",$C117,0))+VALUE(IF($H117="mat",$G117,0))</f>
        <v>0</v>
      </c>
      <c r="S117" s="148" t="n">
        <f aca="false">VALUE(IF($D117="pot",$C117,0))+VALUE(IF($H117="pot",$G117,0))</f>
        <v>0</v>
      </c>
      <c r="T117" s="148" t="n">
        <f aca="false">VALUE(IF($D117="táb",$C117,0))+VALUE(IF($H117="táb",$G117,0))</f>
        <v>0</v>
      </c>
      <c r="U117" s="148" t="n">
        <f aca="false">VALUE(IF($D117="oma",$C117,0))+VALUE(IF($H117="oma",$G117,0))</f>
        <v>0</v>
      </c>
      <c r="V117" s="148" t="n">
        <f aca="false">VALUE(IF($D117="ces",$C117,0))+VALUE(IF($H117="ces",$G117,0))</f>
        <v>0</v>
      </c>
      <c r="W117" s="148" t="n">
        <f aca="false">VALUE(IF($D117="poš",$C117,0))+VALUE(IF($H117="poš",$G117,0))</f>
        <v>0</v>
      </c>
      <c r="X117" s="148" t="n">
        <f aca="false">VALUE(IF($D117="tel",$C117,0))+VALUE(IF($H117="tel",$G117,0))</f>
        <v>0</v>
      </c>
      <c r="Y117" s="148" t="n">
        <f aca="false">VALUE(IF($D117="dop",$C117,0))+VALUE(IF($H117="dop",$G117,0))</f>
        <v>0</v>
      </c>
      <c r="Z117" s="148" t="n">
        <f aca="false">VALUE(IF($D117="nák",$C117,0))+VALUE(IF($H117="nák",$G117,0))</f>
        <v>0</v>
      </c>
      <c r="AA117" s="148" t="n">
        <f aca="false">VALUE(IF($D117="náj",$C117,0))+VALUE(IF($H117="náj",$G117,0))</f>
        <v>0</v>
      </c>
      <c r="AB117" s="148" t="n">
        <f aca="false">VALUE(IF($D117="půj",$C117,0))+VALUE(IF($H117="půj",$G117,0))</f>
        <v>0</v>
      </c>
      <c r="AC117" s="148" t="n">
        <f aca="false">VALUE(IF($D117="vst",$C117,0))+VALUE(IF($H117="vst",$G117,0))</f>
        <v>0</v>
      </c>
      <c r="AD117" s="148" t="n">
        <f aca="false">VALUE(IF($D117="kop",$C117,0))+VALUE(IF($H117="kop",$G117,0))</f>
        <v>0</v>
      </c>
      <c r="AE117" s="148" t="n">
        <f aca="false">VALUE(IF($D117="osl",$C117,0))+VALUE(IF($H117="osl",$G117,0))</f>
        <v>0</v>
      </c>
      <c r="AF117" s="148" t="n">
        <f aca="false">VALUE(IF($D117="vra",$C117,0))+VALUE(IF($H117="vra",$G117,0))</f>
        <v>0</v>
      </c>
      <c r="AG117" s="148" t="n">
        <f aca="false">VALUE(IF($D117="zho",$C117,0))+VALUE(IF($H117="zho",$G117,0))</f>
        <v>0</v>
      </c>
      <c r="AH117" s="148" t="n">
        <f aca="false">VALUE(IF($D117="zbú",$C117,0))+VALUE(IF($H117="zbú",$G117,0))</f>
        <v>0</v>
      </c>
      <c r="AI117" s="148" t="n">
        <f aca="false">VALUE(IF($D117="pří",$C117,0))+VALUE(IF($H117="pří",$G117,0))</f>
        <v>0</v>
      </c>
      <c r="AJ117" s="148" t="n">
        <f aca="false">VALUE(IF($D117="dot",$C117,0))+VALUE(IF($H117="dot",$G117,0))</f>
        <v>0</v>
      </c>
      <c r="AK117" s="148" t="n">
        <f aca="false">VALUE(IF($D117="opř",$C117,0))+VALUE(IF($H117="opř",$G117,0))</f>
        <v>0</v>
      </c>
      <c r="AL117" s="148" t="n">
        <f aca="false">SUM(P117:AK117)</f>
        <v>0</v>
      </c>
      <c r="AN117" s="180" t="str">
        <f aca="false">CONCATENATE('Přehled akce'!$K$4," / ",'Přehled akce'!$K$5)</f>
        <v> / </v>
      </c>
      <c r="AO117" s="181" t="n">
        <f aca="false">IF('Příjmy a výdaje'!$G117="ano",'Příjmy a výdaje'!$B117,0)</f>
        <v>0</v>
      </c>
      <c r="AP117" s="182" t="n">
        <f aca="false">IF('Příjmy a výdaje'!$G117="ano",'Příjmy a výdaje'!$C117,0)</f>
        <v>0</v>
      </c>
      <c r="AQ117" s="183" t="n">
        <f aca="false">'Příjmy a výdaje'!$AP117</f>
        <v>0</v>
      </c>
    </row>
    <row r="118" customFormat="false" ht="3.75" hidden="false" customHeight="true" outlineLevel="0" collapsed="false">
      <c r="A118" s="259"/>
      <c r="B118" s="232"/>
      <c r="C118" s="206"/>
      <c r="D118" s="207"/>
      <c r="E118" s="207"/>
      <c r="F118" s="232"/>
      <c r="G118" s="208"/>
      <c r="H118" s="207"/>
      <c r="I118" s="241"/>
      <c r="J118" s="210"/>
      <c r="K118" s="210"/>
      <c r="L118" s="210"/>
      <c r="M118" s="210"/>
      <c r="N118" s="210"/>
      <c r="O118" s="260"/>
      <c r="P118" s="148" t="n">
        <f aca="false">VALUE(IF($D118="vyb",$C118,0))+VALUE(IF($H118="vyb",$G118,0))</f>
        <v>0</v>
      </c>
      <c r="Q118" s="148" t="n">
        <f aca="false">VALUE(IF($D118="mtv",$C118,0))+VALUE(IF($H118="mtv",$G118,0))</f>
        <v>0</v>
      </c>
      <c r="R118" s="148" t="n">
        <f aca="false">VALUE(IF($D118="mat",$C118,0))+VALUE(IF($H118="mat",$G118,0))</f>
        <v>0</v>
      </c>
      <c r="S118" s="148" t="n">
        <f aca="false">VALUE(IF($D118="pot",$C118,0))+VALUE(IF($H118="pot",$G118,0))</f>
        <v>0</v>
      </c>
      <c r="T118" s="148" t="n">
        <f aca="false">VALUE(IF($D118="táb",$C118,0))+VALUE(IF($H118="táb",$G118,0))</f>
        <v>0</v>
      </c>
      <c r="U118" s="148" t="n">
        <f aca="false">VALUE(IF($D118="oma",$C118,0))+VALUE(IF($H118="oma",$G118,0))</f>
        <v>0</v>
      </c>
      <c r="V118" s="148" t="n">
        <f aca="false">VALUE(IF($D118="ces",$C118,0))+VALUE(IF($H118="ces",$G118,0))</f>
        <v>0</v>
      </c>
      <c r="W118" s="148" t="n">
        <f aca="false">VALUE(IF($D118="poš",$C118,0))+VALUE(IF($H118="poš",$G118,0))</f>
        <v>0</v>
      </c>
      <c r="X118" s="148" t="n">
        <f aca="false">VALUE(IF($D118="tel",$C118,0))+VALUE(IF($H118="tel",$G118,0))</f>
        <v>0</v>
      </c>
      <c r="Y118" s="148" t="n">
        <f aca="false">VALUE(IF($D118="dop",$C118,0))+VALUE(IF($H118="dop",$G118,0))</f>
        <v>0</v>
      </c>
      <c r="Z118" s="148" t="n">
        <f aca="false">VALUE(IF($D118="nák",$C118,0))+VALUE(IF($H118="nák",$G118,0))</f>
        <v>0</v>
      </c>
      <c r="AA118" s="148" t="n">
        <f aca="false">VALUE(IF($D118="náj",$C118,0))+VALUE(IF($H118="náj",$G118,0))</f>
        <v>0</v>
      </c>
      <c r="AB118" s="148" t="n">
        <f aca="false">VALUE(IF($D118="půj",$C118,0))+VALUE(IF($H118="půj",$G118,0))</f>
        <v>0</v>
      </c>
      <c r="AC118" s="148" t="n">
        <f aca="false">VALUE(IF($D118="vst",$C118,0))+VALUE(IF($H118="vst",$G118,0))</f>
        <v>0</v>
      </c>
      <c r="AD118" s="148" t="n">
        <f aca="false">VALUE(IF($D118="kop",$C118,0))+VALUE(IF($H118="kop",$G118,0))</f>
        <v>0</v>
      </c>
      <c r="AE118" s="148" t="n">
        <f aca="false">VALUE(IF($D118="osl",$C118,0))+VALUE(IF($H118="osl",$G118,0))</f>
        <v>0</v>
      </c>
      <c r="AF118" s="148" t="n">
        <f aca="false">VALUE(IF($D118="vra",$C118,0))+VALUE(IF($H118="vra",$G118,0))</f>
        <v>0</v>
      </c>
      <c r="AG118" s="148" t="n">
        <f aca="false">VALUE(IF($D118="zho",$C118,0))+VALUE(IF($H118="zho",$G118,0))</f>
        <v>0</v>
      </c>
      <c r="AH118" s="148" t="n">
        <f aca="false">VALUE(IF($D118="zbú",$C118,0))+VALUE(IF($H118="zbú",$G118,0))</f>
        <v>0</v>
      </c>
      <c r="AI118" s="148" t="n">
        <f aca="false">VALUE(IF($D118="pří",$C118,0))+VALUE(IF($H118="pří",$G118,0))</f>
        <v>0</v>
      </c>
      <c r="AJ118" s="148" t="n">
        <f aca="false">VALUE(IF($D118="dot",$C118,0))+VALUE(IF($H118="dot",$G118,0))</f>
        <v>0</v>
      </c>
      <c r="AK118" s="148" t="n">
        <f aca="false">VALUE(IF($D118="opř",$C118,0))+VALUE(IF($H118="opř",$G118,0))</f>
        <v>0</v>
      </c>
      <c r="AL118" s="243" t="n">
        <f aca="false">SUM(P118:AK118)</f>
        <v>0</v>
      </c>
      <c r="AM118" s="244"/>
      <c r="AN118" s="180"/>
      <c r="AO118" s="181"/>
      <c r="AP118" s="182"/>
      <c r="AQ118" s="183"/>
      <c r="AR118" s="244"/>
      <c r="AS118" s="244"/>
      <c r="AT118" s="244"/>
      <c r="AU118" s="244"/>
      <c r="AV118" s="244"/>
      <c r="AW118" s="244"/>
      <c r="AX118" s="244"/>
      <c r="AY118" s="244"/>
      <c r="AZ118" s="244"/>
      <c r="BA118" s="244"/>
      <c r="BB118" s="244"/>
      <c r="BC118" s="244"/>
      <c r="BD118" s="244"/>
    </row>
    <row r="119" customFormat="false" ht="19.5" hidden="false" customHeight="true" outlineLevel="0" collapsed="false">
      <c r="B119" s="156" t="s">
        <v>124</v>
      </c>
      <c r="C119" s="156"/>
      <c r="D119" s="156"/>
      <c r="E119" s="156"/>
      <c r="F119" s="156"/>
      <c r="G119" s="156"/>
      <c r="H119" s="156"/>
      <c r="I119" s="151"/>
      <c r="J119" s="212"/>
      <c r="K119" s="151"/>
      <c r="L119" s="151"/>
      <c r="M119" s="1"/>
      <c r="N119" s="1"/>
      <c r="P119" s="148" t="n">
        <f aca="false">VALUE(IF($D119="vyb",$C119,0))+VALUE(IF($H119="vyb",$G119,0))</f>
        <v>0</v>
      </c>
      <c r="Q119" s="148" t="n">
        <f aca="false">VALUE(IF($D119="mtv",$C119,0))+VALUE(IF($H119="mtv",$G119,0))</f>
        <v>0</v>
      </c>
      <c r="R119" s="148" t="n">
        <f aca="false">VALUE(IF($D119="mat",$C119,0))+VALUE(IF($H119="mat",$G119,0))</f>
        <v>0</v>
      </c>
      <c r="S119" s="148" t="n">
        <f aca="false">VALUE(IF($D119="pot",$C119,0))+VALUE(IF($H119="pot",$G119,0))</f>
        <v>0</v>
      </c>
      <c r="T119" s="148" t="n">
        <f aca="false">VALUE(IF($D119="táb",$C119,0))+VALUE(IF($H119="táb",$G119,0))</f>
        <v>0</v>
      </c>
      <c r="U119" s="148" t="n">
        <f aca="false">VALUE(IF($D119="oma",$C119,0))+VALUE(IF($H119="oma",$G119,0))</f>
        <v>0</v>
      </c>
      <c r="V119" s="148" t="n">
        <f aca="false">VALUE(IF($D119="ces",$C119,0))+VALUE(IF($H119="ces",$G119,0))</f>
        <v>0</v>
      </c>
      <c r="W119" s="148" t="n">
        <f aca="false">VALUE(IF($D119="poš",$C119,0))+VALUE(IF($H119="poš",$G119,0))</f>
        <v>0</v>
      </c>
      <c r="X119" s="148" t="n">
        <f aca="false">VALUE(IF($D119="tel",$C119,0))+VALUE(IF($H119="tel",$G119,0))</f>
        <v>0</v>
      </c>
      <c r="Y119" s="148" t="n">
        <f aca="false">VALUE(IF($D119="dop",$C119,0))+VALUE(IF($H119="dop",$G119,0))</f>
        <v>0</v>
      </c>
      <c r="Z119" s="148" t="n">
        <f aca="false">VALUE(IF($D119="nák",$C119,0))+VALUE(IF($H119="nák",$G119,0))</f>
        <v>0</v>
      </c>
      <c r="AA119" s="148" t="n">
        <f aca="false">VALUE(IF($D119="náj",$C119,0))+VALUE(IF($H119="náj",$G119,0))</f>
        <v>0</v>
      </c>
      <c r="AB119" s="148" t="n">
        <f aca="false">VALUE(IF($D119="půj",$C119,0))+VALUE(IF($H119="půj",$G119,0))</f>
        <v>0</v>
      </c>
      <c r="AC119" s="148" t="n">
        <f aca="false">VALUE(IF($D119="vst",$C119,0))+VALUE(IF($H119="vst",$G119,0))</f>
        <v>0</v>
      </c>
      <c r="AD119" s="148" t="n">
        <f aca="false">VALUE(IF($D119="kop",$C119,0))+VALUE(IF($H119="kop",$G119,0))</f>
        <v>0</v>
      </c>
      <c r="AE119" s="148" t="n">
        <f aca="false">VALUE(IF($D119="osl",$C119,0))+VALUE(IF($H119="osl",$G119,0))</f>
        <v>0</v>
      </c>
      <c r="AF119" s="148" t="n">
        <f aca="false">VALUE(IF($D119="vra",$C119,0))+VALUE(IF($H119="vra",$G119,0))</f>
        <v>0</v>
      </c>
      <c r="AG119" s="148" t="n">
        <f aca="false">VALUE(IF($D119="zho",$C119,0))+VALUE(IF($H119="zho",$G119,0))</f>
        <v>0</v>
      </c>
      <c r="AH119" s="148" t="n">
        <f aca="false">VALUE(IF($D119="zbú",$C119,0))+VALUE(IF($H119="zbú",$G119,0))</f>
        <v>0</v>
      </c>
      <c r="AI119" s="148" t="n">
        <f aca="false">VALUE(IF($D119="pří",$C119,0))+VALUE(IF($H119="pří",$G119,0))</f>
        <v>0</v>
      </c>
      <c r="AJ119" s="148" t="n">
        <f aca="false">VALUE(IF($D119="dot",$C119,0))+VALUE(IF($H119="dot",$G119,0))</f>
        <v>0</v>
      </c>
      <c r="AK119" s="148" t="n">
        <f aca="false">VALUE(IF($D119="opř",$C119,0))+VALUE(IF($H119="opř",$G119,0))</f>
        <v>0</v>
      </c>
      <c r="AN119" s="180"/>
      <c r="AO119" s="181"/>
      <c r="AP119" s="182"/>
      <c r="AQ119" s="183"/>
    </row>
    <row r="120" customFormat="false" ht="13.5" hidden="false" customHeight="false" outlineLevel="0" collapsed="false">
      <c r="A120" s="157"/>
      <c r="B120" s="158" t="s">
        <v>26</v>
      </c>
      <c r="C120" s="159" t="s">
        <v>109</v>
      </c>
      <c r="D120" s="160" t="s">
        <v>24</v>
      </c>
      <c r="E120" s="162" t="s">
        <v>110</v>
      </c>
      <c r="F120" s="162" t="s">
        <v>111</v>
      </c>
      <c r="G120" s="163" t="s">
        <v>112</v>
      </c>
      <c r="H120" s="215"/>
      <c r="I120" s="261"/>
      <c r="J120" s="166" t="s">
        <v>113</v>
      </c>
      <c r="K120" s="167"/>
      <c r="L120" s="167"/>
      <c r="M120" s="167"/>
      <c r="N120" s="167"/>
      <c r="P120" s="148" t="n">
        <f aca="false">VALUE(IF($D120="vyb",$C120,0))+VALUE(IF($H120="vyb",$G120,0))</f>
        <v>0</v>
      </c>
      <c r="Q120" s="148" t="n">
        <f aca="false">VALUE(IF($D120="mtv",$C120,0))+VALUE(IF($H120="mtv",$G120,0))</f>
        <v>0</v>
      </c>
      <c r="R120" s="148" t="n">
        <f aca="false">VALUE(IF($D120="mat",$C120,0))+VALUE(IF($H120="mat",$G120,0))</f>
        <v>0</v>
      </c>
      <c r="S120" s="148" t="n">
        <f aca="false">VALUE(IF($D120="pot",$C120,0))+VALUE(IF($H120="pot",$G120,0))</f>
        <v>0</v>
      </c>
      <c r="T120" s="148" t="n">
        <f aca="false">VALUE(IF($D120="táb",$C120,0))+VALUE(IF($H120="táb",$G120,0))</f>
        <v>0</v>
      </c>
      <c r="U120" s="148" t="n">
        <f aca="false">VALUE(IF($D120="oma",$C120,0))+VALUE(IF($H120="oma",$G120,0))</f>
        <v>0</v>
      </c>
      <c r="V120" s="148" t="n">
        <f aca="false">VALUE(IF($D120="ces",$C120,0))+VALUE(IF($H120="ces",$G120,0))</f>
        <v>0</v>
      </c>
      <c r="W120" s="148" t="n">
        <f aca="false">VALUE(IF($D120="poš",$C120,0))+VALUE(IF($H120="poš",$G120,0))</f>
        <v>0</v>
      </c>
      <c r="X120" s="148" t="n">
        <f aca="false">VALUE(IF($D120="tel",$C120,0))+VALUE(IF($H120="tel",$G120,0))</f>
        <v>0</v>
      </c>
      <c r="Y120" s="148" t="n">
        <f aca="false">VALUE(IF($D120="dop",$C120,0))+VALUE(IF($H120="dop",$G120,0))</f>
        <v>0</v>
      </c>
      <c r="Z120" s="148" t="n">
        <f aca="false">VALUE(IF($D120="nák",$C120,0))+VALUE(IF($H120="nák",$G120,0))</f>
        <v>0</v>
      </c>
      <c r="AA120" s="148" t="n">
        <f aca="false">VALUE(IF($D120="náj",$C120,0))+VALUE(IF($H120="náj",$G120,0))</f>
        <v>0</v>
      </c>
      <c r="AB120" s="148" t="n">
        <f aca="false">VALUE(IF($D120="půj",$C120,0))+VALUE(IF($H120="půj",$G120,0))</f>
        <v>0</v>
      </c>
      <c r="AC120" s="148" t="n">
        <f aca="false">VALUE(IF($D120="vst",$C120,0))+VALUE(IF($H120="vst",$G120,0))</f>
        <v>0</v>
      </c>
      <c r="AD120" s="148" t="n">
        <f aca="false">VALUE(IF($D120="kop",$C120,0))+VALUE(IF($H120="kop",$G120,0))</f>
        <v>0</v>
      </c>
      <c r="AE120" s="148" t="n">
        <f aca="false">VALUE(IF($D120="osl",$C120,0))+VALUE(IF($H120="osl",$G120,0))</f>
        <v>0</v>
      </c>
      <c r="AF120" s="148" t="n">
        <f aca="false">VALUE(IF($D120="vra",$C120,0))+VALUE(IF($H120="vra",$G120,0))</f>
        <v>0</v>
      </c>
      <c r="AG120" s="148" t="n">
        <f aca="false">VALUE(IF($D120="zho",$C120,0))+VALUE(IF($H120="zho",$G120,0))</f>
        <v>0</v>
      </c>
      <c r="AH120" s="148" t="n">
        <f aca="false">VALUE(IF($D120="zbú",$C120,0))+VALUE(IF($H120="zbú",$G120,0))</f>
        <v>0</v>
      </c>
      <c r="AI120" s="148" t="n">
        <f aca="false">VALUE(IF($D120="pří",$C120,0))+VALUE(IF($H120="pří",$G120,0))</f>
        <v>0</v>
      </c>
      <c r="AJ120" s="148" t="n">
        <f aca="false">VALUE(IF($D120="dot",$C120,0))+VALUE(IF($H120="dot",$G120,0))</f>
        <v>0</v>
      </c>
      <c r="AK120" s="148" t="n">
        <f aca="false">VALUE(IF($D120="opř",$C120,0))+VALUE(IF($H120="opř",$G120,0))</f>
        <v>0</v>
      </c>
      <c r="AL120" s="148" t="s">
        <v>116</v>
      </c>
      <c r="AN120" s="180"/>
      <c r="AO120" s="181"/>
      <c r="AP120" s="182"/>
      <c r="AQ120" s="183"/>
    </row>
    <row r="121" customFormat="false" ht="13.5" hidden="false" customHeight="false" outlineLevel="0" collapsed="false">
      <c r="A121" s="169" t="n">
        <v>104</v>
      </c>
      <c r="B121" s="217"/>
      <c r="C121" s="171"/>
      <c r="D121" s="172"/>
      <c r="E121" s="174"/>
      <c r="F121" s="219"/>
      <c r="G121" s="220"/>
      <c r="H121" s="176"/>
      <c r="I121" s="246"/>
      <c r="J121" s="178" t="str">
        <f aca="false">IF(AL121=C121,IF(AL121=0,"-","ok"),"chyba")</f>
        <v>-</v>
      </c>
      <c r="K121" s="179"/>
      <c r="L121" s="179"/>
      <c r="M121" s="179"/>
      <c r="N121" s="179"/>
      <c r="P121" s="148" t="n">
        <f aca="false">VALUE(IF($D121="vyb",$C121,0))+VALUE(IF($H121="vyb",$G121,0))</f>
        <v>0</v>
      </c>
      <c r="Q121" s="148" t="n">
        <f aca="false">VALUE(IF($D121="mtv",$C121,0))+VALUE(IF($H121="mtv",$G121,0))</f>
        <v>0</v>
      </c>
      <c r="R121" s="148" t="n">
        <f aca="false">VALUE(IF($D121="mat",$C121,0))+VALUE(IF($H121="mat",$G121,0))</f>
        <v>0</v>
      </c>
      <c r="S121" s="148" t="n">
        <f aca="false">VALUE(IF($D121="pot",$C121,0))+VALUE(IF($H121="pot",$G121,0))</f>
        <v>0</v>
      </c>
      <c r="T121" s="148" t="n">
        <f aca="false">VALUE(IF($D121="táb",$C121,0))+VALUE(IF($H121="táb",$G121,0))</f>
        <v>0</v>
      </c>
      <c r="U121" s="148" t="n">
        <f aca="false">VALUE(IF($D121="oma",$C121,0))+VALUE(IF($H121="oma",$G121,0))</f>
        <v>0</v>
      </c>
      <c r="V121" s="148" t="n">
        <f aca="false">VALUE(IF($D121="ces",$C121,0))+VALUE(IF($H121="ces",$G121,0))</f>
        <v>0</v>
      </c>
      <c r="W121" s="148" t="n">
        <f aca="false">VALUE(IF($D121="poš",$C121,0))+VALUE(IF($H121="poš",$G121,0))</f>
        <v>0</v>
      </c>
      <c r="X121" s="148" t="n">
        <f aca="false">VALUE(IF($D121="tel",$C121,0))+VALUE(IF($H121="tel",$G121,0))</f>
        <v>0</v>
      </c>
      <c r="Y121" s="148" t="n">
        <f aca="false">VALUE(IF($D121="dop",$C121,0))+VALUE(IF($H121="dop",$G121,0))</f>
        <v>0</v>
      </c>
      <c r="Z121" s="148" t="n">
        <f aca="false">VALUE(IF($D121="nák",$C121,0))+VALUE(IF($H121="nák",$G121,0))</f>
        <v>0</v>
      </c>
      <c r="AA121" s="148" t="n">
        <f aca="false">VALUE(IF($D121="náj",$C121,0))+VALUE(IF($H121="náj",$G121,0))</f>
        <v>0</v>
      </c>
      <c r="AB121" s="148" t="n">
        <f aca="false">VALUE(IF($D121="půj",$C121,0))+VALUE(IF($H121="půj",$G121,0))</f>
        <v>0</v>
      </c>
      <c r="AC121" s="148" t="n">
        <f aca="false">VALUE(IF($D121="vst",$C121,0))+VALUE(IF($H121="vst",$G121,0))</f>
        <v>0</v>
      </c>
      <c r="AD121" s="148" t="n">
        <f aca="false">VALUE(IF($D121="kop",$C121,0))+VALUE(IF($H121="kop",$G121,0))</f>
        <v>0</v>
      </c>
      <c r="AE121" s="148" t="n">
        <f aca="false">VALUE(IF($D121="osl",$C121,0))+VALUE(IF($H121="osl",$G121,0))</f>
        <v>0</v>
      </c>
      <c r="AF121" s="148" t="n">
        <f aca="false">VALUE(IF($D121="vra",$C121,0))+VALUE(IF($H121="vra",$G121,0))</f>
        <v>0</v>
      </c>
      <c r="AG121" s="148" t="n">
        <f aca="false">VALUE(IF($D121="zho",$C121,0))+VALUE(IF($H121="zho",$G121,0))</f>
        <v>0</v>
      </c>
      <c r="AH121" s="148" t="n">
        <f aca="false">VALUE(IF($D121="zbú",$C121,0))+VALUE(IF($H121="zbú",$G121,0))</f>
        <v>0</v>
      </c>
      <c r="AI121" s="148" t="n">
        <f aca="false">VALUE(IF($D121="pří",$C121,0))+VALUE(IF($H121="pří",$G121,0))</f>
        <v>0</v>
      </c>
      <c r="AJ121" s="148" t="n">
        <f aca="false">VALUE(IF($D121="dot",$C121,0))+VALUE(IF($H121="dot",$G121,0))</f>
        <v>0</v>
      </c>
      <c r="AK121" s="148" t="n">
        <f aca="false">VALUE(IF($D121="opř",$C121,0))+VALUE(IF($H121="opř",$G121,0))</f>
        <v>0</v>
      </c>
      <c r="AL121" s="148" t="n">
        <f aca="false">SUM(P121:AK121)</f>
        <v>0</v>
      </c>
      <c r="AN121" s="180" t="str">
        <f aca="false">CONCATENATE('Přehled akce'!$K$4," / ",'Přehled akce'!$K$5)</f>
        <v> / </v>
      </c>
      <c r="AO121" s="181" t="n">
        <f aca="false">IF('Příjmy a výdaje'!$G121="ano",'Příjmy a výdaje'!$B121,0)</f>
        <v>0</v>
      </c>
      <c r="AP121" s="182" t="n">
        <f aca="false">IF('Příjmy a výdaje'!$G121="ano",'Příjmy a výdaje'!$C121,0)</f>
        <v>0</v>
      </c>
      <c r="AQ121" s="183" t="n">
        <f aca="false">'Příjmy a výdaje'!$AP121</f>
        <v>0</v>
      </c>
    </row>
    <row r="122" customFormat="false" ht="12.75" hidden="false" customHeight="false" outlineLevel="0" collapsed="false">
      <c r="A122" s="169" t="n">
        <v>105</v>
      </c>
      <c r="B122" s="222"/>
      <c r="C122" s="185"/>
      <c r="D122" s="186"/>
      <c r="E122" s="188"/>
      <c r="F122" s="223"/>
      <c r="G122" s="224"/>
      <c r="H122" s="190"/>
      <c r="I122" s="246"/>
      <c r="J122" s="178" t="str">
        <f aca="false">IF(AL122=C122,IF(AL122=0,"-","ok"),"chyba")</f>
        <v>-</v>
      </c>
      <c r="K122" s="179"/>
      <c r="L122" s="179"/>
      <c r="M122" s="179"/>
      <c r="N122" s="179"/>
      <c r="P122" s="148" t="n">
        <f aca="false">VALUE(IF($D122="vyb",$C122,0))+VALUE(IF($H122="vyb",$G122,0))</f>
        <v>0</v>
      </c>
      <c r="Q122" s="148" t="n">
        <f aca="false">VALUE(IF($D122="mtv",$C122,0))+VALUE(IF($H122="mtv",$G122,0))</f>
        <v>0</v>
      </c>
      <c r="R122" s="148" t="n">
        <f aca="false">VALUE(IF($D122="mat",$C122,0))+VALUE(IF($H122="mat",$G122,0))</f>
        <v>0</v>
      </c>
      <c r="S122" s="148" t="n">
        <f aca="false">VALUE(IF($D122="pot",$C122,0))+VALUE(IF($H122="pot",$G122,0))</f>
        <v>0</v>
      </c>
      <c r="T122" s="148" t="n">
        <f aca="false">VALUE(IF($D122="táb",$C122,0))+VALUE(IF($H122="táb",$G122,0))</f>
        <v>0</v>
      </c>
      <c r="U122" s="148" t="n">
        <f aca="false">VALUE(IF($D122="oma",$C122,0))+VALUE(IF($H122="oma",$G122,0))</f>
        <v>0</v>
      </c>
      <c r="V122" s="148" t="n">
        <f aca="false">VALUE(IF($D122="ces",$C122,0))+VALUE(IF($H122="ces",$G122,0))</f>
        <v>0</v>
      </c>
      <c r="W122" s="148" t="n">
        <f aca="false">VALUE(IF($D122="poš",$C122,0))+VALUE(IF($H122="poš",$G122,0))</f>
        <v>0</v>
      </c>
      <c r="X122" s="148" t="n">
        <f aca="false">VALUE(IF($D122="tel",$C122,0))+VALUE(IF($H122="tel",$G122,0))</f>
        <v>0</v>
      </c>
      <c r="Y122" s="148" t="n">
        <f aca="false">VALUE(IF($D122="dop",$C122,0))+VALUE(IF($H122="dop",$G122,0))</f>
        <v>0</v>
      </c>
      <c r="Z122" s="148" t="n">
        <f aca="false">VALUE(IF($D122="nák",$C122,0))+VALUE(IF($H122="nák",$G122,0))</f>
        <v>0</v>
      </c>
      <c r="AA122" s="148" t="n">
        <f aca="false">VALUE(IF($D122="náj",$C122,0))+VALUE(IF($H122="náj",$G122,0))</f>
        <v>0</v>
      </c>
      <c r="AB122" s="148" t="n">
        <f aca="false">VALUE(IF($D122="půj",$C122,0))+VALUE(IF($H122="půj",$G122,0))</f>
        <v>0</v>
      </c>
      <c r="AC122" s="148" t="n">
        <f aca="false">VALUE(IF($D122="vst",$C122,0))+VALUE(IF($H122="vst",$G122,0))</f>
        <v>0</v>
      </c>
      <c r="AD122" s="148" t="n">
        <f aca="false">VALUE(IF($D122="kop",$C122,0))+VALUE(IF($H122="kop",$G122,0))</f>
        <v>0</v>
      </c>
      <c r="AE122" s="148" t="n">
        <f aca="false">VALUE(IF($D122="osl",$C122,0))+VALUE(IF($H122="osl",$G122,0))</f>
        <v>0</v>
      </c>
      <c r="AF122" s="148" t="n">
        <f aca="false">VALUE(IF($D122="vra",$C122,0))+VALUE(IF($H122="vra",$G122,0))</f>
        <v>0</v>
      </c>
      <c r="AG122" s="148" t="n">
        <f aca="false">VALUE(IF($D122="zho",$C122,0))+VALUE(IF($H122="zho",$G122,0))</f>
        <v>0</v>
      </c>
      <c r="AH122" s="148" t="n">
        <f aca="false">VALUE(IF($D122="zbú",$C122,0))+VALUE(IF($H122="zbú",$G122,0))</f>
        <v>0</v>
      </c>
      <c r="AI122" s="148" t="n">
        <f aca="false">VALUE(IF($D122="pří",$C122,0))+VALUE(IF($H122="pří",$G122,0))</f>
        <v>0</v>
      </c>
      <c r="AJ122" s="148" t="n">
        <f aca="false">VALUE(IF($D122="dot",$C122,0))+VALUE(IF($H122="dot",$G122,0))</f>
        <v>0</v>
      </c>
      <c r="AK122" s="148" t="n">
        <f aca="false">VALUE(IF($D122="opř",$C122,0))+VALUE(IF($H122="opř",$G122,0))</f>
        <v>0</v>
      </c>
      <c r="AL122" s="148" t="n">
        <f aca="false">SUM(P122:AK122)</f>
        <v>0</v>
      </c>
      <c r="AN122" s="180" t="str">
        <f aca="false">CONCATENATE('Přehled akce'!$K$4," / ",'Přehled akce'!$K$5)</f>
        <v> / </v>
      </c>
      <c r="AO122" s="181" t="n">
        <f aca="false">IF('Příjmy a výdaje'!$G122="ano",'Příjmy a výdaje'!$B122,0)</f>
        <v>0</v>
      </c>
      <c r="AP122" s="182" t="n">
        <f aca="false">IF('Příjmy a výdaje'!$G122="ano",'Příjmy a výdaje'!$C122,0)</f>
        <v>0</v>
      </c>
      <c r="AQ122" s="183" t="n">
        <f aca="false">'Příjmy a výdaje'!$AP122</f>
        <v>0</v>
      </c>
    </row>
    <row r="123" customFormat="false" ht="12.75" hidden="false" customHeight="false" outlineLevel="0" collapsed="false">
      <c r="A123" s="169" t="n">
        <v>106</v>
      </c>
      <c r="B123" s="222"/>
      <c r="C123" s="185"/>
      <c r="D123" s="186"/>
      <c r="E123" s="188"/>
      <c r="F123" s="223"/>
      <c r="G123" s="224"/>
      <c r="H123" s="190"/>
      <c r="I123" s="246"/>
      <c r="J123" s="178" t="str">
        <f aca="false">IF(AL123=C123,IF(AL123=0,"-","ok"),"chyba")</f>
        <v>-</v>
      </c>
      <c r="K123" s="179"/>
      <c r="L123" s="179"/>
      <c r="M123" s="179"/>
      <c r="N123" s="179"/>
      <c r="O123" s="239"/>
      <c r="P123" s="148" t="n">
        <f aca="false">VALUE(IF($D123="vyb",$C123,0))+VALUE(IF($H123="vyb",$G123,0))</f>
        <v>0</v>
      </c>
      <c r="Q123" s="148" t="n">
        <f aca="false">VALUE(IF($D123="mtv",$C123,0))+VALUE(IF($H123="mtv",$G123,0))</f>
        <v>0</v>
      </c>
      <c r="R123" s="148" t="n">
        <f aca="false">VALUE(IF($D123="mat",$C123,0))+VALUE(IF($H123="mat",$G123,0))</f>
        <v>0</v>
      </c>
      <c r="S123" s="148" t="n">
        <f aca="false">VALUE(IF($D123="pot",$C123,0))+VALUE(IF($H123="pot",$G123,0))</f>
        <v>0</v>
      </c>
      <c r="T123" s="148" t="n">
        <f aca="false">VALUE(IF($D123="táb",$C123,0))+VALUE(IF($H123="táb",$G123,0))</f>
        <v>0</v>
      </c>
      <c r="U123" s="148" t="n">
        <f aca="false">VALUE(IF($D123="oma",$C123,0))+VALUE(IF($H123="oma",$G123,0))</f>
        <v>0</v>
      </c>
      <c r="V123" s="148" t="n">
        <f aca="false">VALUE(IF($D123="ces",$C123,0))+VALUE(IF($H123="ces",$G123,0))</f>
        <v>0</v>
      </c>
      <c r="W123" s="148" t="n">
        <f aca="false">VALUE(IF($D123="poš",$C123,0))+VALUE(IF($H123="poš",$G123,0))</f>
        <v>0</v>
      </c>
      <c r="X123" s="148" t="n">
        <f aca="false">VALUE(IF($D123="tel",$C123,0))+VALUE(IF($H123="tel",$G123,0))</f>
        <v>0</v>
      </c>
      <c r="Y123" s="148" t="n">
        <f aca="false">VALUE(IF($D123="dop",$C123,0))+VALUE(IF($H123="dop",$G123,0))</f>
        <v>0</v>
      </c>
      <c r="Z123" s="148" t="n">
        <f aca="false">VALUE(IF($D123="nák",$C123,0))+VALUE(IF($H123="nák",$G123,0))</f>
        <v>0</v>
      </c>
      <c r="AA123" s="148" t="n">
        <f aca="false">VALUE(IF($D123="náj",$C123,0))+VALUE(IF($H123="náj",$G123,0))</f>
        <v>0</v>
      </c>
      <c r="AB123" s="148" t="n">
        <f aca="false">VALUE(IF($D123="půj",$C123,0))+VALUE(IF($H123="půj",$G123,0))</f>
        <v>0</v>
      </c>
      <c r="AC123" s="148" t="n">
        <f aca="false">VALUE(IF($D123="vst",$C123,0))+VALUE(IF($H123="vst",$G123,0))</f>
        <v>0</v>
      </c>
      <c r="AD123" s="148" t="n">
        <f aca="false">VALUE(IF($D123="kop",$C123,0))+VALUE(IF($H123="kop",$G123,0))</f>
        <v>0</v>
      </c>
      <c r="AE123" s="148" t="n">
        <f aca="false">VALUE(IF($D123="osl",$C123,0))+VALUE(IF($H123="osl",$G123,0))</f>
        <v>0</v>
      </c>
      <c r="AF123" s="148" t="n">
        <f aca="false">VALUE(IF($D123="vra",$C123,0))+VALUE(IF($H123="vra",$G123,0))</f>
        <v>0</v>
      </c>
      <c r="AG123" s="148" t="n">
        <f aca="false">VALUE(IF($D123="zho",$C123,0))+VALUE(IF($H123="zho",$G123,0))</f>
        <v>0</v>
      </c>
      <c r="AH123" s="148" t="n">
        <f aca="false">VALUE(IF($D123="zbú",$C123,0))+VALUE(IF($H123="zbú",$G123,0))</f>
        <v>0</v>
      </c>
      <c r="AI123" s="148" t="n">
        <f aca="false">VALUE(IF($D123="pří",$C123,0))+VALUE(IF($H123="pří",$G123,0))</f>
        <v>0</v>
      </c>
      <c r="AJ123" s="148" t="n">
        <f aca="false">VALUE(IF($D123="dot",$C123,0))+VALUE(IF($H123="dot",$G123,0))</f>
        <v>0</v>
      </c>
      <c r="AK123" s="148" t="n">
        <f aca="false">VALUE(IF($D123="opř",$C123,0))+VALUE(IF($H123="opř",$G123,0))</f>
        <v>0</v>
      </c>
      <c r="AL123" s="148" t="n">
        <f aca="false">SUM(P123:AK123)</f>
        <v>0</v>
      </c>
      <c r="AN123" s="180" t="str">
        <f aca="false">CONCATENATE('Přehled akce'!$K$4," / ",'Přehled akce'!$K$5)</f>
        <v> / </v>
      </c>
      <c r="AO123" s="181" t="n">
        <f aca="false">IF('Příjmy a výdaje'!$G123="ano",'Příjmy a výdaje'!$B123,0)</f>
        <v>0</v>
      </c>
      <c r="AP123" s="182" t="n">
        <f aca="false">IF('Příjmy a výdaje'!$G123="ano",'Příjmy a výdaje'!$C123,0)</f>
        <v>0</v>
      </c>
      <c r="AQ123" s="183" t="n">
        <f aca="false">'Příjmy a výdaje'!$AP123</f>
        <v>0</v>
      </c>
    </row>
    <row r="124" customFormat="false" ht="12.75" hidden="false" customHeight="false" outlineLevel="0" collapsed="false">
      <c r="A124" s="169" t="n">
        <v>107</v>
      </c>
      <c r="B124" s="222"/>
      <c r="C124" s="185"/>
      <c r="D124" s="186"/>
      <c r="E124" s="188"/>
      <c r="F124" s="223"/>
      <c r="G124" s="224"/>
      <c r="H124" s="190"/>
      <c r="I124" s="246"/>
      <c r="J124" s="178" t="str">
        <f aca="false">IF(AL124=C124,IF(AL124=0,"-","ok"),"chyba")</f>
        <v>-</v>
      </c>
      <c r="K124" s="179"/>
      <c r="L124" s="179"/>
      <c r="M124" s="179"/>
      <c r="N124" s="179"/>
      <c r="O124" s="239"/>
      <c r="P124" s="148" t="n">
        <f aca="false">VALUE(IF($D124="vyb",$C124,0))+VALUE(IF($H124="vyb",$G124,0))</f>
        <v>0</v>
      </c>
      <c r="Q124" s="148" t="n">
        <f aca="false">VALUE(IF($D124="mtv",$C124,0))+VALUE(IF($H124="mtv",$G124,0))</f>
        <v>0</v>
      </c>
      <c r="R124" s="148" t="n">
        <f aca="false">VALUE(IF($D124="mat",$C124,0))+VALUE(IF($H124="mat",$G124,0))</f>
        <v>0</v>
      </c>
      <c r="S124" s="148" t="n">
        <f aca="false">VALUE(IF($D124="pot",$C124,0))+VALUE(IF($H124="pot",$G124,0))</f>
        <v>0</v>
      </c>
      <c r="T124" s="148" t="n">
        <f aca="false">VALUE(IF($D124="táb",$C124,0))+VALUE(IF($H124="táb",$G124,0))</f>
        <v>0</v>
      </c>
      <c r="U124" s="148" t="n">
        <f aca="false">VALUE(IF($D124="oma",$C124,0))+VALUE(IF($H124="oma",$G124,0))</f>
        <v>0</v>
      </c>
      <c r="V124" s="148" t="n">
        <f aca="false">VALUE(IF($D124="ces",$C124,0))+VALUE(IF($H124="ces",$G124,0))</f>
        <v>0</v>
      </c>
      <c r="W124" s="148" t="n">
        <f aca="false">VALUE(IF($D124="poš",$C124,0))+VALUE(IF($H124="poš",$G124,0))</f>
        <v>0</v>
      </c>
      <c r="X124" s="148" t="n">
        <f aca="false">VALUE(IF($D124="tel",$C124,0))+VALUE(IF($H124="tel",$G124,0))</f>
        <v>0</v>
      </c>
      <c r="Y124" s="148" t="n">
        <f aca="false">VALUE(IF($D124="dop",$C124,0))+VALUE(IF($H124="dop",$G124,0))</f>
        <v>0</v>
      </c>
      <c r="Z124" s="148" t="n">
        <f aca="false">VALUE(IF($D124="nák",$C124,0))+VALUE(IF($H124="nák",$G124,0))</f>
        <v>0</v>
      </c>
      <c r="AA124" s="148" t="n">
        <f aca="false">VALUE(IF($D124="náj",$C124,0))+VALUE(IF($H124="náj",$G124,0))</f>
        <v>0</v>
      </c>
      <c r="AB124" s="148" t="n">
        <f aca="false">VALUE(IF($D124="půj",$C124,0))+VALUE(IF($H124="půj",$G124,0))</f>
        <v>0</v>
      </c>
      <c r="AC124" s="148" t="n">
        <f aca="false">VALUE(IF($D124="vst",$C124,0))+VALUE(IF($H124="vst",$G124,0))</f>
        <v>0</v>
      </c>
      <c r="AD124" s="148" t="n">
        <f aca="false">VALUE(IF($D124="kop",$C124,0))+VALUE(IF($H124="kop",$G124,0))</f>
        <v>0</v>
      </c>
      <c r="AE124" s="148" t="n">
        <f aca="false">VALUE(IF($D124="osl",$C124,0))+VALUE(IF($H124="osl",$G124,0))</f>
        <v>0</v>
      </c>
      <c r="AF124" s="148" t="n">
        <f aca="false">VALUE(IF($D124="vra",$C124,0))+VALUE(IF($H124="vra",$G124,0))</f>
        <v>0</v>
      </c>
      <c r="AG124" s="148" t="n">
        <f aca="false">VALUE(IF($D124="zho",$C124,0))+VALUE(IF($H124="zho",$G124,0))</f>
        <v>0</v>
      </c>
      <c r="AH124" s="148" t="n">
        <f aca="false">VALUE(IF($D124="zbú",$C124,0))+VALUE(IF($H124="zbú",$G124,0))</f>
        <v>0</v>
      </c>
      <c r="AI124" s="148" t="n">
        <f aca="false">VALUE(IF($D124="pří",$C124,0))+VALUE(IF($H124="pří",$G124,0))</f>
        <v>0</v>
      </c>
      <c r="AJ124" s="148" t="n">
        <f aca="false">VALUE(IF($D124="dot",$C124,0))+VALUE(IF($H124="dot",$G124,0))</f>
        <v>0</v>
      </c>
      <c r="AK124" s="148" t="n">
        <f aca="false">VALUE(IF($D124="opř",$C124,0))+VALUE(IF($H124="opř",$G124,0))</f>
        <v>0</v>
      </c>
      <c r="AL124" s="148" t="n">
        <f aca="false">SUM(P124:AK124)</f>
        <v>0</v>
      </c>
      <c r="AN124" s="180" t="str">
        <f aca="false">CONCATENATE('Přehled akce'!$K$4," / ",'Přehled akce'!$K$5)</f>
        <v> / </v>
      </c>
      <c r="AO124" s="181" t="n">
        <f aca="false">IF('Příjmy a výdaje'!$G124="ano",'Příjmy a výdaje'!$B124,0)</f>
        <v>0</v>
      </c>
      <c r="AP124" s="182" t="n">
        <f aca="false">IF('Příjmy a výdaje'!$G124="ano",'Příjmy a výdaje'!$C124,0)</f>
        <v>0</v>
      </c>
      <c r="AQ124" s="183" t="n">
        <f aca="false">'Příjmy a výdaje'!$AP124</f>
        <v>0</v>
      </c>
    </row>
    <row r="125" customFormat="false" ht="12.75" hidden="false" customHeight="false" outlineLevel="0" collapsed="false">
      <c r="A125" s="169" t="n">
        <v>108</v>
      </c>
      <c r="B125" s="222"/>
      <c r="C125" s="185"/>
      <c r="D125" s="186"/>
      <c r="E125" s="188"/>
      <c r="F125" s="223"/>
      <c r="G125" s="224"/>
      <c r="H125" s="190"/>
      <c r="I125" s="246"/>
      <c r="J125" s="178" t="str">
        <f aca="false">IF(AL125=C125,IF(AL125=0,"-","ok"),"chyba")</f>
        <v>-</v>
      </c>
      <c r="K125" s="179"/>
      <c r="L125" s="179"/>
      <c r="M125" s="179"/>
      <c r="N125" s="179"/>
      <c r="O125" s="239"/>
      <c r="P125" s="148" t="n">
        <f aca="false">VALUE(IF($D125="vyb",$C125,0))+VALUE(IF($H125="vyb",$G125,0))</f>
        <v>0</v>
      </c>
      <c r="Q125" s="148" t="n">
        <f aca="false">VALUE(IF($D125="mtv",$C125,0))+VALUE(IF($H125="mtv",$G125,0))</f>
        <v>0</v>
      </c>
      <c r="R125" s="148" t="n">
        <f aca="false">VALUE(IF($D125="mat",$C125,0))+VALUE(IF($H125="mat",$G125,0))</f>
        <v>0</v>
      </c>
      <c r="S125" s="148" t="n">
        <f aca="false">VALUE(IF($D125="pot",$C125,0))+VALUE(IF($H125="pot",$G125,0))</f>
        <v>0</v>
      </c>
      <c r="T125" s="148" t="n">
        <f aca="false">VALUE(IF($D125="táb",$C125,0))+VALUE(IF($H125="táb",$G125,0))</f>
        <v>0</v>
      </c>
      <c r="U125" s="148" t="n">
        <f aca="false">VALUE(IF($D125="oma",$C125,0))+VALUE(IF($H125="oma",$G125,0))</f>
        <v>0</v>
      </c>
      <c r="V125" s="148" t="n">
        <f aca="false">VALUE(IF($D125="ces",$C125,0))+VALUE(IF($H125="ces",$G125,0))</f>
        <v>0</v>
      </c>
      <c r="W125" s="148" t="n">
        <f aca="false">VALUE(IF($D125="poš",$C125,0))+VALUE(IF($H125="poš",$G125,0))</f>
        <v>0</v>
      </c>
      <c r="X125" s="148" t="n">
        <f aca="false">VALUE(IF($D125="tel",$C125,0))+VALUE(IF($H125="tel",$G125,0))</f>
        <v>0</v>
      </c>
      <c r="Y125" s="148" t="n">
        <f aca="false">VALUE(IF($D125="dop",$C125,0))+VALUE(IF($H125="dop",$G125,0))</f>
        <v>0</v>
      </c>
      <c r="Z125" s="148" t="n">
        <f aca="false">VALUE(IF($D125="nák",$C125,0))+VALUE(IF($H125="nák",$G125,0))</f>
        <v>0</v>
      </c>
      <c r="AA125" s="148" t="n">
        <f aca="false">VALUE(IF($D125="náj",$C125,0))+VALUE(IF($H125="náj",$G125,0))</f>
        <v>0</v>
      </c>
      <c r="AB125" s="148" t="n">
        <f aca="false">VALUE(IF($D125="půj",$C125,0))+VALUE(IF($H125="půj",$G125,0))</f>
        <v>0</v>
      </c>
      <c r="AC125" s="148" t="n">
        <f aca="false">VALUE(IF($D125="vst",$C125,0))+VALUE(IF($H125="vst",$G125,0))</f>
        <v>0</v>
      </c>
      <c r="AD125" s="148" t="n">
        <f aca="false">VALUE(IF($D125="kop",$C125,0))+VALUE(IF($H125="kop",$G125,0))</f>
        <v>0</v>
      </c>
      <c r="AE125" s="148" t="n">
        <f aca="false">VALUE(IF($D125="osl",$C125,0))+VALUE(IF($H125="osl",$G125,0))</f>
        <v>0</v>
      </c>
      <c r="AF125" s="148" t="n">
        <f aca="false">VALUE(IF($D125="vra",$C125,0))+VALUE(IF($H125="vra",$G125,0))</f>
        <v>0</v>
      </c>
      <c r="AG125" s="148" t="n">
        <f aca="false">VALUE(IF($D125="zho",$C125,0))+VALUE(IF($H125="zho",$G125,0))</f>
        <v>0</v>
      </c>
      <c r="AH125" s="148" t="n">
        <f aca="false">VALUE(IF($D125="zbú",$C125,0))+VALUE(IF($H125="zbú",$G125,0))</f>
        <v>0</v>
      </c>
      <c r="AI125" s="148" t="n">
        <f aca="false">VALUE(IF($D125="pří",$C125,0))+VALUE(IF($H125="pří",$G125,0))</f>
        <v>0</v>
      </c>
      <c r="AJ125" s="148" t="n">
        <f aca="false">VALUE(IF($D125="dot",$C125,0))+VALUE(IF($H125="dot",$G125,0))</f>
        <v>0</v>
      </c>
      <c r="AK125" s="148" t="n">
        <f aca="false">VALUE(IF($D125="opř",$C125,0))+VALUE(IF($H125="opř",$G125,0))</f>
        <v>0</v>
      </c>
      <c r="AL125" s="148" t="n">
        <f aca="false">SUM(P125:AK125)</f>
        <v>0</v>
      </c>
      <c r="AN125" s="180" t="str">
        <f aca="false">CONCATENATE('Přehled akce'!$K$4," / ",'Přehled akce'!$K$5)</f>
        <v> / </v>
      </c>
      <c r="AO125" s="181" t="n">
        <f aca="false">IF('Příjmy a výdaje'!$G125="ano",'Příjmy a výdaje'!$B125,0)</f>
        <v>0</v>
      </c>
      <c r="AP125" s="182" t="n">
        <f aca="false">IF('Příjmy a výdaje'!$G125="ano",'Příjmy a výdaje'!$C125,0)</f>
        <v>0</v>
      </c>
      <c r="AQ125" s="183" t="n">
        <f aca="false">'Příjmy a výdaje'!$AP125</f>
        <v>0</v>
      </c>
    </row>
    <row r="126" customFormat="false" ht="12.75" hidden="false" customHeight="false" outlineLevel="0" collapsed="false">
      <c r="A126" s="169" t="n">
        <v>109</v>
      </c>
      <c r="B126" s="222"/>
      <c r="C126" s="185"/>
      <c r="D126" s="186"/>
      <c r="E126" s="188"/>
      <c r="F126" s="223"/>
      <c r="G126" s="224"/>
      <c r="H126" s="190"/>
      <c r="I126" s="246"/>
      <c r="J126" s="178" t="str">
        <f aca="false">IF(AL126=C126,IF(AL126=0,"-","ok"),"chyba")</f>
        <v>-</v>
      </c>
      <c r="K126" s="179"/>
      <c r="L126" s="179"/>
      <c r="M126" s="179"/>
      <c r="N126" s="179"/>
      <c r="O126" s="239"/>
      <c r="P126" s="148" t="n">
        <f aca="false">VALUE(IF($D126="vyb",$C126,0))+VALUE(IF($H126="vyb",$G126,0))</f>
        <v>0</v>
      </c>
      <c r="Q126" s="148" t="n">
        <f aca="false">VALUE(IF($D126="mtv",$C126,0))+VALUE(IF($H126="mtv",$G126,0))</f>
        <v>0</v>
      </c>
      <c r="R126" s="148" t="n">
        <f aca="false">VALUE(IF($D126="mat",$C126,0))+VALUE(IF($H126="mat",$G126,0))</f>
        <v>0</v>
      </c>
      <c r="S126" s="148" t="n">
        <f aca="false">VALUE(IF($D126="pot",$C126,0))+VALUE(IF($H126="pot",$G126,0))</f>
        <v>0</v>
      </c>
      <c r="T126" s="148" t="n">
        <f aca="false">VALUE(IF($D126="táb",$C126,0))+VALUE(IF($H126="táb",$G126,0))</f>
        <v>0</v>
      </c>
      <c r="U126" s="148" t="n">
        <f aca="false">VALUE(IF($D126="oma",$C126,0))+VALUE(IF($H126="oma",$G126,0))</f>
        <v>0</v>
      </c>
      <c r="V126" s="148" t="n">
        <f aca="false">VALUE(IF($D126="ces",$C126,0))+VALUE(IF($H126="ces",$G126,0))</f>
        <v>0</v>
      </c>
      <c r="W126" s="148" t="n">
        <f aca="false">VALUE(IF($D126="poš",$C126,0))+VALUE(IF($H126="poš",$G126,0))</f>
        <v>0</v>
      </c>
      <c r="X126" s="148" t="n">
        <f aca="false">VALUE(IF($D126="tel",$C126,0))+VALUE(IF($H126="tel",$G126,0))</f>
        <v>0</v>
      </c>
      <c r="Y126" s="148" t="n">
        <f aca="false">VALUE(IF($D126="dop",$C126,0))+VALUE(IF($H126="dop",$G126,0))</f>
        <v>0</v>
      </c>
      <c r="Z126" s="148" t="n">
        <f aca="false">VALUE(IF($D126="nák",$C126,0))+VALUE(IF($H126="nák",$G126,0))</f>
        <v>0</v>
      </c>
      <c r="AA126" s="148" t="n">
        <f aca="false">VALUE(IF($D126="náj",$C126,0))+VALUE(IF($H126="náj",$G126,0))</f>
        <v>0</v>
      </c>
      <c r="AB126" s="148" t="n">
        <f aca="false">VALUE(IF($D126="půj",$C126,0))+VALUE(IF($H126="půj",$G126,0))</f>
        <v>0</v>
      </c>
      <c r="AC126" s="148" t="n">
        <f aca="false">VALUE(IF($D126="vst",$C126,0))+VALUE(IF($H126="vst",$G126,0))</f>
        <v>0</v>
      </c>
      <c r="AD126" s="148" t="n">
        <f aca="false">VALUE(IF($D126="kop",$C126,0))+VALUE(IF($H126="kop",$G126,0))</f>
        <v>0</v>
      </c>
      <c r="AE126" s="148" t="n">
        <f aca="false">VALUE(IF($D126="osl",$C126,0))+VALUE(IF($H126="osl",$G126,0))</f>
        <v>0</v>
      </c>
      <c r="AF126" s="148" t="n">
        <f aca="false">VALUE(IF($D126="vra",$C126,0))+VALUE(IF($H126="vra",$G126,0))</f>
        <v>0</v>
      </c>
      <c r="AG126" s="148" t="n">
        <f aca="false">VALUE(IF($D126="zho",$C126,0))+VALUE(IF($H126="zho",$G126,0))</f>
        <v>0</v>
      </c>
      <c r="AH126" s="148" t="n">
        <f aca="false">VALUE(IF($D126="zbú",$C126,0))+VALUE(IF($H126="zbú",$G126,0))</f>
        <v>0</v>
      </c>
      <c r="AI126" s="148" t="n">
        <f aca="false">VALUE(IF($D126="pří",$C126,0))+VALUE(IF($H126="pří",$G126,0))</f>
        <v>0</v>
      </c>
      <c r="AJ126" s="148" t="n">
        <f aca="false">VALUE(IF($D126="dot",$C126,0))+VALUE(IF($H126="dot",$G126,0))</f>
        <v>0</v>
      </c>
      <c r="AK126" s="148" t="n">
        <f aca="false">VALUE(IF($D126="opř",$C126,0))+VALUE(IF($H126="opř",$G126,0))</f>
        <v>0</v>
      </c>
      <c r="AL126" s="148" t="n">
        <f aca="false">SUM(P126:AK126)</f>
        <v>0</v>
      </c>
      <c r="AN126" s="180" t="str">
        <f aca="false">CONCATENATE('Přehled akce'!$K$4," / ",'Přehled akce'!$K$5)</f>
        <v> / </v>
      </c>
      <c r="AO126" s="181" t="n">
        <f aca="false">IF('Příjmy a výdaje'!$G126="ano",'Příjmy a výdaje'!$B126,0)</f>
        <v>0</v>
      </c>
      <c r="AP126" s="182" t="n">
        <f aca="false">IF('Příjmy a výdaje'!$G126="ano",'Příjmy a výdaje'!$C126,0)</f>
        <v>0</v>
      </c>
      <c r="AQ126" s="183" t="n">
        <f aca="false">'Příjmy a výdaje'!$AP126</f>
        <v>0</v>
      </c>
    </row>
    <row r="127" customFormat="false" ht="12.75" hidden="false" customHeight="false" outlineLevel="0" collapsed="false">
      <c r="A127" s="169" t="n">
        <v>110</v>
      </c>
      <c r="B127" s="222"/>
      <c r="C127" s="185"/>
      <c r="D127" s="186"/>
      <c r="E127" s="188"/>
      <c r="F127" s="223"/>
      <c r="G127" s="224"/>
      <c r="H127" s="190"/>
      <c r="I127" s="246"/>
      <c r="J127" s="178" t="str">
        <f aca="false">IF(AL127=C127,IF(AL127=0,"-","ok"),"chyba")</f>
        <v>-</v>
      </c>
      <c r="K127" s="179"/>
      <c r="L127" s="179"/>
      <c r="M127" s="179"/>
      <c r="N127" s="179"/>
      <c r="O127" s="248"/>
      <c r="P127" s="148" t="n">
        <f aca="false">VALUE(IF($D127="vyb",$C127,0))+VALUE(IF($H127="vyb",$G127,0))</f>
        <v>0</v>
      </c>
      <c r="Q127" s="148" t="n">
        <f aca="false">VALUE(IF($D127="mtv",$C127,0))+VALUE(IF($H127="mtv",$G127,0))</f>
        <v>0</v>
      </c>
      <c r="R127" s="148" t="n">
        <f aca="false">VALUE(IF($D127="mat",$C127,0))+VALUE(IF($H127="mat",$G127,0))</f>
        <v>0</v>
      </c>
      <c r="S127" s="148" t="n">
        <f aca="false">VALUE(IF($D127="pot",$C127,0))+VALUE(IF($H127="pot",$G127,0))</f>
        <v>0</v>
      </c>
      <c r="T127" s="148" t="n">
        <f aca="false">VALUE(IF($D127="táb",$C127,0))+VALUE(IF($H127="táb",$G127,0))</f>
        <v>0</v>
      </c>
      <c r="U127" s="148" t="n">
        <f aca="false">VALUE(IF($D127="oma",$C127,0))+VALUE(IF($H127="oma",$G127,0))</f>
        <v>0</v>
      </c>
      <c r="V127" s="148" t="n">
        <f aca="false">VALUE(IF($D127="ces",$C127,0))+VALUE(IF($H127="ces",$G127,0))</f>
        <v>0</v>
      </c>
      <c r="W127" s="148" t="n">
        <f aca="false">VALUE(IF($D127="poš",$C127,0))+VALUE(IF($H127="poš",$G127,0))</f>
        <v>0</v>
      </c>
      <c r="X127" s="148" t="n">
        <f aca="false">VALUE(IF($D127="tel",$C127,0))+VALUE(IF($H127="tel",$G127,0))</f>
        <v>0</v>
      </c>
      <c r="Y127" s="148" t="n">
        <f aca="false">VALUE(IF($D127="dop",$C127,0))+VALUE(IF($H127="dop",$G127,0))</f>
        <v>0</v>
      </c>
      <c r="Z127" s="148" t="n">
        <f aca="false">VALUE(IF($D127="nák",$C127,0))+VALUE(IF($H127="nák",$G127,0))</f>
        <v>0</v>
      </c>
      <c r="AA127" s="148" t="n">
        <f aca="false">VALUE(IF($D127="náj",$C127,0))+VALUE(IF($H127="náj",$G127,0))</f>
        <v>0</v>
      </c>
      <c r="AB127" s="148" t="n">
        <f aca="false">VALUE(IF($D127="půj",$C127,0))+VALUE(IF($H127="půj",$G127,0))</f>
        <v>0</v>
      </c>
      <c r="AC127" s="148" t="n">
        <f aca="false">VALUE(IF($D127="vst",$C127,0))+VALUE(IF($H127="vst",$G127,0))</f>
        <v>0</v>
      </c>
      <c r="AD127" s="148" t="n">
        <f aca="false">VALUE(IF($D127="kop",$C127,0))+VALUE(IF($H127="kop",$G127,0))</f>
        <v>0</v>
      </c>
      <c r="AE127" s="148" t="n">
        <f aca="false">VALUE(IF($D127="osl",$C127,0))+VALUE(IF($H127="osl",$G127,0))</f>
        <v>0</v>
      </c>
      <c r="AF127" s="148" t="n">
        <f aca="false">VALUE(IF($D127="vra",$C127,0))+VALUE(IF($H127="vra",$G127,0))</f>
        <v>0</v>
      </c>
      <c r="AG127" s="148" t="n">
        <f aca="false">VALUE(IF($D127="zho",$C127,0))+VALUE(IF($H127="zho",$G127,0))</f>
        <v>0</v>
      </c>
      <c r="AH127" s="148" t="n">
        <f aca="false">VALUE(IF($D127="zbú",$C127,0))+VALUE(IF($H127="zbú",$G127,0))</f>
        <v>0</v>
      </c>
      <c r="AI127" s="148" t="n">
        <f aca="false">VALUE(IF($D127="pří",$C127,0))+VALUE(IF($H127="pří",$G127,0))</f>
        <v>0</v>
      </c>
      <c r="AJ127" s="148" t="n">
        <f aca="false">VALUE(IF($D127="dot",$C127,0))+VALUE(IF($H127="dot",$G127,0))</f>
        <v>0</v>
      </c>
      <c r="AK127" s="148" t="n">
        <f aca="false">VALUE(IF($D127="opř",$C127,0))+VALUE(IF($H127="opř",$G127,0))</f>
        <v>0</v>
      </c>
      <c r="AL127" s="148" t="n">
        <f aca="false">SUM(P127:AK127)</f>
        <v>0</v>
      </c>
      <c r="AN127" s="180" t="str">
        <f aca="false">CONCATENATE('Přehled akce'!$K$4," / ",'Přehled akce'!$K$5)</f>
        <v> / </v>
      </c>
      <c r="AO127" s="181" t="n">
        <f aca="false">IF('Příjmy a výdaje'!$G127="ano",'Příjmy a výdaje'!$B127,0)</f>
        <v>0</v>
      </c>
      <c r="AP127" s="182" t="n">
        <f aca="false">IF('Příjmy a výdaje'!$G127="ano",'Příjmy a výdaje'!$C127,0)</f>
        <v>0</v>
      </c>
      <c r="AQ127" s="183" t="n">
        <f aca="false">'Příjmy a výdaje'!$AP127</f>
        <v>0</v>
      </c>
    </row>
    <row r="128" customFormat="false" ht="12.75" hidden="false" customHeight="false" outlineLevel="0" collapsed="false">
      <c r="A128" s="169" t="n">
        <v>111</v>
      </c>
      <c r="B128" s="222"/>
      <c r="C128" s="185"/>
      <c r="D128" s="186"/>
      <c r="E128" s="188"/>
      <c r="F128" s="223"/>
      <c r="G128" s="224"/>
      <c r="H128" s="190"/>
      <c r="I128" s="246"/>
      <c r="J128" s="178" t="str">
        <f aca="false">IF(AL128=C128,IF(AL128=0,"-","ok"),"chyba")</f>
        <v>-</v>
      </c>
      <c r="K128" s="179"/>
      <c r="L128" s="179"/>
      <c r="M128" s="179"/>
      <c r="N128" s="179"/>
      <c r="O128" s="239"/>
      <c r="P128" s="148" t="n">
        <f aca="false">VALUE(IF($D128="vyb",$C128,0))+VALUE(IF($H128="vyb",$G128,0))</f>
        <v>0</v>
      </c>
      <c r="Q128" s="148" t="n">
        <f aca="false">VALUE(IF($D128="mtv",$C128,0))+VALUE(IF($H128="mtv",$G128,0))</f>
        <v>0</v>
      </c>
      <c r="R128" s="148" t="n">
        <f aca="false">VALUE(IF($D128="mat",$C128,0))+VALUE(IF($H128="mat",$G128,0))</f>
        <v>0</v>
      </c>
      <c r="S128" s="148" t="n">
        <f aca="false">VALUE(IF($D128="pot",$C128,0))+VALUE(IF($H128="pot",$G128,0))</f>
        <v>0</v>
      </c>
      <c r="T128" s="148" t="n">
        <f aca="false">VALUE(IF($D128="táb",$C128,0))+VALUE(IF($H128="táb",$G128,0))</f>
        <v>0</v>
      </c>
      <c r="U128" s="148" t="n">
        <f aca="false">VALUE(IF($D128="oma",$C128,0))+VALUE(IF($H128="oma",$G128,0))</f>
        <v>0</v>
      </c>
      <c r="V128" s="148" t="n">
        <f aca="false">VALUE(IF($D128="ces",$C128,0))+VALUE(IF($H128="ces",$G128,0))</f>
        <v>0</v>
      </c>
      <c r="W128" s="148" t="n">
        <f aca="false">VALUE(IF($D128="poš",$C128,0))+VALUE(IF($H128="poš",$G128,0))</f>
        <v>0</v>
      </c>
      <c r="X128" s="148" t="n">
        <f aca="false">VALUE(IF($D128="tel",$C128,0))+VALUE(IF($H128="tel",$G128,0))</f>
        <v>0</v>
      </c>
      <c r="Y128" s="148" t="n">
        <f aca="false">VALUE(IF($D128="dop",$C128,0))+VALUE(IF($H128="dop",$G128,0))</f>
        <v>0</v>
      </c>
      <c r="Z128" s="148" t="n">
        <f aca="false">VALUE(IF($D128="nák",$C128,0))+VALUE(IF($H128="nák",$G128,0))</f>
        <v>0</v>
      </c>
      <c r="AA128" s="148" t="n">
        <f aca="false">VALUE(IF($D128="náj",$C128,0))+VALUE(IF($H128="náj",$G128,0))</f>
        <v>0</v>
      </c>
      <c r="AB128" s="148" t="n">
        <f aca="false">VALUE(IF($D128="půj",$C128,0))+VALUE(IF($H128="půj",$G128,0))</f>
        <v>0</v>
      </c>
      <c r="AC128" s="148" t="n">
        <f aca="false">VALUE(IF($D128="vst",$C128,0))+VALUE(IF($H128="vst",$G128,0))</f>
        <v>0</v>
      </c>
      <c r="AD128" s="148" t="n">
        <f aca="false">VALUE(IF($D128="kop",$C128,0))+VALUE(IF($H128="kop",$G128,0))</f>
        <v>0</v>
      </c>
      <c r="AE128" s="148" t="n">
        <f aca="false">VALUE(IF($D128="osl",$C128,0))+VALUE(IF($H128="osl",$G128,0))</f>
        <v>0</v>
      </c>
      <c r="AF128" s="148" t="n">
        <f aca="false">VALUE(IF($D128="vra",$C128,0))+VALUE(IF($H128="vra",$G128,0))</f>
        <v>0</v>
      </c>
      <c r="AG128" s="148" t="n">
        <f aca="false">VALUE(IF($D128="zho",$C128,0))+VALUE(IF($H128="zho",$G128,0))</f>
        <v>0</v>
      </c>
      <c r="AH128" s="148" t="n">
        <f aca="false">VALUE(IF($D128="zbú",$C128,0))+VALUE(IF($H128="zbú",$G128,0))</f>
        <v>0</v>
      </c>
      <c r="AI128" s="148" t="n">
        <f aca="false">VALUE(IF($D128="pří",$C128,0))+VALUE(IF($H128="pří",$G128,0))</f>
        <v>0</v>
      </c>
      <c r="AJ128" s="148" t="n">
        <f aca="false">VALUE(IF($D128="dot",$C128,0))+VALUE(IF($H128="dot",$G128,0))</f>
        <v>0</v>
      </c>
      <c r="AK128" s="148" t="n">
        <f aca="false">VALUE(IF($D128="opř",$C128,0))+VALUE(IF($H128="opř",$G128,0))</f>
        <v>0</v>
      </c>
      <c r="AL128" s="148" t="n">
        <f aca="false">SUM(P128:AK128)</f>
        <v>0</v>
      </c>
      <c r="AN128" s="180" t="str">
        <f aca="false">CONCATENATE('Přehled akce'!$K$4," / ",'Přehled akce'!$K$5)</f>
        <v> / </v>
      </c>
      <c r="AO128" s="181" t="n">
        <f aca="false">IF('Příjmy a výdaje'!$G128="ano",'Příjmy a výdaje'!$B128,0)</f>
        <v>0</v>
      </c>
      <c r="AP128" s="182" t="n">
        <f aca="false">IF('Příjmy a výdaje'!$G128="ano",'Příjmy a výdaje'!$C128,0)</f>
        <v>0</v>
      </c>
      <c r="AQ128" s="183" t="n">
        <f aca="false">'Příjmy a výdaje'!$AP128</f>
        <v>0</v>
      </c>
    </row>
    <row r="129" customFormat="false" ht="12.75" hidden="false" customHeight="false" outlineLevel="0" collapsed="false">
      <c r="A129" s="169" t="n">
        <v>112</v>
      </c>
      <c r="B129" s="222"/>
      <c r="C129" s="185"/>
      <c r="D129" s="186"/>
      <c r="E129" s="188"/>
      <c r="F129" s="223"/>
      <c r="G129" s="224"/>
      <c r="H129" s="190"/>
      <c r="I129" s="246"/>
      <c r="J129" s="178" t="str">
        <f aca="false">IF(AL129=C129,IF(AL129=0,"-","ok"),"chyba")</f>
        <v>-</v>
      </c>
      <c r="K129" s="179"/>
      <c r="L129" s="179"/>
      <c r="M129" s="179"/>
      <c r="N129" s="179"/>
      <c r="O129" s="239"/>
      <c r="P129" s="148" t="n">
        <f aca="false">VALUE(IF($D129="vyb",$C129,0))+VALUE(IF($H129="vyb",$G129,0))</f>
        <v>0</v>
      </c>
      <c r="Q129" s="148" t="n">
        <f aca="false">VALUE(IF($D129="mtv",$C129,0))+VALUE(IF($H129="mtv",$G129,0))</f>
        <v>0</v>
      </c>
      <c r="R129" s="148" t="n">
        <f aca="false">VALUE(IF($D129="mat",$C129,0))+VALUE(IF($H129="mat",$G129,0))</f>
        <v>0</v>
      </c>
      <c r="S129" s="148" t="n">
        <f aca="false">VALUE(IF($D129="pot",$C129,0))+VALUE(IF($H129="pot",$G129,0))</f>
        <v>0</v>
      </c>
      <c r="T129" s="148" t="n">
        <f aca="false">VALUE(IF($D129="táb",$C129,0))+VALUE(IF($H129="táb",$G129,0))</f>
        <v>0</v>
      </c>
      <c r="U129" s="148" t="n">
        <f aca="false">VALUE(IF($D129="oma",$C129,0))+VALUE(IF($H129="oma",$G129,0))</f>
        <v>0</v>
      </c>
      <c r="V129" s="148" t="n">
        <f aca="false">VALUE(IF($D129="ces",$C129,0))+VALUE(IF($H129="ces",$G129,0))</f>
        <v>0</v>
      </c>
      <c r="W129" s="148" t="n">
        <f aca="false">VALUE(IF($D129="poš",$C129,0))+VALUE(IF($H129="poš",$G129,0))</f>
        <v>0</v>
      </c>
      <c r="X129" s="148" t="n">
        <f aca="false">VALUE(IF($D129="tel",$C129,0))+VALUE(IF($H129="tel",$G129,0))</f>
        <v>0</v>
      </c>
      <c r="Y129" s="148" t="n">
        <f aca="false">VALUE(IF($D129="dop",$C129,0))+VALUE(IF($H129="dop",$G129,0))</f>
        <v>0</v>
      </c>
      <c r="Z129" s="148" t="n">
        <f aca="false">VALUE(IF($D129="nák",$C129,0))+VALUE(IF($H129="nák",$G129,0))</f>
        <v>0</v>
      </c>
      <c r="AA129" s="148" t="n">
        <f aca="false">VALUE(IF($D129="náj",$C129,0))+VALUE(IF($H129="náj",$G129,0))</f>
        <v>0</v>
      </c>
      <c r="AB129" s="148" t="n">
        <f aca="false">VALUE(IF($D129="půj",$C129,0))+VALUE(IF($H129="půj",$G129,0))</f>
        <v>0</v>
      </c>
      <c r="AC129" s="148" t="n">
        <f aca="false">VALUE(IF($D129="vst",$C129,0))+VALUE(IF($H129="vst",$G129,0))</f>
        <v>0</v>
      </c>
      <c r="AD129" s="148" t="n">
        <f aca="false">VALUE(IF($D129="kop",$C129,0))+VALUE(IF($H129="kop",$G129,0))</f>
        <v>0</v>
      </c>
      <c r="AE129" s="148" t="n">
        <f aca="false">VALUE(IF($D129="osl",$C129,0))+VALUE(IF($H129="osl",$G129,0))</f>
        <v>0</v>
      </c>
      <c r="AF129" s="148" t="n">
        <f aca="false">VALUE(IF($D129="vra",$C129,0))+VALUE(IF($H129="vra",$G129,0))</f>
        <v>0</v>
      </c>
      <c r="AG129" s="148" t="n">
        <f aca="false">VALUE(IF($D129="zho",$C129,0))+VALUE(IF($H129="zho",$G129,0))</f>
        <v>0</v>
      </c>
      <c r="AH129" s="148" t="n">
        <f aca="false">VALUE(IF($D129="zbú",$C129,0))+VALUE(IF($H129="zbú",$G129,0))</f>
        <v>0</v>
      </c>
      <c r="AI129" s="148" t="n">
        <f aca="false">VALUE(IF($D129="pří",$C129,0))+VALUE(IF($H129="pří",$G129,0))</f>
        <v>0</v>
      </c>
      <c r="AJ129" s="148" t="n">
        <f aca="false">VALUE(IF($D129="dot",$C129,0))+VALUE(IF($H129="dot",$G129,0))</f>
        <v>0</v>
      </c>
      <c r="AK129" s="148" t="n">
        <f aca="false">VALUE(IF($D129="opř",$C129,0))+VALUE(IF($H129="opř",$G129,0))</f>
        <v>0</v>
      </c>
      <c r="AL129" s="148" t="n">
        <f aca="false">SUM(P129:AK129)</f>
        <v>0</v>
      </c>
      <c r="AN129" s="180" t="str">
        <f aca="false">CONCATENATE('Přehled akce'!$K$4," / ",'Přehled akce'!$K$5)</f>
        <v> / </v>
      </c>
      <c r="AO129" s="181" t="n">
        <f aca="false">IF('Příjmy a výdaje'!$G129="ano",'Příjmy a výdaje'!$B129,0)</f>
        <v>0</v>
      </c>
      <c r="AP129" s="182" t="n">
        <f aca="false">IF('Příjmy a výdaje'!$G129="ano",'Příjmy a výdaje'!$C129,0)</f>
        <v>0</v>
      </c>
      <c r="AQ129" s="183" t="n">
        <f aca="false">'Příjmy a výdaje'!$AP129</f>
        <v>0</v>
      </c>
    </row>
    <row r="130" customFormat="false" ht="12.75" hidden="false" customHeight="false" outlineLevel="0" collapsed="false">
      <c r="A130" s="169" t="n">
        <v>113</v>
      </c>
      <c r="B130" s="222"/>
      <c r="C130" s="185"/>
      <c r="D130" s="186"/>
      <c r="E130" s="188"/>
      <c r="F130" s="223"/>
      <c r="G130" s="224"/>
      <c r="H130" s="190"/>
      <c r="I130" s="246"/>
      <c r="J130" s="178" t="str">
        <f aca="false">IF(AL130=C130,IF(AL130=0,"-","ok"),"chyba")</f>
        <v>-</v>
      </c>
      <c r="K130" s="179"/>
      <c r="L130" s="179"/>
      <c r="M130" s="179"/>
      <c r="N130" s="179"/>
      <c r="O130" s="239"/>
      <c r="P130" s="148" t="n">
        <f aca="false">VALUE(IF($D130="vyb",$C130,0))+VALUE(IF($H130="vyb",$G130,0))</f>
        <v>0</v>
      </c>
      <c r="Q130" s="148" t="n">
        <f aca="false">VALUE(IF($D130="mtv",$C130,0))+VALUE(IF($H130="mtv",$G130,0))</f>
        <v>0</v>
      </c>
      <c r="R130" s="148" t="n">
        <f aca="false">VALUE(IF($D130="mat",$C130,0))+VALUE(IF($H130="mat",$G130,0))</f>
        <v>0</v>
      </c>
      <c r="S130" s="148" t="n">
        <f aca="false">VALUE(IF($D130="pot",$C130,0))+VALUE(IF($H130="pot",$G130,0))</f>
        <v>0</v>
      </c>
      <c r="T130" s="148" t="n">
        <f aca="false">VALUE(IF($D130="táb",$C130,0))+VALUE(IF($H130="táb",$G130,0))</f>
        <v>0</v>
      </c>
      <c r="U130" s="148" t="n">
        <f aca="false">VALUE(IF($D130="oma",$C130,0))+VALUE(IF($H130="oma",$G130,0))</f>
        <v>0</v>
      </c>
      <c r="V130" s="148" t="n">
        <f aca="false">VALUE(IF($D130="ces",$C130,0))+VALUE(IF($H130="ces",$G130,0))</f>
        <v>0</v>
      </c>
      <c r="W130" s="148" t="n">
        <f aca="false">VALUE(IF($D130="poš",$C130,0))+VALUE(IF($H130="poš",$G130,0))</f>
        <v>0</v>
      </c>
      <c r="X130" s="148" t="n">
        <f aca="false">VALUE(IF($D130="tel",$C130,0))+VALUE(IF($H130="tel",$G130,0))</f>
        <v>0</v>
      </c>
      <c r="Y130" s="148" t="n">
        <f aca="false">VALUE(IF($D130="dop",$C130,0))+VALUE(IF($H130="dop",$G130,0))</f>
        <v>0</v>
      </c>
      <c r="Z130" s="148" t="n">
        <f aca="false">VALUE(IF($D130="nák",$C130,0))+VALUE(IF($H130="nák",$G130,0))</f>
        <v>0</v>
      </c>
      <c r="AA130" s="148" t="n">
        <f aca="false">VALUE(IF($D130="náj",$C130,0))+VALUE(IF($H130="náj",$G130,0))</f>
        <v>0</v>
      </c>
      <c r="AB130" s="148" t="n">
        <f aca="false">VALUE(IF($D130="půj",$C130,0))+VALUE(IF($H130="půj",$G130,0))</f>
        <v>0</v>
      </c>
      <c r="AC130" s="148" t="n">
        <f aca="false">VALUE(IF($D130="vst",$C130,0))+VALUE(IF($H130="vst",$G130,0))</f>
        <v>0</v>
      </c>
      <c r="AD130" s="148" t="n">
        <f aca="false">VALUE(IF($D130="kop",$C130,0))+VALUE(IF($H130="kop",$G130,0))</f>
        <v>0</v>
      </c>
      <c r="AE130" s="148" t="n">
        <f aca="false">VALUE(IF($D130="osl",$C130,0))+VALUE(IF($H130="osl",$G130,0))</f>
        <v>0</v>
      </c>
      <c r="AF130" s="148" t="n">
        <f aca="false">VALUE(IF($D130="vra",$C130,0))+VALUE(IF($H130="vra",$G130,0))</f>
        <v>0</v>
      </c>
      <c r="AG130" s="148" t="n">
        <f aca="false">VALUE(IF($D130="zho",$C130,0))+VALUE(IF($H130="zho",$G130,0))</f>
        <v>0</v>
      </c>
      <c r="AH130" s="148" t="n">
        <f aca="false">VALUE(IF($D130="zbú",$C130,0))+VALUE(IF($H130="zbú",$G130,0))</f>
        <v>0</v>
      </c>
      <c r="AI130" s="148" t="n">
        <f aca="false">VALUE(IF($D130="pří",$C130,0))+VALUE(IF($H130="pří",$G130,0))</f>
        <v>0</v>
      </c>
      <c r="AJ130" s="148" t="n">
        <f aca="false">VALUE(IF($D130="dot",$C130,0))+VALUE(IF($H130="dot",$G130,0))</f>
        <v>0</v>
      </c>
      <c r="AK130" s="148" t="n">
        <f aca="false">VALUE(IF($D130="opř",$C130,0))+VALUE(IF($H130="opř",$G130,0))</f>
        <v>0</v>
      </c>
      <c r="AL130" s="148" t="n">
        <f aca="false">SUM(P130:AK130)</f>
        <v>0</v>
      </c>
      <c r="AN130" s="180" t="str">
        <f aca="false">CONCATENATE('Přehled akce'!$K$4," / ",'Přehled akce'!$K$5)</f>
        <v> / </v>
      </c>
      <c r="AO130" s="181" t="n">
        <f aca="false">IF('Příjmy a výdaje'!$G130="ano",'Příjmy a výdaje'!$B130,0)</f>
        <v>0</v>
      </c>
      <c r="AP130" s="182" t="n">
        <f aca="false">IF('Příjmy a výdaje'!$G130="ano",'Příjmy a výdaje'!$C130,0)</f>
        <v>0</v>
      </c>
      <c r="AQ130" s="183" t="n">
        <f aca="false">'Příjmy a výdaje'!$AP130</f>
        <v>0</v>
      </c>
    </row>
    <row r="131" customFormat="false" ht="12.75" hidden="false" customHeight="false" outlineLevel="0" collapsed="false">
      <c r="A131" s="169" t="n">
        <v>114</v>
      </c>
      <c r="B131" s="222"/>
      <c r="C131" s="185"/>
      <c r="D131" s="186"/>
      <c r="E131" s="188"/>
      <c r="F131" s="223"/>
      <c r="G131" s="224"/>
      <c r="H131" s="190"/>
      <c r="I131" s="246"/>
      <c r="J131" s="178" t="str">
        <f aca="false">IF(AL131=C131,IF(AL131=0,"-","ok"),"chyba")</f>
        <v>-</v>
      </c>
      <c r="K131" s="179"/>
      <c r="L131" s="179"/>
      <c r="M131" s="179"/>
      <c r="N131" s="179"/>
      <c r="P131" s="148" t="n">
        <f aca="false">VALUE(IF($D131="vyb",$C131,0))+VALUE(IF($H131="vyb",$G131,0))</f>
        <v>0</v>
      </c>
      <c r="Q131" s="148" t="n">
        <f aca="false">VALUE(IF($D131="mtv",$C131,0))+VALUE(IF($H131="mtv",$G131,0))</f>
        <v>0</v>
      </c>
      <c r="R131" s="148" t="n">
        <f aca="false">VALUE(IF($D131="mat",$C131,0))+VALUE(IF($H131="mat",$G131,0))</f>
        <v>0</v>
      </c>
      <c r="S131" s="148" t="n">
        <f aca="false">VALUE(IF($D131="pot",$C131,0))+VALUE(IF($H131="pot",$G131,0))</f>
        <v>0</v>
      </c>
      <c r="T131" s="148" t="n">
        <f aca="false">VALUE(IF($D131="táb",$C131,0))+VALUE(IF($H131="táb",$G131,0))</f>
        <v>0</v>
      </c>
      <c r="U131" s="148" t="n">
        <f aca="false">VALUE(IF($D131="oma",$C131,0))+VALUE(IF($H131="oma",$G131,0))</f>
        <v>0</v>
      </c>
      <c r="V131" s="148" t="n">
        <f aca="false">VALUE(IF($D131="ces",$C131,0))+VALUE(IF($H131="ces",$G131,0))</f>
        <v>0</v>
      </c>
      <c r="W131" s="148" t="n">
        <f aca="false">VALUE(IF($D131="poš",$C131,0))+VALUE(IF($H131="poš",$G131,0))</f>
        <v>0</v>
      </c>
      <c r="X131" s="148" t="n">
        <f aca="false">VALUE(IF($D131="tel",$C131,0))+VALUE(IF($H131="tel",$G131,0))</f>
        <v>0</v>
      </c>
      <c r="Y131" s="148" t="n">
        <f aca="false">VALUE(IF($D131="dop",$C131,0))+VALUE(IF($H131="dop",$G131,0))</f>
        <v>0</v>
      </c>
      <c r="Z131" s="148" t="n">
        <f aca="false">VALUE(IF($D131="nák",$C131,0))+VALUE(IF($H131="nák",$G131,0))</f>
        <v>0</v>
      </c>
      <c r="AA131" s="148" t="n">
        <f aca="false">VALUE(IF($D131="náj",$C131,0))+VALUE(IF($H131="náj",$G131,0))</f>
        <v>0</v>
      </c>
      <c r="AB131" s="148" t="n">
        <f aca="false">VALUE(IF($D131="půj",$C131,0))+VALUE(IF($H131="půj",$G131,0))</f>
        <v>0</v>
      </c>
      <c r="AC131" s="148" t="n">
        <f aca="false">VALUE(IF($D131="vst",$C131,0))+VALUE(IF($H131="vst",$G131,0))</f>
        <v>0</v>
      </c>
      <c r="AD131" s="148" t="n">
        <f aca="false">VALUE(IF($D131="kop",$C131,0))+VALUE(IF($H131="kop",$G131,0))</f>
        <v>0</v>
      </c>
      <c r="AE131" s="148" t="n">
        <f aca="false">VALUE(IF($D131="osl",$C131,0))+VALUE(IF($H131="osl",$G131,0))</f>
        <v>0</v>
      </c>
      <c r="AF131" s="148" t="n">
        <f aca="false">VALUE(IF($D131="vra",$C131,0))+VALUE(IF($H131="vra",$G131,0))</f>
        <v>0</v>
      </c>
      <c r="AG131" s="148" t="n">
        <f aca="false">VALUE(IF($D131="zho",$C131,0))+VALUE(IF($H131="zho",$G131,0))</f>
        <v>0</v>
      </c>
      <c r="AH131" s="148" t="n">
        <f aca="false">VALUE(IF($D131="zbú",$C131,0))+VALUE(IF($H131="zbú",$G131,0))</f>
        <v>0</v>
      </c>
      <c r="AI131" s="148" t="n">
        <f aca="false">VALUE(IF($D131="pří",$C131,0))+VALUE(IF($H131="pří",$G131,0))</f>
        <v>0</v>
      </c>
      <c r="AJ131" s="148" t="n">
        <f aca="false">VALUE(IF($D131="dot",$C131,0))+VALUE(IF($H131="dot",$G131,0))</f>
        <v>0</v>
      </c>
      <c r="AK131" s="148" t="n">
        <f aca="false">VALUE(IF($D131="opř",$C131,0))+VALUE(IF($H131="opř",$G131,0))</f>
        <v>0</v>
      </c>
      <c r="AL131" s="148" t="n">
        <f aca="false">SUM(P131:AK131)</f>
        <v>0</v>
      </c>
      <c r="AN131" s="180" t="str">
        <f aca="false">CONCATENATE('Přehled akce'!$K$4," / ",'Přehled akce'!$K$5)</f>
        <v> / </v>
      </c>
      <c r="AO131" s="181" t="n">
        <f aca="false">IF('Příjmy a výdaje'!$G131="ano",'Příjmy a výdaje'!$B131,0)</f>
        <v>0</v>
      </c>
      <c r="AP131" s="182" t="n">
        <f aca="false">IF('Příjmy a výdaje'!$G131="ano",'Příjmy a výdaje'!$C131,0)</f>
        <v>0</v>
      </c>
      <c r="AQ131" s="183" t="n">
        <f aca="false">'Příjmy a výdaje'!$AP131</f>
        <v>0</v>
      </c>
    </row>
    <row r="132" customFormat="false" ht="12.75" hidden="false" customHeight="false" outlineLevel="0" collapsed="false">
      <c r="A132" s="169" t="n">
        <v>115</v>
      </c>
      <c r="B132" s="222"/>
      <c r="C132" s="185"/>
      <c r="D132" s="186"/>
      <c r="E132" s="188"/>
      <c r="F132" s="223"/>
      <c r="G132" s="224"/>
      <c r="H132" s="190"/>
      <c r="I132" s="246"/>
      <c r="J132" s="178" t="str">
        <f aca="false">IF(AL132=C132,IF(AL132=0,"-","ok"),"chyba")</f>
        <v>-</v>
      </c>
      <c r="K132" s="179"/>
      <c r="L132" s="179"/>
      <c r="M132" s="179"/>
      <c r="N132" s="179"/>
      <c r="P132" s="148" t="n">
        <f aca="false">VALUE(IF($D132="vyb",$C132,0))+VALUE(IF($H132="vyb",$G132,0))</f>
        <v>0</v>
      </c>
      <c r="Q132" s="148" t="n">
        <f aca="false">VALUE(IF($D132="mtv",$C132,0))+VALUE(IF($H132="mtv",$G132,0))</f>
        <v>0</v>
      </c>
      <c r="R132" s="148" t="n">
        <f aca="false">VALUE(IF($D132="mat",$C132,0))+VALUE(IF($H132="mat",$G132,0))</f>
        <v>0</v>
      </c>
      <c r="S132" s="148" t="n">
        <f aca="false">VALUE(IF($D132="pot",$C132,0))+VALUE(IF($H132="pot",$G132,0))</f>
        <v>0</v>
      </c>
      <c r="T132" s="148" t="n">
        <f aca="false">VALUE(IF($D132="táb",$C132,0))+VALUE(IF($H132="táb",$G132,0))</f>
        <v>0</v>
      </c>
      <c r="U132" s="148" t="n">
        <f aca="false">VALUE(IF($D132="oma",$C132,0))+VALUE(IF($H132="oma",$G132,0))</f>
        <v>0</v>
      </c>
      <c r="V132" s="148" t="n">
        <f aca="false">VALUE(IF($D132="ces",$C132,0))+VALUE(IF($H132="ces",$G132,0))</f>
        <v>0</v>
      </c>
      <c r="W132" s="148" t="n">
        <f aca="false">VALUE(IF($D132="poš",$C132,0))+VALUE(IF($H132="poš",$G132,0))</f>
        <v>0</v>
      </c>
      <c r="X132" s="148" t="n">
        <f aca="false">VALUE(IF($D132="tel",$C132,0))+VALUE(IF($H132="tel",$G132,0))</f>
        <v>0</v>
      </c>
      <c r="Y132" s="148" t="n">
        <f aca="false">VALUE(IF($D132="dop",$C132,0))+VALUE(IF($H132="dop",$G132,0))</f>
        <v>0</v>
      </c>
      <c r="Z132" s="148" t="n">
        <f aca="false">VALUE(IF($D132="nák",$C132,0))+VALUE(IF($H132="nák",$G132,0))</f>
        <v>0</v>
      </c>
      <c r="AA132" s="148" t="n">
        <f aca="false">VALUE(IF($D132="náj",$C132,0))+VALUE(IF($H132="náj",$G132,0))</f>
        <v>0</v>
      </c>
      <c r="AB132" s="148" t="n">
        <f aca="false">VALUE(IF($D132="půj",$C132,0))+VALUE(IF($H132="půj",$G132,0))</f>
        <v>0</v>
      </c>
      <c r="AC132" s="148" t="n">
        <f aca="false">VALUE(IF($D132="vst",$C132,0))+VALUE(IF($H132="vst",$G132,0))</f>
        <v>0</v>
      </c>
      <c r="AD132" s="148" t="n">
        <f aca="false">VALUE(IF($D132="kop",$C132,0))+VALUE(IF($H132="kop",$G132,0))</f>
        <v>0</v>
      </c>
      <c r="AE132" s="148" t="n">
        <f aca="false">VALUE(IF($D132="osl",$C132,0))+VALUE(IF($H132="osl",$G132,0))</f>
        <v>0</v>
      </c>
      <c r="AF132" s="148" t="n">
        <f aca="false">VALUE(IF($D132="vra",$C132,0))+VALUE(IF($H132="vra",$G132,0))</f>
        <v>0</v>
      </c>
      <c r="AG132" s="148" t="n">
        <f aca="false">VALUE(IF($D132="zho",$C132,0))+VALUE(IF($H132="zho",$G132,0))</f>
        <v>0</v>
      </c>
      <c r="AH132" s="148" t="n">
        <f aca="false">VALUE(IF($D132="zbú",$C132,0))+VALUE(IF($H132="zbú",$G132,0))</f>
        <v>0</v>
      </c>
      <c r="AI132" s="148" t="n">
        <f aca="false">VALUE(IF($D132="pří",$C132,0))+VALUE(IF($H132="pří",$G132,0))</f>
        <v>0</v>
      </c>
      <c r="AJ132" s="148" t="n">
        <f aca="false">VALUE(IF($D132="dot",$C132,0))+VALUE(IF($H132="dot",$G132,0))</f>
        <v>0</v>
      </c>
      <c r="AK132" s="148" t="n">
        <f aca="false">VALUE(IF($D132="opř",$C132,0))+VALUE(IF($H132="opř",$G132,0))</f>
        <v>0</v>
      </c>
      <c r="AL132" s="148" t="n">
        <f aca="false">SUM(P132:AK132)</f>
        <v>0</v>
      </c>
      <c r="AN132" s="180" t="str">
        <f aca="false">CONCATENATE('Přehled akce'!$K$4," / ",'Přehled akce'!$K$5)</f>
        <v> / </v>
      </c>
      <c r="AO132" s="181" t="n">
        <f aca="false">IF('Příjmy a výdaje'!$G132="ano",'Příjmy a výdaje'!$B132,0)</f>
        <v>0</v>
      </c>
      <c r="AP132" s="182" t="n">
        <f aca="false">IF('Příjmy a výdaje'!$G132="ano",'Příjmy a výdaje'!$C132,0)</f>
        <v>0</v>
      </c>
      <c r="AQ132" s="183" t="n">
        <f aca="false">'Příjmy a výdaje'!$AP132</f>
        <v>0</v>
      </c>
    </row>
    <row r="133" customFormat="false" ht="12.75" hidden="false" customHeight="false" outlineLevel="0" collapsed="false">
      <c r="A133" s="169" t="n">
        <v>116</v>
      </c>
      <c r="B133" s="222"/>
      <c r="C133" s="185"/>
      <c r="D133" s="186"/>
      <c r="E133" s="188"/>
      <c r="F133" s="223"/>
      <c r="G133" s="224"/>
      <c r="H133" s="190"/>
      <c r="I133" s="246"/>
      <c r="J133" s="178" t="str">
        <f aca="false">IF(AL133=C133,IF(AL133=0,"-","ok"),"chyba")</f>
        <v>-</v>
      </c>
      <c r="K133" s="179"/>
      <c r="L133" s="179"/>
      <c r="M133" s="179"/>
      <c r="N133" s="179"/>
      <c r="P133" s="148" t="n">
        <f aca="false">VALUE(IF($D133="vyb",$C133,0))+VALUE(IF($H133="vyb",$G133,0))</f>
        <v>0</v>
      </c>
      <c r="Q133" s="148" t="n">
        <f aca="false">VALUE(IF($D133="mtv",$C133,0))+VALUE(IF($H133="mtv",$G133,0))</f>
        <v>0</v>
      </c>
      <c r="R133" s="148" t="n">
        <f aca="false">VALUE(IF($D133="mat",$C133,0))+VALUE(IF($H133="mat",$G133,0))</f>
        <v>0</v>
      </c>
      <c r="S133" s="148" t="n">
        <f aca="false">VALUE(IF($D133="pot",$C133,0))+VALUE(IF($H133="pot",$G133,0))</f>
        <v>0</v>
      </c>
      <c r="T133" s="148" t="n">
        <f aca="false">VALUE(IF($D133="táb",$C133,0))+VALUE(IF($H133="táb",$G133,0))</f>
        <v>0</v>
      </c>
      <c r="U133" s="148" t="n">
        <f aca="false">VALUE(IF($D133="oma",$C133,0))+VALUE(IF($H133="oma",$G133,0))</f>
        <v>0</v>
      </c>
      <c r="V133" s="148" t="n">
        <f aca="false">VALUE(IF($D133="ces",$C133,0))+VALUE(IF($H133="ces",$G133,0))</f>
        <v>0</v>
      </c>
      <c r="W133" s="148" t="n">
        <f aca="false">VALUE(IF($D133="poš",$C133,0))+VALUE(IF($H133="poš",$G133,0))</f>
        <v>0</v>
      </c>
      <c r="X133" s="148" t="n">
        <f aca="false">VALUE(IF($D133="tel",$C133,0))+VALUE(IF($H133="tel",$G133,0))</f>
        <v>0</v>
      </c>
      <c r="Y133" s="148" t="n">
        <f aca="false">VALUE(IF($D133="dop",$C133,0))+VALUE(IF($H133="dop",$G133,0))</f>
        <v>0</v>
      </c>
      <c r="Z133" s="148" t="n">
        <f aca="false">VALUE(IF($D133="nák",$C133,0))+VALUE(IF($H133="nák",$G133,0))</f>
        <v>0</v>
      </c>
      <c r="AA133" s="148" t="n">
        <f aca="false">VALUE(IF($D133="náj",$C133,0))+VALUE(IF($H133="náj",$G133,0))</f>
        <v>0</v>
      </c>
      <c r="AB133" s="148" t="n">
        <f aca="false">VALUE(IF($D133="půj",$C133,0))+VALUE(IF($H133="půj",$G133,0))</f>
        <v>0</v>
      </c>
      <c r="AC133" s="148" t="n">
        <f aca="false">VALUE(IF($D133="vst",$C133,0))+VALUE(IF($H133="vst",$G133,0))</f>
        <v>0</v>
      </c>
      <c r="AD133" s="148" t="n">
        <f aca="false">VALUE(IF($D133="kop",$C133,0))+VALUE(IF($H133="kop",$G133,0))</f>
        <v>0</v>
      </c>
      <c r="AE133" s="148" t="n">
        <f aca="false">VALUE(IF($D133="osl",$C133,0))+VALUE(IF($H133="osl",$G133,0))</f>
        <v>0</v>
      </c>
      <c r="AF133" s="148" t="n">
        <f aca="false">VALUE(IF($D133="vra",$C133,0))+VALUE(IF($H133="vra",$G133,0))</f>
        <v>0</v>
      </c>
      <c r="AG133" s="148" t="n">
        <f aca="false">VALUE(IF($D133="zho",$C133,0))+VALUE(IF($H133="zho",$G133,0))</f>
        <v>0</v>
      </c>
      <c r="AH133" s="148" t="n">
        <f aca="false">VALUE(IF($D133="zbú",$C133,0))+VALUE(IF($H133="zbú",$G133,0))</f>
        <v>0</v>
      </c>
      <c r="AI133" s="148" t="n">
        <f aca="false">VALUE(IF($D133="pří",$C133,0))+VALUE(IF($H133="pří",$G133,0))</f>
        <v>0</v>
      </c>
      <c r="AJ133" s="148" t="n">
        <f aca="false">VALUE(IF($D133="dot",$C133,0))+VALUE(IF($H133="dot",$G133,0))</f>
        <v>0</v>
      </c>
      <c r="AK133" s="148" t="n">
        <f aca="false">VALUE(IF($D133="opř",$C133,0))+VALUE(IF($H133="opř",$G133,0))</f>
        <v>0</v>
      </c>
      <c r="AL133" s="148" t="n">
        <f aca="false">SUM(P133:AK133)</f>
        <v>0</v>
      </c>
      <c r="AN133" s="180" t="str">
        <f aca="false">CONCATENATE('Přehled akce'!$K$4," / ",'Přehled akce'!$K$5)</f>
        <v> / </v>
      </c>
      <c r="AO133" s="181" t="n">
        <f aca="false">IF('Příjmy a výdaje'!$G133="ano",'Příjmy a výdaje'!$B133,0)</f>
        <v>0</v>
      </c>
      <c r="AP133" s="182" t="n">
        <f aca="false">IF('Příjmy a výdaje'!$G133="ano",'Příjmy a výdaje'!$C133,0)</f>
        <v>0</v>
      </c>
      <c r="AQ133" s="183" t="n">
        <f aca="false">'Příjmy a výdaje'!$AP133</f>
        <v>0</v>
      </c>
    </row>
    <row r="134" customFormat="false" ht="12.75" hidden="false" customHeight="false" outlineLevel="0" collapsed="false">
      <c r="A134" s="169" t="n">
        <v>117</v>
      </c>
      <c r="B134" s="222"/>
      <c r="C134" s="185"/>
      <c r="D134" s="186"/>
      <c r="E134" s="188"/>
      <c r="F134" s="223"/>
      <c r="G134" s="224"/>
      <c r="H134" s="190"/>
      <c r="I134" s="246"/>
      <c r="J134" s="178" t="str">
        <f aca="false">IF(AL134=C134,IF(AL134=0,"-","ok"),"chyba")</f>
        <v>-</v>
      </c>
      <c r="K134" s="179"/>
      <c r="L134" s="179"/>
      <c r="M134" s="179"/>
      <c r="N134" s="179"/>
      <c r="P134" s="148" t="n">
        <f aca="false">VALUE(IF($D134="vyb",$C134,0))+VALUE(IF($H134="vyb",$G134,0))</f>
        <v>0</v>
      </c>
      <c r="Q134" s="148" t="n">
        <f aca="false">VALUE(IF($D134="mtv",$C134,0))+VALUE(IF($H134="mtv",$G134,0))</f>
        <v>0</v>
      </c>
      <c r="R134" s="148" t="n">
        <f aca="false">VALUE(IF($D134="mat",$C134,0))+VALUE(IF($H134="mat",$G134,0))</f>
        <v>0</v>
      </c>
      <c r="S134" s="148" t="n">
        <f aca="false">VALUE(IF($D134="pot",$C134,0))+VALUE(IF($H134="pot",$G134,0))</f>
        <v>0</v>
      </c>
      <c r="T134" s="148" t="n">
        <f aca="false">VALUE(IF($D134="táb",$C134,0))+VALUE(IF($H134="táb",$G134,0))</f>
        <v>0</v>
      </c>
      <c r="U134" s="148" t="n">
        <f aca="false">VALUE(IF($D134="oma",$C134,0))+VALUE(IF($H134="oma",$G134,0))</f>
        <v>0</v>
      </c>
      <c r="V134" s="148" t="n">
        <f aca="false">VALUE(IF($D134="ces",$C134,0))+VALUE(IF($H134="ces",$G134,0))</f>
        <v>0</v>
      </c>
      <c r="W134" s="148" t="n">
        <f aca="false">VALUE(IF($D134="poš",$C134,0))+VALUE(IF($H134="poš",$G134,0))</f>
        <v>0</v>
      </c>
      <c r="X134" s="148" t="n">
        <f aca="false">VALUE(IF($D134="tel",$C134,0))+VALUE(IF($H134="tel",$G134,0))</f>
        <v>0</v>
      </c>
      <c r="Y134" s="148" t="n">
        <f aca="false">VALUE(IF($D134="dop",$C134,0))+VALUE(IF($H134="dop",$G134,0))</f>
        <v>0</v>
      </c>
      <c r="Z134" s="148" t="n">
        <f aca="false">VALUE(IF($D134="nák",$C134,0))+VALUE(IF($H134="nák",$G134,0))</f>
        <v>0</v>
      </c>
      <c r="AA134" s="148" t="n">
        <f aca="false">VALUE(IF($D134="náj",$C134,0))+VALUE(IF($H134="náj",$G134,0))</f>
        <v>0</v>
      </c>
      <c r="AB134" s="148" t="n">
        <f aca="false">VALUE(IF($D134="půj",$C134,0))+VALUE(IF($H134="půj",$G134,0))</f>
        <v>0</v>
      </c>
      <c r="AC134" s="148" t="n">
        <f aca="false">VALUE(IF($D134="vst",$C134,0))+VALUE(IF($H134="vst",$G134,0))</f>
        <v>0</v>
      </c>
      <c r="AD134" s="148" t="n">
        <f aca="false">VALUE(IF($D134="kop",$C134,0))+VALUE(IF($H134="kop",$G134,0))</f>
        <v>0</v>
      </c>
      <c r="AE134" s="148" t="n">
        <f aca="false">VALUE(IF($D134="osl",$C134,0))+VALUE(IF($H134="osl",$G134,0))</f>
        <v>0</v>
      </c>
      <c r="AF134" s="148" t="n">
        <f aca="false">VALUE(IF($D134="vra",$C134,0))+VALUE(IF($H134="vra",$G134,0))</f>
        <v>0</v>
      </c>
      <c r="AG134" s="148" t="n">
        <f aca="false">VALUE(IF($D134="zho",$C134,0))+VALUE(IF($H134="zho",$G134,0))</f>
        <v>0</v>
      </c>
      <c r="AH134" s="148" t="n">
        <f aca="false">VALUE(IF($D134="zbú",$C134,0))+VALUE(IF($H134="zbú",$G134,0))</f>
        <v>0</v>
      </c>
      <c r="AI134" s="148" t="n">
        <f aca="false">VALUE(IF($D134="pří",$C134,0))+VALUE(IF($H134="pří",$G134,0))</f>
        <v>0</v>
      </c>
      <c r="AJ134" s="148" t="n">
        <f aca="false">VALUE(IF($D134="dot",$C134,0))+VALUE(IF($H134="dot",$G134,0))</f>
        <v>0</v>
      </c>
      <c r="AK134" s="148" t="n">
        <f aca="false">VALUE(IF($D134="opř",$C134,0))+VALUE(IF($H134="opř",$G134,0))</f>
        <v>0</v>
      </c>
      <c r="AL134" s="148" t="n">
        <f aca="false">SUM(P134:AK134)</f>
        <v>0</v>
      </c>
      <c r="AN134" s="180" t="str">
        <f aca="false">CONCATENATE('Přehled akce'!$K$4," / ",'Přehled akce'!$K$5)</f>
        <v> / </v>
      </c>
      <c r="AO134" s="181" t="n">
        <f aca="false">IF('Příjmy a výdaje'!$G134="ano",'Příjmy a výdaje'!$B134,0)</f>
        <v>0</v>
      </c>
      <c r="AP134" s="182" t="n">
        <f aca="false">IF('Příjmy a výdaje'!$G134="ano",'Příjmy a výdaje'!$C134,0)</f>
        <v>0</v>
      </c>
      <c r="AQ134" s="183" t="n">
        <f aca="false">'Příjmy a výdaje'!$AP134</f>
        <v>0</v>
      </c>
    </row>
    <row r="135" customFormat="false" ht="12.75" hidden="false" customHeight="false" outlineLevel="0" collapsed="false">
      <c r="A135" s="169" t="n">
        <v>118</v>
      </c>
      <c r="B135" s="222"/>
      <c r="C135" s="185"/>
      <c r="D135" s="186"/>
      <c r="E135" s="188"/>
      <c r="F135" s="223"/>
      <c r="G135" s="224"/>
      <c r="H135" s="190"/>
      <c r="I135" s="246"/>
      <c r="J135" s="178" t="str">
        <f aca="false">IF(AL135=C135,IF(AL135=0,"-","ok"),"chyba")</f>
        <v>-</v>
      </c>
      <c r="K135" s="179"/>
      <c r="L135" s="179"/>
      <c r="M135" s="179"/>
      <c r="N135" s="179"/>
      <c r="P135" s="148" t="n">
        <f aca="false">VALUE(IF($D135="vyb",$C135,0))+VALUE(IF($H135="vyb",$G135,0))</f>
        <v>0</v>
      </c>
      <c r="Q135" s="148" t="n">
        <f aca="false">VALUE(IF($D135="mtv",$C135,0))+VALUE(IF($H135="mtv",$G135,0))</f>
        <v>0</v>
      </c>
      <c r="R135" s="148" t="n">
        <f aca="false">VALUE(IF($D135="mat",$C135,0))+VALUE(IF($H135="mat",$G135,0))</f>
        <v>0</v>
      </c>
      <c r="S135" s="148" t="n">
        <f aca="false">VALUE(IF($D135="pot",$C135,0))+VALUE(IF($H135="pot",$G135,0))</f>
        <v>0</v>
      </c>
      <c r="T135" s="148" t="n">
        <f aca="false">VALUE(IF($D135="táb",$C135,0))+VALUE(IF($H135="táb",$G135,0))</f>
        <v>0</v>
      </c>
      <c r="U135" s="148" t="n">
        <f aca="false">VALUE(IF($D135="oma",$C135,0))+VALUE(IF($H135="oma",$G135,0))</f>
        <v>0</v>
      </c>
      <c r="V135" s="148" t="n">
        <f aca="false">VALUE(IF($D135="ces",$C135,0))+VALUE(IF($H135="ces",$G135,0))</f>
        <v>0</v>
      </c>
      <c r="W135" s="148" t="n">
        <f aca="false">VALUE(IF($D135="poš",$C135,0))+VALUE(IF($H135="poš",$G135,0))</f>
        <v>0</v>
      </c>
      <c r="X135" s="148" t="n">
        <f aca="false">VALUE(IF($D135="tel",$C135,0))+VALUE(IF($H135="tel",$G135,0))</f>
        <v>0</v>
      </c>
      <c r="Y135" s="148" t="n">
        <f aca="false">VALUE(IF($D135="dop",$C135,0))+VALUE(IF($H135="dop",$G135,0))</f>
        <v>0</v>
      </c>
      <c r="Z135" s="148" t="n">
        <f aca="false">VALUE(IF($D135="nák",$C135,0))+VALUE(IF($H135="nák",$G135,0))</f>
        <v>0</v>
      </c>
      <c r="AA135" s="148" t="n">
        <f aca="false">VALUE(IF($D135="náj",$C135,0))+VALUE(IF($H135="náj",$G135,0))</f>
        <v>0</v>
      </c>
      <c r="AB135" s="148" t="n">
        <f aca="false">VALUE(IF($D135="půj",$C135,0))+VALUE(IF($H135="půj",$G135,0))</f>
        <v>0</v>
      </c>
      <c r="AC135" s="148" t="n">
        <f aca="false">VALUE(IF($D135="vst",$C135,0))+VALUE(IF($H135="vst",$G135,0))</f>
        <v>0</v>
      </c>
      <c r="AD135" s="148" t="n">
        <f aca="false">VALUE(IF($D135="kop",$C135,0))+VALUE(IF($H135="kop",$G135,0))</f>
        <v>0</v>
      </c>
      <c r="AE135" s="148" t="n">
        <f aca="false">VALUE(IF($D135="osl",$C135,0))+VALUE(IF($H135="osl",$G135,0))</f>
        <v>0</v>
      </c>
      <c r="AF135" s="148" t="n">
        <f aca="false">VALUE(IF($D135="vra",$C135,0))+VALUE(IF($H135="vra",$G135,0))</f>
        <v>0</v>
      </c>
      <c r="AG135" s="148" t="n">
        <f aca="false">VALUE(IF($D135="zho",$C135,0))+VALUE(IF($H135="zho",$G135,0))</f>
        <v>0</v>
      </c>
      <c r="AH135" s="148" t="n">
        <f aca="false">VALUE(IF($D135="zbú",$C135,0))+VALUE(IF($H135="zbú",$G135,0))</f>
        <v>0</v>
      </c>
      <c r="AI135" s="148" t="n">
        <f aca="false">VALUE(IF($D135="pří",$C135,0))+VALUE(IF($H135="pří",$G135,0))</f>
        <v>0</v>
      </c>
      <c r="AJ135" s="148" t="n">
        <f aca="false">VALUE(IF($D135="dot",$C135,0))+VALUE(IF($H135="dot",$G135,0))</f>
        <v>0</v>
      </c>
      <c r="AK135" s="148" t="n">
        <f aca="false">VALUE(IF($D135="opř",$C135,0))+VALUE(IF($H135="opř",$G135,0))</f>
        <v>0</v>
      </c>
      <c r="AL135" s="148" t="n">
        <f aca="false">SUM(P135:AK135)</f>
        <v>0</v>
      </c>
      <c r="AN135" s="180" t="str">
        <f aca="false">CONCATENATE('Přehled akce'!$K$4," / ",'Přehled akce'!$K$5)</f>
        <v> / </v>
      </c>
      <c r="AO135" s="181" t="n">
        <f aca="false">IF('Příjmy a výdaje'!$G135="ano",'Příjmy a výdaje'!$B135,0)</f>
        <v>0</v>
      </c>
      <c r="AP135" s="182" t="n">
        <f aca="false">IF('Příjmy a výdaje'!$G135="ano",'Příjmy a výdaje'!$C135,0)</f>
        <v>0</v>
      </c>
      <c r="AQ135" s="183" t="n">
        <f aca="false">'Příjmy a výdaje'!$AP135</f>
        <v>0</v>
      </c>
    </row>
    <row r="136" customFormat="false" ht="12.75" hidden="false" customHeight="false" outlineLevel="0" collapsed="false">
      <c r="A136" s="169" t="n">
        <v>119</v>
      </c>
      <c r="B136" s="222"/>
      <c r="C136" s="185"/>
      <c r="D136" s="186"/>
      <c r="E136" s="188"/>
      <c r="F136" s="223"/>
      <c r="G136" s="224"/>
      <c r="H136" s="190"/>
      <c r="I136" s="246"/>
      <c r="J136" s="178" t="str">
        <f aca="false">IF(AL136=C136,IF(AL136=0,"-","ok"),"chyba")</f>
        <v>-</v>
      </c>
      <c r="K136" s="179"/>
      <c r="L136" s="179"/>
      <c r="M136" s="179"/>
      <c r="N136" s="179"/>
      <c r="P136" s="148" t="n">
        <f aca="false">VALUE(IF($D136="vyb",$C136,0))+VALUE(IF($H136="vyb",$G136,0))</f>
        <v>0</v>
      </c>
      <c r="Q136" s="148" t="n">
        <f aca="false">VALUE(IF($D136="mtv",$C136,0))+VALUE(IF($H136="mtv",$G136,0))</f>
        <v>0</v>
      </c>
      <c r="R136" s="148" t="n">
        <f aca="false">VALUE(IF($D136="mat",$C136,0))+VALUE(IF($H136="mat",$G136,0))</f>
        <v>0</v>
      </c>
      <c r="S136" s="148" t="n">
        <f aca="false">VALUE(IF($D136="pot",$C136,0))+VALUE(IF($H136="pot",$G136,0))</f>
        <v>0</v>
      </c>
      <c r="T136" s="148" t="n">
        <f aca="false">VALUE(IF($D136="táb",$C136,0))+VALUE(IF($H136="táb",$G136,0))</f>
        <v>0</v>
      </c>
      <c r="U136" s="148" t="n">
        <f aca="false">VALUE(IF($D136="oma",$C136,0))+VALUE(IF($H136="oma",$G136,0))</f>
        <v>0</v>
      </c>
      <c r="V136" s="148" t="n">
        <f aca="false">VALUE(IF($D136="ces",$C136,0))+VALUE(IF($H136="ces",$G136,0))</f>
        <v>0</v>
      </c>
      <c r="W136" s="148" t="n">
        <f aca="false">VALUE(IF($D136="poš",$C136,0))+VALUE(IF($H136="poš",$G136,0))</f>
        <v>0</v>
      </c>
      <c r="X136" s="148" t="n">
        <f aca="false">VALUE(IF($D136="tel",$C136,0))+VALUE(IF($H136="tel",$G136,0))</f>
        <v>0</v>
      </c>
      <c r="Y136" s="148" t="n">
        <f aca="false">VALUE(IF($D136="dop",$C136,0))+VALUE(IF($H136="dop",$G136,0))</f>
        <v>0</v>
      </c>
      <c r="Z136" s="148" t="n">
        <f aca="false">VALUE(IF($D136="nák",$C136,0))+VALUE(IF($H136="nák",$G136,0))</f>
        <v>0</v>
      </c>
      <c r="AA136" s="148" t="n">
        <f aca="false">VALUE(IF($D136="náj",$C136,0))+VALUE(IF($H136="náj",$G136,0))</f>
        <v>0</v>
      </c>
      <c r="AB136" s="148" t="n">
        <f aca="false">VALUE(IF($D136="půj",$C136,0))+VALUE(IF($H136="půj",$G136,0))</f>
        <v>0</v>
      </c>
      <c r="AC136" s="148" t="n">
        <f aca="false">VALUE(IF($D136="vst",$C136,0))+VALUE(IF($H136="vst",$G136,0))</f>
        <v>0</v>
      </c>
      <c r="AD136" s="148" t="n">
        <f aca="false">VALUE(IF($D136="kop",$C136,0))+VALUE(IF($H136="kop",$G136,0))</f>
        <v>0</v>
      </c>
      <c r="AE136" s="148" t="n">
        <f aca="false">VALUE(IF($D136="osl",$C136,0))+VALUE(IF($H136="osl",$G136,0))</f>
        <v>0</v>
      </c>
      <c r="AF136" s="148" t="n">
        <f aca="false">VALUE(IF($D136="vra",$C136,0))+VALUE(IF($H136="vra",$G136,0))</f>
        <v>0</v>
      </c>
      <c r="AG136" s="148" t="n">
        <f aca="false">VALUE(IF($D136="zho",$C136,0))+VALUE(IF($H136="zho",$G136,0))</f>
        <v>0</v>
      </c>
      <c r="AH136" s="148" t="n">
        <f aca="false">VALUE(IF($D136="zbú",$C136,0))+VALUE(IF($H136="zbú",$G136,0))</f>
        <v>0</v>
      </c>
      <c r="AI136" s="148" t="n">
        <f aca="false">VALUE(IF($D136="pří",$C136,0))+VALUE(IF($H136="pří",$G136,0))</f>
        <v>0</v>
      </c>
      <c r="AJ136" s="148" t="n">
        <f aca="false">VALUE(IF($D136="dot",$C136,0))+VALUE(IF($H136="dot",$G136,0))</f>
        <v>0</v>
      </c>
      <c r="AK136" s="148" t="n">
        <f aca="false">VALUE(IF($D136="opř",$C136,0))+VALUE(IF($H136="opř",$G136,0))</f>
        <v>0</v>
      </c>
      <c r="AL136" s="148" t="n">
        <f aca="false">SUM(P136:AK136)</f>
        <v>0</v>
      </c>
      <c r="AN136" s="180" t="str">
        <f aca="false">CONCATENATE('Přehled akce'!$K$4," / ",'Přehled akce'!$K$5)</f>
        <v> / </v>
      </c>
      <c r="AO136" s="181" t="n">
        <f aca="false">IF('Příjmy a výdaje'!$G136="ano",'Příjmy a výdaje'!$B136,0)</f>
        <v>0</v>
      </c>
      <c r="AP136" s="182" t="n">
        <f aca="false">IF('Příjmy a výdaje'!$G136="ano",'Příjmy a výdaje'!$C136,0)</f>
        <v>0</v>
      </c>
      <c r="AQ136" s="183" t="n">
        <f aca="false">'Příjmy a výdaje'!$AP136</f>
        <v>0</v>
      </c>
    </row>
    <row r="137" customFormat="false" ht="12.75" hidden="false" customHeight="false" outlineLevel="0" collapsed="false">
      <c r="A137" s="169" t="n">
        <v>120</v>
      </c>
      <c r="B137" s="222"/>
      <c r="C137" s="185"/>
      <c r="D137" s="186"/>
      <c r="E137" s="188"/>
      <c r="F137" s="223"/>
      <c r="G137" s="224"/>
      <c r="H137" s="190"/>
      <c r="I137" s="246"/>
      <c r="J137" s="178" t="str">
        <f aca="false">IF(AL137=C137,IF(AL137=0,"-","ok"),"chyba")</f>
        <v>-</v>
      </c>
      <c r="K137" s="179"/>
      <c r="L137" s="179"/>
      <c r="M137" s="179"/>
      <c r="N137" s="179"/>
      <c r="P137" s="148" t="n">
        <f aca="false">VALUE(IF($D137="vyb",$C137,0))+VALUE(IF($H137="vyb",$G137,0))</f>
        <v>0</v>
      </c>
      <c r="Q137" s="148" t="n">
        <f aca="false">VALUE(IF($D137="mtv",$C137,0))+VALUE(IF($H137="mtv",$G137,0))</f>
        <v>0</v>
      </c>
      <c r="R137" s="148" t="n">
        <f aca="false">VALUE(IF($D137="mat",$C137,0))+VALUE(IF($H137="mat",$G137,0))</f>
        <v>0</v>
      </c>
      <c r="S137" s="148" t="n">
        <f aca="false">VALUE(IF($D137="pot",$C137,0))+VALUE(IF($H137="pot",$G137,0))</f>
        <v>0</v>
      </c>
      <c r="T137" s="148" t="n">
        <f aca="false">VALUE(IF($D137="táb",$C137,0))+VALUE(IF($H137="táb",$G137,0))</f>
        <v>0</v>
      </c>
      <c r="U137" s="148" t="n">
        <f aca="false">VALUE(IF($D137="oma",$C137,0))+VALUE(IF($H137="oma",$G137,0))</f>
        <v>0</v>
      </c>
      <c r="V137" s="148" t="n">
        <f aca="false">VALUE(IF($D137="ces",$C137,0))+VALUE(IF($H137="ces",$G137,0))</f>
        <v>0</v>
      </c>
      <c r="W137" s="148" t="n">
        <f aca="false">VALUE(IF($D137="poš",$C137,0))+VALUE(IF($H137="poš",$G137,0))</f>
        <v>0</v>
      </c>
      <c r="X137" s="148" t="n">
        <f aca="false">VALUE(IF($D137="tel",$C137,0))+VALUE(IF($H137="tel",$G137,0))</f>
        <v>0</v>
      </c>
      <c r="Y137" s="148" t="n">
        <f aca="false">VALUE(IF($D137="dop",$C137,0))+VALUE(IF($H137="dop",$G137,0))</f>
        <v>0</v>
      </c>
      <c r="Z137" s="148" t="n">
        <f aca="false">VALUE(IF($D137="nák",$C137,0))+VALUE(IF($H137="nák",$G137,0))</f>
        <v>0</v>
      </c>
      <c r="AA137" s="148" t="n">
        <f aca="false">VALUE(IF($D137="náj",$C137,0))+VALUE(IF($H137="náj",$G137,0))</f>
        <v>0</v>
      </c>
      <c r="AB137" s="148" t="n">
        <f aca="false">VALUE(IF($D137="půj",$C137,0))+VALUE(IF($H137="půj",$G137,0))</f>
        <v>0</v>
      </c>
      <c r="AC137" s="148" t="n">
        <f aca="false">VALUE(IF($D137="vst",$C137,0))+VALUE(IF($H137="vst",$G137,0))</f>
        <v>0</v>
      </c>
      <c r="AD137" s="148" t="n">
        <f aca="false">VALUE(IF($D137="kop",$C137,0))+VALUE(IF($H137="kop",$G137,0))</f>
        <v>0</v>
      </c>
      <c r="AE137" s="148" t="n">
        <f aca="false">VALUE(IF($D137="osl",$C137,0))+VALUE(IF($H137="osl",$G137,0))</f>
        <v>0</v>
      </c>
      <c r="AF137" s="148" t="n">
        <f aca="false">VALUE(IF($D137="vra",$C137,0))+VALUE(IF($H137="vra",$G137,0))</f>
        <v>0</v>
      </c>
      <c r="AG137" s="148" t="n">
        <f aca="false">VALUE(IF($D137="zho",$C137,0))+VALUE(IF($H137="zho",$G137,0))</f>
        <v>0</v>
      </c>
      <c r="AH137" s="148" t="n">
        <f aca="false">VALUE(IF($D137="zbú",$C137,0))+VALUE(IF($H137="zbú",$G137,0))</f>
        <v>0</v>
      </c>
      <c r="AI137" s="148" t="n">
        <f aca="false">VALUE(IF($D137="pří",$C137,0))+VALUE(IF($H137="pří",$G137,0))</f>
        <v>0</v>
      </c>
      <c r="AJ137" s="148" t="n">
        <f aca="false">VALUE(IF($D137="dot",$C137,0))+VALUE(IF($H137="dot",$G137,0))</f>
        <v>0</v>
      </c>
      <c r="AK137" s="148" t="n">
        <f aca="false">VALUE(IF($D137="opř",$C137,0))+VALUE(IF($H137="opř",$G137,0))</f>
        <v>0</v>
      </c>
      <c r="AL137" s="148" t="n">
        <f aca="false">SUM(P137:AK137)</f>
        <v>0</v>
      </c>
      <c r="AN137" s="180" t="str">
        <f aca="false">CONCATENATE('Přehled akce'!$K$4," / ",'Přehled akce'!$K$5)</f>
        <v> / </v>
      </c>
      <c r="AO137" s="181" t="n">
        <f aca="false">IF('Příjmy a výdaje'!$G137="ano",'Příjmy a výdaje'!$B137,0)</f>
        <v>0</v>
      </c>
      <c r="AP137" s="182" t="n">
        <f aca="false">IF('Příjmy a výdaje'!$G137="ano",'Příjmy a výdaje'!$C137,0)</f>
        <v>0</v>
      </c>
      <c r="AQ137" s="183" t="n">
        <f aca="false">'Příjmy a výdaje'!$AP137</f>
        <v>0</v>
      </c>
    </row>
    <row r="138" customFormat="false" ht="12.75" hidden="false" customHeight="false" outlineLevel="0" collapsed="false">
      <c r="A138" s="169" t="n">
        <v>121</v>
      </c>
      <c r="B138" s="222"/>
      <c r="C138" s="185"/>
      <c r="D138" s="186"/>
      <c r="E138" s="188"/>
      <c r="F138" s="223"/>
      <c r="G138" s="224"/>
      <c r="H138" s="190"/>
      <c r="I138" s="246"/>
      <c r="J138" s="178" t="str">
        <f aca="false">IF(AL138=C138,IF(AL138=0,"-","ok"),"chyba")</f>
        <v>-</v>
      </c>
      <c r="K138" s="179"/>
      <c r="L138" s="179"/>
      <c r="M138" s="179"/>
      <c r="N138" s="179"/>
      <c r="P138" s="148" t="n">
        <f aca="false">VALUE(IF($D138="vyb",$C138,0))+VALUE(IF($H138="vyb",$G138,0))</f>
        <v>0</v>
      </c>
      <c r="Q138" s="148" t="n">
        <f aca="false">VALUE(IF($D138="mtv",$C138,0))+VALUE(IF($H138="mtv",$G138,0))</f>
        <v>0</v>
      </c>
      <c r="R138" s="148" t="n">
        <f aca="false">VALUE(IF($D138="mat",$C138,0))+VALUE(IF($H138="mat",$G138,0))</f>
        <v>0</v>
      </c>
      <c r="S138" s="148" t="n">
        <f aca="false">VALUE(IF($D138="pot",$C138,0))+VALUE(IF($H138="pot",$G138,0))</f>
        <v>0</v>
      </c>
      <c r="T138" s="148" t="n">
        <f aca="false">VALUE(IF($D138="táb",$C138,0))+VALUE(IF($H138="táb",$G138,0))</f>
        <v>0</v>
      </c>
      <c r="U138" s="148" t="n">
        <f aca="false">VALUE(IF($D138="oma",$C138,0))+VALUE(IF($H138="oma",$G138,0))</f>
        <v>0</v>
      </c>
      <c r="V138" s="148" t="n">
        <f aca="false">VALUE(IF($D138="ces",$C138,0))+VALUE(IF($H138="ces",$G138,0))</f>
        <v>0</v>
      </c>
      <c r="W138" s="148" t="n">
        <f aca="false">VALUE(IF($D138="poš",$C138,0))+VALUE(IF($H138="poš",$G138,0))</f>
        <v>0</v>
      </c>
      <c r="X138" s="148" t="n">
        <f aca="false">VALUE(IF($D138="tel",$C138,0))+VALUE(IF($H138="tel",$G138,0))</f>
        <v>0</v>
      </c>
      <c r="Y138" s="148" t="n">
        <f aca="false">VALUE(IF($D138="dop",$C138,0))+VALUE(IF($H138="dop",$G138,0))</f>
        <v>0</v>
      </c>
      <c r="Z138" s="148" t="n">
        <f aca="false">VALUE(IF($D138="nák",$C138,0))+VALUE(IF($H138="nák",$G138,0))</f>
        <v>0</v>
      </c>
      <c r="AA138" s="148" t="n">
        <f aca="false">VALUE(IF($D138="náj",$C138,0))+VALUE(IF($H138="náj",$G138,0))</f>
        <v>0</v>
      </c>
      <c r="AB138" s="148" t="n">
        <f aca="false">VALUE(IF($D138="půj",$C138,0))+VALUE(IF($H138="půj",$G138,0))</f>
        <v>0</v>
      </c>
      <c r="AC138" s="148" t="n">
        <f aca="false">VALUE(IF($D138="vst",$C138,0))+VALUE(IF($H138="vst",$G138,0))</f>
        <v>0</v>
      </c>
      <c r="AD138" s="148" t="n">
        <f aca="false">VALUE(IF($D138="kop",$C138,0))+VALUE(IF($H138="kop",$G138,0))</f>
        <v>0</v>
      </c>
      <c r="AE138" s="148" t="n">
        <f aca="false">VALUE(IF($D138="osl",$C138,0))+VALUE(IF($H138="osl",$G138,0))</f>
        <v>0</v>
      </c>
      <c r="AF138" s="148" t="n">
        <f aca="false">VALUE(IF($D138="vra",$C138,0))+VALUE(IF($H138="vra",$G138,0))</f>
        <v>0</v>
      </c>
      <c r="AG138" s="148" t="n">
        <f aca="false">VALUE(IF($D138="zho",$C138,0))+VALUE(IF($H138="zho",$G138,0))</f>
        <v>0</v>
      </c>
      <c r="AH138" s="148" t="n">
        <f aca="false">VALUE(IF($D138="zbú",$C138,0))+VALUE(IF($H138="zbú",$G138,0))</f>
        <v>0</v>
      </c>
      <c r="AI138" s="148" t="n">
        <f aca="false">VALUE(IF($D138="pří",$C138,0))+VALUE(IF($H138="pří",$G138,0))</f>
        <v>0</v>
      </c>
      <c r="AJ138" s="148" t="n">
        <f aca="false">VALUE(IF($D138="dot",$C138,0))+VALUE(IF($H138="dot",$G138,0))</f>
        <v>0</v>
      </c>
      <c r="AK138" s="148" t="n">
        <f aca="false">VALUE(IF($D138="opř",$C138,0))+VALUE(IF($H138="opř",$G138,0))</f>
        <v>0</v>
      </c>
      <c r="AL138" s="148" t="n">
        <f aca="false">SUM(P138:AK138)</f>
        <v>0</v>
      </c>
      <c r="AN138" s="180" t="str">
        <f aca="false">CONCATENATE('Přehled akce'!$K$4," / ",'Přehled akce'!$K$5)</f>
        <v> / </v>
      </c>
      <c r="AO138" s="181" t="n">
        <f aca="false">IF('Příjmy a výdaje'!$G138="ano",'Příjmy a výdaje'!$B138,0)</f>
        <v>0</v>
      </c>
      <c r="AP138" s="182" t="n">
        <f aca="false">IF('Příjmy a výdaje'!$G138="ano",'Příjmy a výdaje'!$C138,0)</f>
        <v>0</v>
      </c>
      <c r="AQ138" s="183" t="n">
        <f aca="false">'Příjmy a výdaje'!$AP138</f>
        <v>0</v>
      </c>
    </row>
    <row r="139" customFormat="false" ht="12.75" hidden="false" customHeight="false" outlineLevel="0" collapsed="false">
      <c r="A139" s="169" t="n">
        <v>122</v>
      </c>
      <c r="B139" s="222"/>
      <c r="C139" s="185"/>
      <c r="D139" s="186"/>
      <c r="E139" s="188"/>
      <c r="F139" s="223"/>
      <c r="G139" s="224"/>
      <c r="H139" s="190"/>
      <c r="I139" s="249"/>
      <c r="J139" s="178" t="str">
        <f aca="false">IF(AL139=C139,IF(AL139=0,"-","ok"),"chyba")</f>
        <v>-</v>
      </c>
      <c r="K139" s="179"/>
      <c r="L139" s="179"/>
      <c r="M139" s="179"/>
      <c r="N139" s="179"/>
      <c r="P139" s="148" t="n">
        <f aca="false">VALUE(IF($D139="vyb",$C139,0))+VALUE(IF($H139="vyb",$G139,0))</f>
        <v>0</v>
      </c>
      <c r="Q139" s="148" t="n">
        <f aca="false">VALUE(IF($D139="mtv",$C139,0))+VALUE(IF($H139="mtv",$G139,0))</f>
        <v>0</v>
      </c>
      <c r="R139" s="148" t="n">
        <f aca="false">VALUE(IF($D139="mat",$C139,0))+VALUE(IF($H139="mat",$G139,0))</f>
        <v>0</v>
      </c>
      <c r="S139" s="148" t="n">
        <f aca="false">VALUE(IF($D139="pot",$C139,0))+VALUE(IF($H139="pot",$G139,0))</f>
        <v>0</v>
      </c>
      <c r="T139" s="148" t="n">
        <f aca="false">VALUE(IF($D139="táb",$C139,0))+VALUE(IF($H139="táb",$G139,0))</f>
        <v>0</v>
      </c>
      <c r="U139" s="148" t="n">
        <f aca="false">VALUE(IF($D139="oma",$C139,0))+VALUE(IF($H139="oma",$G139,0))</f>
        <v>0</v>
      </c>
      <c r="V139" s="148" t="n">
        <f aca="false">VALUE(IF($D139="ces",$C139,0))+VALUE(IF($H139="ces",$G139,0))</f>
        <v>0</v>
      </c>
      <c r="W139" s="148" t="n">
        <f aca="false">VALUE(IF($D139="poš",$C139,0))+VALUE(IF($H139="poš",$G139,0))</f>
        <v>0</v>
      </c>
      <c r="X139" s="148" t="n">
        <f aca="false">VALUE(IF($D139="tel",$C139,0))+VALUE(IF($H139="tel",$G139,0))</f>
        <v>0</v>
      </c>
      <c r="Y139" s="148" t="n">
        <f aca="false">VALUE(IF($D139="dop",$C139,0))+VALUE(IF($H139="dop",$G139,0))</f>
        <v>0</v>
      </c>
      <c r="Z139" s="148" t="n">
        <f aca="false">VALUE(IF($D139="nák",$C139,0))+VALUE(IF($H139="nák",$G139,0))</f>
        <v>0</v>
      </c>
      <c r="AA139" s="148" t="n">
        <f aca="false">VALUE(IF($D139="náj",$C139,0))+VALUE(IF($H139="náj",$G139,0))</f>
        <v>0</v>
      </c>
      <c r="AB139" s="148" t="n">
        <f aca="false">VALUE(IF($D139="půj",$C139,0))+VALUE(IF($H139="půj",$G139,0))</f>
        <v>0</v>
      </c>
      <c r="AC139" s="148" t="n">
        <f aca="false">VALUE(IF($D139="vst",$C139,0))+VALUE(IF($H139="vst",$G139,0))</f>
        <v>0</v>
      </c>
      <c r="AD139" s="148" t="n">
        <f aca="false">VALUE(IF($D139="kop",$C139,0))+VALUE(IF($H139="kop",$G139,0))</f>
        <v>0</v>
      </c>
      <c r="AE139" s="148" t="n">
        <f aca="false">VALUE(IF($D139="osl",$C139,0))+VALUE(IF($H139="osl",$G139,0))</f>
        <v>0</v>
      </c>
      <c r="AF139" s="148" t="n">
        <f aca="false">VALUE(IF($D139="vra",$C139,0))+VALUE(IF($H139="vra",$G139,0))</f>
        <v>0</v>
      </c>
      <c r="AG139" s="148" t="n">
        <f aca="false">VALUE(IF($D139="zho",$C139,0))+VALUE(IF($H139="zho",$G139,0))</f>
        <v>0</v>
      </c>
      <c r="AH139" s="148" t="n">
        <f aca="false">VALUE(IF($D139="zbú",$C139,0))+VALUE(IF($H139="zbú",$G139,0))</f>
        <v>0</v>
      </c>
      <c r="AI139" s="148" t="n">
        <f aca="false">VALUE(IF($D139="pří",$C139,0))+VALUE(IF($H139="pří",$G139,0))</f>
        <v>0</v>
      </c>
      <c r="AJ139" s="148" t="n">
        <f aca="false">VALUE(IF($D139="dot",$C139,0))+VALUE(IF($H139="dot",$G139,0))</f>
        <v>0</v>
      </c>
      <c r="AK139" s="148" t="n">
        <f aca="false">VALUE(IF($D139="opř",$C139,0))+VALUE(IF($H139="opř",$G139,0))</f>
        <v>0</v>
      </c>
      <c r="AL139" s="148" t="n">
        <f aca="false">SUM(P139:AK139)</f>
        <v>0</v>
      </c>
      <c r="AN139" s="180" t="str">
        <f aca="false">CONCATENATE('Přehled akce'!$K$4," / ",'Přehled akce'!$K$5)</f>
        <v> / </v>
      </c>
      <c r="AO139" s="181" t="n">
        <f aca="false">IF('Příjmy a výdaje'!$G139="ano",'Příjmy a výdaje'!$B139,0)</f>
        <v>0</v>
      </c>
      <c r="AP139" s="182" t="n">
        <f aca="false">IF('Příjmy a výdaje'!$G139="ano",'Příjmy a výdaje'!$C139,0)</f>
        <v>0</v>
      </c>
      <c r="AQ139" s="183" t="n">
        <f aca="false">'Příjmy a výdaje'!$AP139</f>
        <v>0</v>
      </c>
    </row>
    <row r="140" customFormat="false" ht="12.75" hidden="false" customHeight="false" outlineLevel="0" collapsed="false">
      <c r="A140" s="169" t="n">
        <v>123</v>
      </c>
      <c r="B140" s="222"/>
      <c r="C140" s="185"/>
      <c r="D140" s="186"/>
      <c r="E140" s="188"/>
      <c r="F140" s="223"/>
      <c r="G140" s="224"/>
      <c r="H140" s="190"/>
      <c r="I140" s="249"/>
      <c r="J140" s="178" t="str">
        <f aca="false">IF(AL140=C140,IF(AL140=0,"-","ok"),"chyba")</f>
        <v>-</v>
      </c>
      <c r="K140" s="179"/>
      <c r="L140" s="179"/>
      <c r="M140" s="179"/>
      <c r="N140" s="179"/>
      <c r="P140" s="148" t="n">
        <f aca="false">VALUE(IF($D140="vyb",$C140,0))+VALUE(IF($H140="vyb",$G140,0))</f>
        <v>0</v>
      </c>
      <c r="Q140" s="148" t="n">
        <f aca="false">VALUE(IF($D140="mtv",$C140,0))+VALUE(IF($H140="mtv",$G140,0))</f>
        <v>0</v>
      </c>
      <c r="R140" s="148" t="n">
        <f aca="false">VALUE(IF($D140="mat",$C140,0))+VALUE(IF($H140="mat",$G140,0))</f>
        <v>0</v>
      </c>
      <c r="S140" s="148" t="n">
        <f aca="false">VALUE(IF($D140="pot",$C140,0))+VALUE(IF($H140="pot",$G140,0))</f>
        <v>0</v>
      </c>
      <c r="T140" s="148" t="n">
        <f aca="false">VALUE(IF($D140="táb",$C140,0))+VALUE(IF($H140="táb",$G140,0))</f>
        <v>0</v>
      </c>
      <c r="U140" s="148" t="n">
        <f aca="false">VALUE(IF($D140="oma",$C140,0))+VALUE(IF($H140="oma",$G140,0))</f>
        <v>0</v>
      </c>
      <c r="V140" s="148" t="n">
        <f aca="false">VALUE(IF($D140="ces",$C140,0))+VALUE(IF($H140="ces",$G140,0))</f>
        <v>0</v>
      </c>
      <c r="W140" s="148" t="n">
        <f aca="false">VALUE(IF($D140="poš",$C140,0))+VALUE(IF($H140="poš",$G140,0))</f>
        <v>0</v>
      </c>
      <c r="X140" s="148" t="n">
        <f aca="false">VALUE(IF($D140="tel",$C140,0))+VALUE(IF($H140="tel",$G140,0))</f>
        <v>0</v>
      </c>
      <c r="Y140" s="148" t="n">
        <f aca="false">VALUE(IF($D140="dop",$C140,0))+VALUE(IF($H140="dop",$G140,0))</f>
        <v>0</v>
      </c>
      <c r="Z140" s="148" t="n">
        <f aca="false">VALUE(IF($D140="nák",$C140,0))+VALUE(IF($H140="nák",$G140,0))</f>
        <v>0</v>
      </c>
      <c r="AA140" s="148" t="n">
        <f aca="false">VALUE(IF($D140="náj",$C140,0))+VALUE(IF($H140="náj",$G140,0))</f>
        <v>0</v>
      </c>
      <c r="AB140" s="148" t="n">
        <f aca="false">VALUE(IF($D140="půj",$C140,0))+VALUE(IF($H140="půj",$G140,0))</f>
        <v>0</v>
      </c>
      <c r="AC140" s="148" t="n">
        <f aca="false">VALUE(IF($D140="vst",$C140,0))+VALUE(IF($H140="vst",$G140,0))</f>
        <v>0</v>
      </c>
      <c r="AD140" s="148" t="n">
        <f aca="false">VALUE(IF($D140="kop",$C140,0))+VALUE(IF($H140="kop",$G140,0))</f>
        <v>0</v>
      </c>
      <c r="AE140" s="148" t="n">
        <f aca="false">VALUE(IF($D140="osl",$C140,0))+VALUE(IF($H140="osl",$G140,0))</f>
        <v>0</v>
      </c>
      <c r="AF140" s="148" t="n">
        <f aca="false">VALUE(IF($D140="vra",$C140,0))+VALUE(IF($H140="vra",$G140,0))</f>
        <v>0</v>
      </c>
      <c r="AG140" s="148" t="n">
        <f aca="false">VALUE(IF($D140="zho",$C140,0))+VALUE(IF($H140="zho",$G140,0))</f>
        <v>0</v>
      </c>
      <c r="AH140" s="148" t="n">
        <f aca="false">VALUE(IF($D140="zbú",$C140,0))+VALUE(IF($H140="zbú",$G140,0))</f>
        <v>0</v>
      </c>
      <c r="AI140" s="148" t="n">
        <f aca="false">VALUE(IF($D140="pří",$C140,0))+VALUE(IF($H140="pří",$G140,0))</f>
        <v>0</v>
      </c>
      <c r="AJ140" s="148" t="n">
        <f aca="false">VALUE(IF($D140="dot",$C140,0))+VALUE(IF($H140="dot",$G140,0))</f>
        <v>0</v>
      </c>
      <c r="AK140" s="148" t="n">
        <f aca="false">VALUE(IF($D140="opř",$C140,0))+VALUE(IF($H140="opř",$G140,0))</f>
        <v>0</v>
      </c>
      <c r="AL140" s="148" t="n">
        <f aca="false">SUM(P140:AK140)</f>
        <v>0</v>
      </c>
      <c r="AN140" s="180" t="str">
        <f aca="false">CONCATENATE('Přehled akce'!$K$4," / ",'Přehled akce'!$K$5)</f>
        <v> / </v>
      </c>
      <c r="AO140" s="181" t="n">
        <f aca="false">IF('Příjmy a výdaje'!$G140="ano",'Příjmy a výdaje'!$B140,0)</f>
        <v>0</v>
      </c>
      <c r="AP140" s="182" t="n">
        <f aca="false">IF('Příjmy a výdaje'!$G140="ano",'Příjmy a výdaje'!$C140,0)</f>
        <v>0</v>
      </c>
      <c r="AQ140" s="183" t="n">
        <f aca="false">'Příjmy a výdaje'!$AP140</f>
        <v>0</v>
      </c>
    </row>
    <row r="141" customFormat="false" ht="12.75" hidden="false" customHeight="false" outlineLevel="0" collapsed="false">
      <c r="A141" s="169" t="n">
        <v>124</v>
      </c>
      <c r="B141" s="222"/>
      <c r="C141" s="185"/>
      <c r="D141" s="186"/>
      <c r="E141" s="188"/>
      <c r="F141" s="223"/>
      <c r="G141" s="224"/>
      <c r="H141" s="190"/>
      <c r="I141" s="249"/>
      <c r="J141" s="178" t="str">
        <f aca="false">IF(AL141=C141,IF(AL141=0,"-","ok"),"chyba")</f>
        <v>-</v>
      </c>
      <c r="K141" s="179"/>
      <c r="L141" s="179"/>
      <c r="M141" s="179"/>
      <c r="N141" s="179"/>
      <c r="P141" s="148" t="n">
        <f aca="false">VALUE(IF($D141="vyb",$C141,0))+VALUE(IF($H141="vyb",$G141,0))</f>
        <v>0</v>
      </c>
      <c r="Q141" s="148" t="n">
        <f aca="false">VALUE(IF($D141="mtv",$C141,0))+VALUE(IF($H141="mtv",$G141,0))</f>
        <v>0</v>
      </c>
      <c r="R141" s="148" t="n">
        <f aca="false">VALUE(IF($D141="mat",$C141,0))+VALUE(IF($H141="mat",$G141,0))</f>
        <v>0</v>
      </c>
      <c r="S141" s="148" t="n">
        <f aca="false">VALUE(IF($D141="pot",$C141,0))+VALUE(IF($H141="pot",$G141,0))</f>
        <v>0</v>
      </c>
      <c r="T141" s="148" t="n">
        <f aca="false">VALUE(IF($D141="táb",$C141,0))+VALUE(IF($H141="táb",$G141,0))</f>
        <v>0</v>
      </c>
      <c r="U141" s="148" t="n">
        <f aca="false">VALUE(IF($D141="oma",$C141,0))+VALUE(IF($H141="oma",$G141,0))</f>
        <v>0</v>
      </c>
      <c r="V141" s="148" t="n">
        <f aca="false">VALUE(IF($D141="ces",$C141,0))+VALUE(IF($H141="ces",$G141,0))</f>
        <v>0</v>
      </c>
      <c r="W141" s="148" t="n">
        <f aca="false">VALUE(IF($D141="poš",$C141,0))+VALUE(IF($H141="poš",$G141,0))</f>
        <v>0</v>
      </c>
      <c r="X141" s="148" t="n">
        <f aca="false">VALUE(IF($D141="tel",$C141,0))+VALUE(IF($H141="tel",$G141,0))</f>
        <v>0</v>
      </c>
      <c r="Y141" s="148" t="n">
        <f aca="false">VALUE(IF($D141="dop",$C141,0))+VALUE(IF($H141="dop",$G141,0))</f>
        <v>0</v>
      </c>
      <c r="Z141" s="148" t="n">
        <f aca="false">VALUE(IF($D141="nák",$C141,0))+VALUE(IF($H141="nák",$G141,0))</f>
        <v>0</v>
      </c>
      <c r="AA141" s="148" t="n">
        <f aca="false">VALUE(IF($D141="náj",$C141,0))+VALUE(IF($H141="náj",$G141,0))</f>
        <v>0</v>
      </c>
      <c r="AB141" s="148" t="n">
        <f aca="false">VALUE(IF($D141="půj",$C141,0))+VALUE(IF($H141="půj",$G141,0))</f>
        <v>0</v>
      </c>
      <c r="AC141" s="148" t="n">
        <f aca="false">VALUE(IF($D141="vst",$C141,0))+VALUE(IF($H141="vst",$G141,0))</f>
        <v>0</v>
      </c>
      <c r="AD141" s="148" t="n">
        <f aca="false">VALUE(IF($D141="kop",$C141,0))+VALUE(IF($H141="kop",$G141,0))</f>
        <v>0</v>
      </c>
      <c r="AE141" s="148" t="n">
        <f aca="false">VALUE(IF($D141="osl",$C141,0))+VALUE(IF($H141="osl",$G141,0))</f>
        <v>0</v>
      </c>
      <c r="AF141" s="148" t="n">
        <f aca="false">VALUE(IF($D141="vra",$C141,0))+VALUE(IF($H141="vra",$G141,0))</f>
        <v>0</v>
      </c>
      <c r="AG141" s="148" t="n">
        <f aca="false">VALUE(IF($D141="zho",$C141,0))+VALUE(IF($H141="zho",$G141,0))</f>
        <v>0</v>
      </c>
      <c r="AH141" s="148" t="n">
        <f aca="false">VALUE(IF($D141="zbú",$C141,0))+VALUE(IF($H141="zbú",$G141,0))</f>
        <v>0</v>
      </c>
      <c r="AI141" s="148" t="n">
        <f aca="false">VALUE(IF($D141="pří",$C141,0))+VALUE(IF($H141="pří",$G141,0))</f>
        <v>0</v>
      </c>
      <c r="AJ141" s="148" t="n">
        <f aca="false">VALUE(IF($D141="dot",$C141,0))+VALUE(IF($H141="dot",$G141,0))</f>
        <v>0</v>
      </c>
      <c r="AK141" s="148" t="n">
        <f aca="false">VALUE(IF($D141="opř",$C141,0))+VALUE(IF($H141="opř",$G141,0))</f>
        <v>0</v>
      </c>
      <c r="AL141" s="148" t="n">
        <f aca="false">SUM(P141:AK141)</f>
        <v>0</v>
      </c>
      <c r="AN141" s="180" t="str">
        <f aca="false">CONCATENATE('Přehled akce'!$K$4," / ",'Přehled akce'!$K$5)</f>
        <v> / </v>
      </c>
      <c r="AO141" s="181" t="n">
        <f aca="false">IF('Příjmy a výdaje'!$G141="ano",'Příjmy a výdaje'!$B141,0)</f>
        <v>0</v>
      </c>
      <c r="AP141" s="182" t="n">
        <f aca="false">IF('Příjmy a výdaje'!$G141="ano",'Příjmy a výdaje'!$C141,0)</f>
        <v>0</v>
      </c>
      <c r="AQ141" s="183" t="n">
        <f aca="false">'Příjmy a výdaje'!$AP141</f>
        <v>0</v>
      </c>
    </row>
    <row r="142" customFormat="false" ht="12.75" hidden="false" customHeight="false" outlineLevel="0" collapsed="false">
      <c r="A142" s="169" t="n">
        <v>125</v>
      </c>
      <c r="B142" s="222"/>
      <c r="C142" s="185"/>
      <c r="D142" s="186"/>
      <c r="E142" s="188"/>
      <c r="F142" s="223"/>
      <c r="G142" s="224"/>
      <c r="H142" s="190"/>
      <c r="I142" s="249"/>
      <c r="J142" s="178" t="str">
        <f aca="false">IF(AL142=C142,IF(AL142=0,"-","ok"),"chyba")</f>
        <v>-</v>
      </c>
      <c r="K142" s="179"/>
      <c r="L142" s="179"/>
      <c r="M142" s="179"/>
      <c r="N142" s="179"/>
      <c r="P142" s="148" t="n">
        <f aca="false">VALUE(IF($D142="vyb",$C142,0))+VALUE(IF($H142="vyb",$G142,0))</f>
        <v>0</v>
      </c>
      <c r="Q142" s="148" t="n">
        <f aca="false">VALUE(IF($D142="mtv",$C142,0))+VALUE(IF($H142="mtv",$G142,0))</f>
        <v>0</v>
      </c>
      <c r="R142" s="148" t="n">
        <f aca="false">VALUE(IF($D142="mat",$C142,0))+VALUE(IF($H142="mat",$G142,0))</f>
        <v>0</v>
      </c>
      <c r="S142" s="148" t="n">
        <f aca="false">VALUE(IF($D142="pot",$C142,0))+VALUE(IF($H142="pot",$G142,0))</f>
        <v>0</v>
      </c>
      <c r="T142" s="148" t="n">
        <f aca="false">VALUE(IF($D142="táb",$C142,0))+VALUE(IF($H142="táb",$G142,0))</f>
        <v>0</v>
      </c>
      <c r="U142" s="148" t="n">
        <f aca="false">VALUE(IF($D142="oma",$C142,0))+VALUE(IF($H142="oma",$G142,0))</f>
        <v>0</v>
      </c>
      <c r="V142" s="148" t="n">
        <f aca="false">VALUE(IF($D142="ces",$C142,0))+VALUE(IF($H142="ces",$G142,0))</f>
        <v>0</v>
      </c>
      <c r="W142" s="148" t="n">
        <f aca="false">VALUE(IF($D142="poš",$C142,0))+VALUE(IF($H142="poš",$G142,0))</f>
        <v>0</v>
      </c>
      <c r="X142" s="148" t="n">
        <f aca="false">VALUE(IF($D142="tel",$C142,0))+VALUE(IF($H142="tel",$G142,0))</f>
        <v>0</v>
      </c>
      <c r="Y142" s="148" t="n">
        <f aca="false">VALUE(IF($D142="dop",$C142,0))+VALUE(IF($H142="dop",$G142,0))</f>
        <v>0</v>
      </c>
      <c r="Z142" s="148" t="n">
        <f aca="false">VALUE(IF($D142="nák",$C142,0))+VALUE(IF($H142="nák",$G142,0))</f>
        <v>0</v>
      </c>
      <c r="AA142" s="148" t="n">
        <f aca="false">VALUE(IF($D142="náj",$C142,0))+VALUE(IF($H142="náj",$G142,0))</f>
        <v>0</v>
      </c>
      <c r="AB142" s="148" t="n">
        <f aca="false">VALUE(IF($D142="půj",$C142,0))+VALUE(IF($H142="půj",$G142,0))</f>
        <v>0</v>
      </c>
      <c r="AC142" s="148" t="n">
        <f aca="false">VALUE(IF($D142="vst",$C142,0))+VALUE(IF($H142="vst",$G142,0))</f>
        <v>0</v>
      </c>
      <c r="AD142" s="148" t="n">
        <f aca="false">VALUE(IF($D142="kop",$C142,0))+VALUE(IF($H142="kop",$G142,0))</f>
        <v>0</v>
      </c>
      <c r="AE142" s="148" t="n">
        <f aca="false">VALUE(IF($D142="osl",$C142,0))+VALUE(IF($H142="osl",$G142,0))</f>
        <v>0</v>
      </c>
      <c r="AF142" s="148" t="n">
        <f aca="false">VALUE(IF($D142="vra",$C142,0))+VALUE(IF($H142="vra",$G142,0))</f>
        <v>0</v>
      </c>
      <c r="AG142" s="148" t="n">
        <f aca="false">VALUE(IF($D142="zho",$C142,0))+VALUE(IF($H142="zho",$G142,0))</f>
        <v>0</v>
      </c>
      <c r="AH142" s="148" t="n">
        <f aca="false">VALUE(IF($D142="zbú",$C142,0))+VALUE(IF($H142="zbú",$G142,0))</f>
        <v>0</v>
      </c>
      <c r="AI142" s="148" t="n">
        <f aca="false">VALUE(IF($D142="pří",$C142,0))+VALUE(IF($H142="pří",$G142,0))</f>
        <v>0</v>
      </c>
      <c r="AJ142" s="148" t="n">
        <f aca="false">VALUE(IF($D142="dot",$C142,0))+VALUE(IF($H142="dot",$G142,0))</f>
        <v>0</v>
      </c>
      <c r="AK142" s="148" t="n">
        <f aca="false">VALUE(IF($D142="opř",$C142,0))+VALUE(IF($H142="opř",$G142,0))</f>
        <v>0</v>
      </c>
      <c r="AL142" s="148" t="n">
        <f aca="false">SUM(P142:AK142)</f>
        <v>0</v>
      </c>
      <c r="AN142" s="180" t="str">
        <f aca="false">CONCATENATE('Přehled akce'!$K$4," / ",'Přehled akce'!$K$5)</f>
        <v> / </v>
      </c>
      <c r="AO142" s="181" t="n">
        <f aca="false">IF('Příjmy a výdaje'!$G142="ano",'Příjmy a výdaje'!$B142,0)</f>
        <v>0</v>
      </c>
      <c r="AP142" s="182" t="n">
        <f aca="false">IF('Příjmy a výdaje'!$G142="ano",'Příjmy a výdaje'!$C142,0)</f>
        <v>0</v>
      </c>
      <c r="AQ142" s="183" t="n">
        <f aca="false">'Příjmy a výdaje'!$AP142</f>
        <v>0</v>
      </c>
    </row>
    <row r="143" customFormat="false" ht="12.75" hidden="false" customHeight="false" outlineLevel="0" collapsed="false">
      <c r="A143" s="169" t="n">
        <v>126</v>
      </c>
      <c r="B143" s="222"/>
      <c r="C143" s="185"/>
      <c r="D143" s="186"/>
      <c r="E143" s="188"/>
      <c r="F143" s="223"/>
      <c r="G143" s="224"/>
      <c r="H143" s="190"/>
      <c r="I143" s="249"/>
      <c r="J143" s="178" t="str">
        <f aca="false">IF(AL143=C143,IF(AL143=0,"-","ok"),"chyba")</f>
        <v>-</v>
      </c>
      <c r="K143" s="179"/>
      <c r="L143" s="179"/>
      <c r="M143" s="179"/>
      <c r="N143" s="179"/>
      <c r="P143" s="148" t="n">
        <f aca="false">VALUE(IF($D143="vyb",$C143,0))+VALUE(IF($H143="vyb",$G143,0))</f>
        <v>0</v>
      </c>
      <c r="Q143" s="148" t="n">
        <f aca="false">VALUE(IF($D143="mtv",$C143,0))+VALUE(IF($H143="mtv",$G143,0))</f>
        <v>0</v>
      </c>
      <c r="R143" s="148" t="n">
        <f aca="false">VALUE(IF($D143="mat",$C143,0))+VALUE(IF($H143="mat",$G143,0))</f>
        <v>0</v>
      </c>
      <c r="S143" s="148" t="n">
        <f aca="false">VALUE(IF($D143="pot",$C143,0))+VALUE(IF($H143="pot",$G143,0))</f>
        <v>0</v>
      </c>
      <c r="T143" s="148" t="n">
        <f aca="false">VALUE(IF($D143="táb",$C143,0))+VALUE(IF($H143="táb",$G143,0))</f>
        <v>0</v>
      </c>
      <c r="U143" s="148" t="n">
        <f aca="false">VALUE(IF($D143="oma",$C143,0))+VALUE(IF($H143="oma",$G143,0))</f>
        <v>0</v>
      </c>
      <c r="V143" s="148" t="n">
        <f aca="false">VALUE(IF($D143="ces",$C143,0))+VALUE(IF($H143="ces",$G143,0))</f>
        <v>0</v>
      </c>
      <c r="W143" s="148" t="n">
        <f aca="false">VALUE(IF($D143="poš",$C143,0))+VALUE(IF($H143="poš",$G143,0))</f>
        <v>0</v>
      </c>
      <c r="X143" s="148" t="n">
        <f aca="false">VALUE(IF($D143="tel",$C143,0))+VALUE(IF($H143="tel",$G143,0))</f>
        <v>0</v>
      </c>
      <c r="Y143" s="148" t="n">
        <f aca="false">VALUE(IF($D143="dop",$C143,0))+VALUE(IF($H143="dop",$G143,0))</f>
        <v>0</v>
      </c>
      <c r="Z143" s="148" t="n">
        <f aca="false">VALUE(IF($D143="nák",$C143,0))+VALUE(IF($H143="nák",$G143,0))</f>
        <v>0</v>
      </c>
      <c r="AA143" s="148" t="n">
        <f aca="false">VALUE(IF($D143="náj",$C143,0))+VALUE(IF($H143="náj",$G143,0))</f>
        <v>0</v>
      </c>
      <c r="AB143" s="148" t="n">
        <f aca="false">VALUE(IF($D143="půj",$C143,0))+VALUE(IF($H143="půj",$G143,0))</f>
        <v>0</v>
      </c>
      <c r="AC143" s="148" t="n">
        <f aca="false">VALUE(IF($D143="vst",$C143,0))+VALUE(IF($H143="vst",$G143,0))</f>
        <v>0</v>
      </c>
      <c r="AD143" s="148" t="n">
        <f aca="false">VALUE(IF($D143="kop",$C143,0))+VALUE(IF($H143="kop",$G143,0))</f>
        <v>0</v>
      </c>
      <c r="AE143" s="148" t="n">
        <f aca="false">VALUE(IF($D143="osl",$C143,0))+VALUE(IF($H143="osl",$G143,0))</f>
        <v>0</v>
      </c>
      <c r="AF143" s="148" t="n">
        <f aca="false">VALUE(IF($D143="vra",$C143,0))+VALUE(IF($H143="vra",$G143,0))</f>
        <v>0</v>
      </c>
      <c r="AG143" s="148" t="n">
        <f aca="false">VALUE(IF($D143="zho",$C143,0))+VALUE(IF($H143="zho",$G143,0))</f>
        <v>0</v>
      </c>
      <c r="AH143" s="148" t="n">
        <f aca="false">VALUE(IF($D143="zbú",$C143,0))+VALUE(IF($H143="zbú",$G143,0))</f>
        <v>0</v>
      </c>
      <c r="AI143" s="148" t="n">
        <f aca="false">VALUE(IF($D143="pří",$C143,0))+VALUE(IF($H143="pří",$G143,0))</f>
        <v>0</v>
      </c>
      <c r="AJ143" s="148" t="n">
        <f aca="false">VALUE(IF($D143="dot",$C143,0))+VALUE(IF($H143="dot",$G143,0))</f>
        <v>0</v>
      </c>
      <c r="AK143" s="148" t="n">
        <f aca="false">VALUE(IF($D143="opř",$C143,0))+VALUE(IF($H143="opř",$G143,0))</f>
        <v>0</v>
      </c>
      <c r="AL143" s="148" t="n">
        <f aca="false">SUM(P143:AK143)</f>
        <v>0</v>
      </c>
      <c r="AN143" s="180" t="str">
        <f aca="false">CONCATENATE('Přehled akce'!$K$4," / ",'Přehled akce'!$K$5)</f>
        <v> / </v>
      </c>
      <c r="AO143" s="181" t="n">
        <f aca="false">IF('Příjmy a výdaje'!$G143="ano",'Příjmy a výdaje'!$B143,0)</f>
        <v>0</v>
      </c>
      <c r="AP143" s="182" t="n">
        <f aca="false">IF('Příjmy a výdaje'!$G143="ano",'Příjmy a výdaje'!$C143,0)</f>
        <v>0</v>
      </c>
      <c r="AQ143" s="183" t="n">
        <f aca="false">'Příjmy a výdaje'!$AP143</f>
        <v>0</v>
      </c>
    </row>
    <row r="144" customFormat="false" ht="12.75" hidden="false" customHeight="false" outlineLevel="0" collapsed="false">
      <c r="A144" s="169" t="n">
        <v>127</v>
      </c>
      <c r="B144" s="184"/>
      <c r="C144" s="194"/>
      <c r="D144" s="186"/>
      <c r="E144" s="188"/>
      <c r="F144" s="223"/>
      <c r="G144" s="224"/>
      <c r="H144" s="190"/>
      <c r="I144" s="249"/>
      <c r="J144" s="178" t="str">
        <f aca="false">IF(AL144=C144,IF(AL144=0,"-","ok"),"chyba")</f>
        <v>-</v>
      </c>
      <c r="K144" s="179"/>
      <c r="L144" s="179"/>
      <c r="M144" s="179"/>
      <c r="N144" s="179"/>
      <c r="P144" s="148" t="n">
        <f aca="false">VALUE(IF($D144="vyb",$C144,0))+VALUE(IF($H144="vyb",$G144,0))</f>
        <v>0</v>
      </c>
      <c r="Q144" s="148" t="n">
        <f aca="false">VALUE(IF($D144="mtv",$C144,0))+VALUE(IF($H144="mtv",$G144,0))</f>
        <v>0</v>
      </c>
      <c r="R144" s="148" t="n">
        <f aca="false">VALUE(IF($D144="mat",$C144,0))+VALUE(IF($H144="mat",$G144,0))</f>
        <v>0</v>
      </c>
      <c r="S144" s="148" t="n">
        <f aca="false">VALUE(IF($D144="pot",$C144,0))+VALUE(IF($H144="pot",$G144,0))</f>
        <v>0</v>
      </c>
      <c r="T144" s="148" t="n">
        <f aca="false">VALUE(IF($D144="táb",$C144,0))+VALUE(IF($H144="táb",$G144,0))</f>
        <v>0</v>
      </c>
      <c r="U144" s="148" t="n">
        <f aca="false">VALUE(IF($D144="oma",$C144,0))+VALUE(IF($H144="oma",$G144,0))</f>
        <v>0</v>
      </c>
      <c r="V144" s="148" t="n">
        <f aca="false">VALUE(IF($D144="ces",$C144,0))+VALUE(IF($H144="ces",$G144,0))</f>
        <v>0</v>
      </c>
      <c r="W144" s="148" t="n">
        <f aca="false">VALUE(IF($D144="poš",$C144,0))+VALUE(IF($H144="poš",$G144,0))</f>
        <v>0</v>
      </c>
      <c r="X144" s="148" t="n">
        <f aca="false">VALUE(IF($D144="tel",$C144,0))+VALUE(IF($H144="tel",$G144,0))</f>
        <v>0</v>
      </c>
      <c r="Y144" s="148" t="n">
        <f aca="false">VALUE(IF($D144="dop",$C144,0))+VALUE(IF($H144="dop",$G144,0))</f>
        <v>0</v>
      </c>
      <c r="Z144" s="148" t="n">
        <f aca="false">VALUE(IF($D144="nák",$C144,0))+VALUE(IF($H144="nák",$G144,0))</f>
        <v>0</v>
      </c>
      <c r="AA144" s="148" t="n">
        <f aca="false">VALUE(IF($D144="náj",$C144,0))+VALUE(IF($H144="náj",$G144,0))</f>
        <v>0</v>
      </c>
      <c r="AB144" s="148" t="n">
        <f aca="false">VALUE(IF($D144="půj",$C144,0))+VALUE(IF($H144="půj",$G144,0))</f>
        <v>0</v>
      </c>
      <c r="AC144" s="148" t="n">
        <f aca="false">VALUE(IF($D144="vst",$C144,0))+VALUE(IF($H144="vst",$G144,0))</f>
        <v>0</v>
      </c>
      <c r="AD144" s="148" t="n">
        <f aca="false">VALUE(IF($D144="kop",$C144,0))+VALUE(IF($H144="kop",$G144,0))</f>
        <v>0</v>
      </c>
      <c r="AE144" s="148" t="n">
        <f aca="false">VALUE(IF($D144="osl",$C144,0))+VALUE(IF($H144="osl",$G144,0))</f>
        <v>0</v>
      </c>
      <c r="AF144" s="148" t="n">
        <f aca="false">VALUE(IF($D144="vra",$C144,0))+VALUE(IF($H144="vra",$G144,0))</f>
        <v>0</v>
      </c>
      <c r="AG144" s="148" t="n">
        <f aca="false">VALUE(IF($D144="zho",$C144,0))+VALUE(IF($H144="zho",$G144,0))</f>
        <v>0</v>
      </c>
      <c r="AH144" s="148" t="n">
        <f aca="false">VALUE(IF($D144="zbú",$C144,0))+VALUE(IF($H144="zbú",$G144,0))</f>
        <v>0</v>
      </c>
      <c r="AI144" s="148" t="n">
        <f aca="false">VALUE(IF($D144="pří",$C144,0))+VALUE(IF($H144="pří",$G144,0))</f>
        <v>0</v>
      </c>
      <c r="AJ144" s="148" t="n">
        <f aca="false">VALUE(IF($D144="dot",$C144,0))+VALUE(IF($H144="dot",$G144,0))</f>
        <v>0</v>
      </c>
      <c r="AK144" s="148" t="n">
        <f aca="false">VALUE(IF($D144="opř",$C144,0))+VALUE(IF($H144="opř",$G144,0))</f>
        <v>0</v>
      </c>
      <c r="AL144" s="148" t="n">
        <f aca="false">SUM(P144:AK144)</f>
        <v>0</v>
      </c>
      <c r="AN144" s="180" t="str">
        <f aca="false">CONCATENATE('Přehled akce'!$K$4," / ",'Přehled akce'!$K$5)</f>
        <v> / </v>
      </c>
      <c r="AO144" s="181" t="n">
        <f aca="false">IF('Příjmy a výdaje'!$G144="ano",'Příjmy a výdaje'!$B144,0)</f>
        <v>0</v>
      </c>
      <c r="AP144" s="182" t="n">
        <f aca="false">IF('Příjmy a výdaje'!$G144="ano",'Příjmy a výdaje'!$C144,0)</f>
        <v>0</v>
      </c>
      <c r="AQ144" s="183" t="n">
        <f aca="false">'Příjmy a výdaje'!$AP144</f>
        <v>0</v>
      </c>
    </row>
    <row r="145" customFormat="false" ht="12.75" hidden="false" customHeight="false" outlineLevel="0" collapsed="false">
      <c r="A145" s="169" t="n">
        <v>128</v>
      </c>
      <c r="B145" s="184"/>
      <c r="C145" s="194"/>
      <c r="D145" s="186"/>
      <c r="E145" s="188"/>
      <c r="F145" s="223"/>
      <c r="G145" s="224"/>
      <c r="H145" s="190"/>
      <c r="I145" s="249"/>
      <c r="J145" s="178" t="str">
        <f aca="false">IF(AL145=C145,IF(AL145=0,"-","ok"),"chyba")</f>
        <v>-</v>
      </c>
      <c r="K145" s="179"/>
      <c r="L145" s="179"/>
      <c r="M145" s="179"/>
      <c r="N145" s="179"/>
      <c r="P145" s="148" t="n">
        <f aca="false">VALUE(IF($D145="vyb",$C145,0))+VALUE(IF($H145="vyb",$G145,0))</f>
        <v>0</v>
      </c>
      <c r="Q145" s="148" t="n">
        <f aca="false">VALUE(IF($D145="mtv",$C145,0))+VALUE(IF($H145="mtv",$G145,0))</f>
        <v>0</v>
      </c>
      <c r="R145" s="148" t="n">
        <f aca="false">VALUE(IF($D145="mat",$C145,0))+VALUE(IF($H145="mat",$G145,0))</f>
        <v>0</v>
      </c>
      <c r="S145" s="148" t="n">
        <f aca="false">VALUE(IF($D145="pot",$C145,0))+VALUE(IF($H145="pot",$G145,0))</f>
        <v>0</v>
      </c>
      <c r="T145" s="148" t="n">
        <f aca="false">VALUE(IF($D145="táb",$C145,0))+VALUE(IF($H145="táb",$G145,0))</f>
        <v>0</v>
      </c>
      <c r="U145" s="148" t="n">
        <f aca="false">VALUE(IF($D145="oma",$C145,0))+VALUE(IF($H145="oma",$G145,0))</f>
        <v>0</v>
      </c>
      <c r="V145" s="148" t="n">
        <f aca="false">VALUE(IF($D145="ces",$C145,0))+VALUE(IF($H145="ces",$G145,0))</f>
        <v>0</v>
      </c>
      <c r="W145" s="148" t="n">
        <f aca="false">VALUE(IF($D145="poš",$C145,0))+VALUE(IF($H145="poš",$G145,0))</f>
        <v>0</v>
      </c>
      <c r="X145" s="148" t="n">
        <f aca="false">VALUE(IF($D145="tel",$C145,0))+VALUE(IF($H145="tel",$G145,0))</f>
        <v>0</v>
      </c>
      <c r="Y145" s="148" t="n">
        <f aca="false">VALUE(IF($D145="dop",$C145,0))+VALUE(IF($H145="dop",$G145,0))</f>
        <v>0</v>
      </c>
      <c r="Z145" s="148" t="n">
        <f aca="false">VALUE(IF($D145="nák",$C145,0))+VALUE(IF($H145="nák",$G145,0))</f>
        <v>0</v>
      </c>
      <c r="AA145" s="148" t="n">
        <f aca="false">VALUE(IF($D145="náj",$C145,0))+VALUE(IF($H145="náj",$G145,0))</f>
        <v>0</v>
      </c>
      <c r="AB145" s="148" t="n">
        <f aca="false">VALUE(IF($D145="půj",$C145,0))+VALUE(IF($H145="půj",$G145,0))</f>
        <v>0</v>
      </c>
      <c r="AC145" s="148" t="n">
        <f aca="false">VALUE(IF($D145="vst",$C145,0))+VALUE(IF($H145="vst",$G145,0))</f>
        <v>0</v>
      </c>
      <c r="AD145" s="148" t="n">
        <f aca="false">VALUE(IF($D145="kop",$C145,0))+VALUE(IF($H145="kop",$G145,0))</f>
        <v>0</v>
      </c>
      <c r="AE145" s="148" t="n">
        <f aca="false">VALUE(IF($D145="osl",$C145,0))+VALUE(IF($H145="osl",$G145,0))</f>
        <v>0</v>
      </c>
      <c r="AF145" s="148" t="n">
        <f aca="false">VALUE(IF($D145="vra",$C145,0))+VALUE(IF($H145="vra",$G145,0))</f>
        <v>0</v>
      </c>
      <c r="AG145" s="148" t="n">
        <f aca="false">VALUE(IF($D145="zho",$C145,0))+VALUE(IF($H145="zho",$G145,0))</f>
        <v>0</v>
      </c>
      <c r="AH145" s="148" t="n">
        <f aca="false">VALUE(IF($D145="zbú",$C145,0))+VALUE(IF($H145="zbú",$G145,0))</f>
        <v>0</v>
      </c>
      <c r="AI145" s="148" t="n">
        <f aca="false">VALUE(IF($D145="pří",$C145,0))+VALUE(IF($H145="pří",$G145,0))</f>
        <v>0</v>
      </c>
      <c r="AJ145" s="148" t="n">
        <f aca="false">VALUE(IF($D145="dot",$C145,0))+VALUE(IF($H145="dot",$G145,0))</f>
        <v>0</v>
      </c>
      <c r="AK145" s="148" t="n">
        <f aca="false">VALUE(IF($D145="opř",$C145,0))+VALUE(IF($H145="opř",$G145,0))</f>
        <v>0</v>
      </c>
      <c r="AL145" s="148" t="n">
        <f aca="false">SUM(P145:AK145)</f>
        <v>0</v>
      </c>
      <c r="AN145" s="180" t="str">
        <f aca="false">CONCATENATE('Přehled akce'!$K$4," / ",'Přehled akce'!$K$5)</f>
        <v> / </v>
      </c>
      <c r="AO145" s="181" t="n">
        <f aca="false">IF('Příjmy a výdaje'!$G145="ano",'Příjmy a výdaje'!$B145,0)</f>
        <v>0</v>
      </c>
      <c r="AP145" s="182" t="n">
        <f aca="false">IF('Příjmy a výdaje'!$G145="ano",'Příjmy a výdaje'!$C145,0)</f>
        <v>0</v>
      </c>
      <c r="AQ145" s="183" t="n">
        <f aca="false">'Příjmy a výdaje'!$AP145</f>
        <v>0</v>
      </c>
    </row>
    <row r="146" customFormat="false" ht="12.75" hidden="false" customHeight="false" outlineLevel="0" collapsed="false">
      <c r="A146" s="169" t="n">
        <v>129</v>
      </c>
      <c r="B146" s="184"/>
      <c r="C146" s="194"/>
      <c r="D146" s="186"/>
      <c r="E146" s="188"/>
      <c r="F146" s="223"/>
      <c r="G146" s="224"/>
      <c r="H146" s="190"/>
      <c r="I146" s="249"/>
      <c r="J146" s="178" t="str">
        <f aca="false">IF(AL146=C146,IF(AL146=0,"-","ok"),"chyba")</f>
        <v>-</v>
      </c>
      <c r="K146" s="179"/>
      <c r="L146" s="179"/>
      <c r="M146" s="179"/>
      <c r="N146" s="179"/>
      <c r="P146" s="148" t="n">
        <f aca="false">VALUE(IF($D146="vyb",$C146,0))+VALUE(IF($H146="vyb",$G146,0))</f>
        <v>0</v>
      </c>
      <c r="Q146" s="148" t="n">
        <f aca="false">VALUE(IF($D146="mtv",$C146,0))+VALUE(IF($H146="mtv",$G146,0))</f>
        <v>0</v>
      </c>
      <c r="R146" s="148" t="n">
        <f aca="false">VALUE(IF($D146="mat",$C146,0))+VALUE(IF($H146="mat",$G146,0))</f>
        <v>0</v>
      </c>
      <c r="S146" s="148" t="n">
        <f aca="false">VALUE(IF($D146="pot",$C146,0))+VALUE(IF($H146="pot",$G146,0))</f>
        <v>0</v>
      </c>
      <c r="T146" s="148" t="n">
        <f aca="false">VALUE(IF($D146="táb",$C146,0))+VALUE(IF($H146="táb",$G146,0))</f>
        <v>0</v>
      </c>
      <c r="U146" s="148" t="n">
        <f aca="false">VALUE(IF($D146="oma",$C146,0))+VALUE(IF($H146="oma",$G146,0))</f>
        <v>0</v>
      </c>
      <c r="V146" s="148" t="n">
        <f aca="false">VALUE(IF($D146="ces",$C146,0))+VALUE(IF($H146="ces",$G146,0))</f>
        <v>0</v>
      </c>
      <c r="W146" s="148" t="n">
        <f aca="false">VALUE(IF($D146="poš",$C146,0))+VALUE(IF($H146="poš",$G146,0))</f>
        <v>0</v>
      </c>
      <c r="X146" s="148" t="n">
        <f aca="false">VALUE(IF($D146="tel",$C146,0))+VALUE(IF($H146="tel",$G146,0))</f>
        <v>0</v>
      </c>
      <c r="Y146" s="148" t="n">
        <f aca="false">VALUE(IF($D146="dop",$C146,0))+VALUE(IF($H146="dop",$G146,0))</f>
        <v>0</v>
      </c>
      <c r="Z146" s="148" t="n">
        <f aca="false">VALUE(IF($D146="nák",$C146,0))+VALUE(IF($H146="nák",$G146,0))</f>
        <v>0</v>
      </c>
      <c r="AA146" s="148" t="n">
        <f aca="false">VALUE(IF($D146="náj",$C146,0))+VALUE(IF($H146="náj",$G146,0))</f>
        <v>0</v>
      </c>
      <c r="AB146" s="148" t="n">
        <f aca="false">VALUE(IF($D146="půj",$C146,0))+VALUE(IF($H146="půj",$G146,0))</f>
        <v>0</v>
      </c>
      <c r="AC146" s="148" t="n">
        <f aca="false">VALUE(IF($D146="vst",$C146,0))+VALUE(IF($H146="vst",$G146,0))</f>
        <v>0</v>
      </c>
      <c r="AD146" s="148" t="n">
        <f aca="false">VALUE(IF($D146="kop",$C146,0))+VALUE(IF($H146="kop",$G146,0))</f>
        <v>0</v>
      </c>
      <c r="AE146" s="148" t="n">
        <f aca="false">VALUE(IF($D146="osl",$C146,0))+VALUE(IF($H146="osl",$G146,0))</f>
        <v>0</v>
      </c>
      <c r="AF146" s="148" t="n">
        <f aca="false">VALUE(IF($D146="vra",$C146,0))+VALUE(IF($H146="vra",$G146,0))</f>
        <v>0</v>
      </c>
      <c r="AG146" s="148" t="n">
        <f aca="false">VALUE(IF($D146="zho",$C146,0))+VALUE(IF($H146="zho",$G146,0))</f>
        <v>0</v>
      </c>
      <c r="AH146" s="148" t="n">
        <f aca="false">VALUE(IF($D146="zbú",$C146,0))+VALUE(IF($H146="zbú",$G146,0))</f>
        <v>0</v>
      </c>
      <c r="AI146" s="148" t="n">
        <f aca="false">VALUE(IF($D146="pří",$C146,0))+VALUE(IF($H146="pří",$G146,0))</f>
        <v>0</v>
      </c>
      <c r="AJ146" s="148" t="n">
        <f aca="false">VALUE(IF($D146="dot",$C146,0))+VALUE(IF($H146="dot",$G146,0))</f>
        <v>0</v>
      </c>
      <c r="AK146" s="148" t="n">
        <f aca="false">VALUE(IF($D146="opř",$C146,0))+VALUE(IF($H146="opř",$G146,0))</f>
        <v>0</v>
      </c>
      <c r="AL146" s="148" t="n">
        <f aca="false">SUM(P146:AK146)</f>
        <v>0</v>
      </c>
      <c r="AN146" s="180" t="str">
        <f aca="false">CONCATENATE('Přehled akce'!$K$4," / ",'Přehled akce'!$K$5)</f>
        <v> / </v>
      </c>
      <c r="AO146" s="181" t="n">
        <f aca="false">IF('Příjmy a výdaje'!$G146="ano",'Příjmy a výdaje'!$B146,0)</f>
        <v>0</v>
      </c>
      <c r="AP146" s="182" t="n">
        <f aca="false">IF('Příjmy a výdaje'!$G146="ano",'Příjmy a výdaje'!$C146,0)</f>
        <v>0</v>
      </c>
      <c r="AQ146" s="183" t="n">
        <f aca="false">'Příjmy a výdaje'!$AP146</f>
        <v>0</v>
      </c>
    </row>
    <row r="147" customFormat="false" ht="12.75" hidden="false" customHeight="false" outlineLevel="0" collapsed="false">
      <c r="A147" s="169" t="n">
        <v>130</v>
      </c>
      <c r="B147" s="184"/>
      <c r="C147" s="194"/>
      <c r="D147" s="186"/>
      <c r="E147" s="188"/>
      <c r="F147" s="223"/>
      <c r="G147" s="224"/>
      <c r="H147" s="190"/>
      <c r="I147" s="249"/>
      <c r="J147" s="178" t="str">
        <f aca="false">IF(AL147=C147,IF(AL147=0,"-","ok"),"chyba")</f>
        <v>-</v>
      </c>
      <c r="K147" s="179"/>
      <c r="L147" s="179"/>
      <c r="M147" s="179"/>
      <c r="N147" s="179"/>
      <c r="P147" s="148" t="n">
        <f aca="false">VALUE(IF($D147="vyb",$C147,0))+VALUE(IF($H147="vyb",$G147,0))</f>
        <v>0</v>
      </c>
      <c r="Q147" s="148" t="n">
        <f aca="false">VALUE(IF($D147="mtv",$C147,0))+VALUE(IF($H147="mtv",$G147,0))</f>
        <v>0</v>
      </c>
      <c r="R147" s="148" t="n">
        <f aca="false">VALUE(IF($D147="mat",$C147,0))+VALUE(IF($H147="mat",$G147,0))</f>
        <v>0</v>
      </c>
      <c r="S147" s="148" t="n">
        <f aca="false">VALUE(IF($D147="pot",$C147,0))+VALUE(IF($H147="pot",$G147,0))</f>
        <v>0</v>
      </c>
      <c r="T147" s="148" t="n">
        <f aca="false">VALUE(IF($D147="táb",$C147,0))+VALUE(IF($H147="táb",$G147,0))</f>
        <v>0</v>
      </c>
      <c r="U147" s="148" t="n">
        <f aca="false">VALUE(IF($D147="oma",$C147,0))+VALUE(IF($H147="oma",$G147,0))</f>
        <v>0</v>
      </c>
      <c r="V147" s="148" t="n">
        <f aca="false">VALUE(IF($D147="ces",$C147,0))+VALUE(IF($H147="ces",$G147,0))</f>
        <v>0</v>
      </c>
      <c r="W147" s="148" t="n">
        <f aca="false">VALUE(IF($D147="poš",$C147,0))+VALUE(IF($H147="poš",$G147,0))</f>
        <v>0</v>
      </c>
      <c r="X147" s="148" t="n">
        <f aca="false">VALUE(IF($D147="tel",$C147,0))+VALUE(IF($H147="tel",$G147,0))</f>
        <v>0</v>
      </c>
      <c r="Y147" s="148" t="n">
        <f aca="false">VALUE(IF($D147="dop",$C147,0))+VALUE(IF($H147="dop",$G147,0))</f>
        <v>0</v>
      </c>
      <c r="Z147" s="148" t="n">
        <f aca="false">VALUE(IF($D147="nák",$C147,0))+VALUE(IF($H147="nák",$G147,0))</f>
        <v>0</v>
      </c>
      <c r="AA147" s="148" t="n">
        <f aca="false">VALUE(IF($D147="náj",$C147,0))+VALUE(IF($H147="náj",$G147,0))</f>
        <v>0</v>
      </c>
      <c r="AB147" s="148" t="n">
        <f aca="false">VALUE(IF($D147="půj",$C147,0))+VALUE(IF($H147="půj",$G147,0))</f>
        <v>0</v>
      </c>
      <c r="AC147" s="148" t="n">
        <f aca="false">VALUE(IF($D147="vst",$C147,0))+VALUE(IF($H147="vst",$G147,0))</f>
        <v>0</v>
      </c>
      <c r="AD147" s="148" t="n">
        <f aca="false">VALUE(IF($D147="kop",$C147,0))+VALUE(IF($H147="kop",$G147,0))</f>
        <v>0</v>
      </c>
      <c r="AE147" s="148" t="n">
        <f aca="false">VALUE(IF($D147="osl",$C147,0))+VALUE(IF($H147="osl",$G147,0))</f>
        <v>0</v>
      </c>
      <c r="AF147" s="148" t="n">
        <f aca="false">VALUE(IF($D147="vra",$C147,0))+VALUE(IF($H147="vra",$G147,0))</f>
        <v>0</v>
      </c>
      <c r="AG147" s="148" t="n">
        <f aca="false">VALUE(IF($D147="zho",$C147,0))+VALUE(IF($H147="zho",$G147,0))</f>
        <v>0</v>
      </c>
      <c r="AH147" s="148" t="n">
        <f aca="false">VALUE(IF($D147="zbú",$C147,0))+VALUE(IF($H147="zbú",$G147,0))</f>
        <v>0</v>
      </c>
      <c r="AI147" s="148" t="n">
        <f aca="false">VALUE(IF($D147="pří",$C147,0))+VALUE(IF($H147="pří",$G147,0))</f>
        <v>0</v>
      </c>
      <c r="AJ147" s="148" t="n">
        <f aca="false">VALUE(IF($D147="dot",$C147,0))+VALUE(IF($H147="dot",$G147,0))</f>
        <v>0</v>
      </c>
      <c r="AK147" s="148" t="n">
        <f aca="false">VALUE(IF($D147="opř",$C147,0))+VALUE(IF($H147="opř",$G147,0))</f>
        <v>0</v>
      </c>
      <c r="AL147" s="148" t="n">
        <f aca="false">SUM(P147:AK147)</f>
        <v>0</v>
      </c>
      <c r="AN147" s="180" t="str">
        <f aca="false">CONCATENATE('Přehled akce'!$K$4," / ",'Přehled akce'!$K$5)</f>
        <v> / </v>
      </c>
      <c r="AO147" s="181" t="n">
        <f aca="false">IF('Příjmy a výdaje'!$G147="ano",'Příjmy a výdaje'!$B147,0)</f>
        <v>0</v>
      </c>
      <c r="AP147" s="182" t="n">
        <f aca="false">IF('Příjmy a výdaje'!$G147="ano",'Příjmy a výdaje'!$C147,0)</f>
        <v>0</v>
      </c>
      <c r="AQ147" s="183" t="n">
        <f aca="false">'Příjmy a výdaje'!$AP147</f>
        <v>0</v>
      </c>
    </row>
    <row r="148" customFormat="false" ht="12.75" hidden="false" customHeight="false" outlineLevel="0" collapsed="false">
      <c r="A148" s="169" t="n">
        <v>131</v>
      </c>
      <c r="B148" s="250"/>
      <c r="C148" s="194"/>
      <c r="D148" s="174"/>
      <c r="E148" s="188"/>
      <c r="F148" s="223"/>
      <c r="G148" s="224"/>
      <c r="H148" s="190"/>
      <c r="I148" s="249"/>
      <c r="J148" s="178" t="str">
        <f aca="false">IF(AL148=C148,IF(AL148=0,"-","ok"),"chyba")</f>
        <v>-</v>
      </c>
      <c r="K148" s="179"/>
      <c r="L148" s="179"/>
      <c r="M148" s="179"/>
      <c r="N148" s="179"/>
      <c r="P148" s="148" t="n">
        <f aca="false">VALUE(IF($D148="vyb",$C148,0))+VALUE(IF($H148="vyb",$G148,0))</f>
        <v>0</v>
      </c>
      <c r="Q148" s="148" t="n">
        <f aca="false">VALUE(IF($D148="mtv",$C148,0))+VALUE(IF($H148="mtv",$G148,0))</f>
        <v>0</v>
      </c>
      <c r="R148" s="148" t="n">
        <f aca="false">VALUE(IF($D148="mat",$C148,0))+VALUE(IF($H148="mat",$G148,0))</f>
        <v>0</v>
      </c>
      <c r="S148" s="148" t="n">
        <f aca="false">VALUE(IF($D148="pot",$C148,0))+VALUE(IF($H148="pot",$G148,0))</f>
        <v>0</v>
      </c>
      <c r="T148" s="148" t="n">
        <f aca="false">VALUE(IF($D148="táb",$C148,0))+VALUE(IF($H148="táb",$G148,0))</f>
        <v>0</v>
      </c>
      <c r="U148" s="148" t="n">
        <f aca="false">VALUE(IF($D148="oma",$C148,0))+VALUE(IF($H148="oma",$G148,0))</f>
        <v>0</v>
      </c>
      <c r="V148" s="148" t="n">
        <f aca="false">VALUE(IF($D148="ces",$C148,0))+VALUE(IF($H148="ces",$G148,0))</f>
        <v>0</v>
      </c>
      <c r="W148" s="148" t="n">
        <f aca="false">VALUE(IF($D148="poš",$C148,0))+VALUE(IF($H148="poš",$G148,0))</f>
        <v>0</v>
      </c>
      <c r="X148" s="148" t="n">
        <f aca="false">VALUE(IF($D148="tel",$C148,0))+VALUE(IF($H148="tel",$G148,0))</f>
        <v>0</v>
      </c>
      <c r="Y148" s="148" t="n">
        <f aca="false">VALUE(IF($D148="dop",$C148,0))+VALUE(IF($H148="dop",$G148,0))</f>
        <v>0</v>
      </c>
      <c r="Z148" s="148" t="n">
        <f aca="false">VALUE(IF($D148="nák",$C148,0))+VALUE(IF($H148="nák",$G148,0))</f>
        <v>0</v>
      </c>
      <c r="AA148" s="148" t="n">
        <f aca="false">VALUE(IF($D148="náj",$C148,0))+VALUE(IF($H148="náj",$G148,0))</f>
        <v>0</v>
      </c>
      <c r="AB148" s="148" t="n">
        <f aca="false">VALUE(IF($D148="půj",$C148,0))+VALUE(IF($H148="půj",$G148,0))</f>
        <v>0</v>
      </c>
      <c r="AC148" s="148" t="n">
        <f aca="false">VALUE(IF($D148="vst",$C148,0))+VALUE(IF($H148="vst",$G148,0))</f>
        <v>0</v>
      </c>
      <c r="AD148" s="148" t="n">
        <f aca="false">VALUE(IF($D148="kop",$C148,0))+VALUE(IF($H148="kop",$G148,0))</f>
        <v>0</v>
      </c>
      <c r="AE148" s="148" t="n">
        <f aca="false">VALUE(IF($D148="osl",$C148,0))+VALUE(IF($H148="osl",$G148,0))</f>
        <v>0</v>
      </c>
      <c r="AF148" s="148" t="n">
        <f aca="false">VALUE(IF($D148="vra",$C148,0))+VALUE(IF($H148="vra",$G148,0))</f>
        <v>0</v>
      </c>
      <c r="AG148" s="148" t="n">
        <f aca="false">VALUE(IF($D148="zho",$C148,0))+VALUE(IF($H148="zho",$G148,0))</f>
        <v>0</v>
      </c>
      <c r="AH148" s="148" t="n">
        <f aca="false">VALUE(IF($D148="zbú",$C148,0))+VALUE(IF($H148="zbú",$G148,0))</f>
        <v>0</v>
      </c>
      <c r="AI148" s="148" t="n">
        <f aca="false">VALUE(IF($D148="pří",$C148,0))+VALUE(IF($H148="pří",$G148,0))</f>
        <v>0</v>
      </c>
      <c r="AJ148" s="148" t="n">
        <f aca="false">VALUE(IF($D148="dot",$C148,0))+VALUE(IF($H148="dot",$G148,0))</f>
        <v>0</v>
      </c>
      <c r="AK148" s="148" t="n">
        <f aca="false">VALUE(IF($D148="opř",$C148,0))+VALUE(IF($H148="opř",$G148,0))</f>
        <v>0</v>
      </c>
      <c r="AL148" s="148" t="n">
        <f aca="false">SUM(P148:AK148)</f>
        <v>0</v>
      </c>
      <c r="AN148" s="180" t="str">
        <f aca="false">CONCATENATE('Přehled akce'!$K$4," / ",'Přehled akce'!$K$5)</f>
        <v> / </v>
      </c>
      <c r="AO148" s="181" t="n">
        <f aca="false">IF('Příjmy a výdaje'!$G148="ano",'Příjmy a výdaje'!$B148,0)</f>
        <v>0</v>
      </c>
      <c r="AP148" s="182" t="n">
        <f aca="false">IF('Příjmy a výdaje'!$G148="ano",'Příjmy a výdaje'!$C148,0)</f>
        <v>0</v>
      </c>
      <c r="AQ148" s="183" t="n">
        <f aca="false">'Příjmy a výdaje'!$AP148</f>
        <v>0</v>
      </c>
    </row>
    <row r="149" customFormat="false" ht="12.75" hidden="false" customHeight="false" outlineLevel="0" collapsed="false">
      <c r="A149" s="169" t="n">
        <v>132</v>
      </c>
      <c r="B149" s="250"/>
      <c r="C149" s="194"/>
      <c r="D149" s="174"/>
      <c r="E149" s="188"/>
      <c r="F149" s="223"/>
      <c r="G149" s="224"/>
      <c r="H149" s="190"/>
      <c r="I149" s="249"/>
      <c r="J149" s="178" t="str">
        <f aca="false">IF(AL149=C149,IF(AL149=0,"-","ok"),"chyba")</f>
        <v>-</v>
      </c>
      <c r="K149" s="179"/>
      <c r="L149" s="179"/>
      <c r="M149" s="179"/>
      <c r="N149" s="179"/>
      <c r="P149" s="148" t="n">
        <f aca="false">VALUE(IF($D149="vyb",$C149,0))+VALUE(IF($H149="vyb",$G149,0))</f>
        <v>0</v>
      </c>
      <c r="Q149" s="148" t="n">
        <f aca="false">VALUE(IF($D149="mtv",$C149,0))+VALUE(IF($H149="mtv",$G149,0))</f>
        <v>0</v>
      </c>
      <c r="R149" s="148" t="n">
        <f aca="false">VALUE(IF($D149="mat",$C149,0))+VALUE(IF($H149="mat",$G149,0))</f>
        <v>0</v>
      </c>
      <c r="S149" s="148" t="n">
        <f aca="false">VALUE(IF($D149="pot",$C149,0))+VALUE(IF($H149="pot",$G149,0))</f>
        <v>0</v>
      </c>
      <c r="T149" s="148" t="n">
        <f aca="false">VALUE(IF($D149="táb",$C149,0))+VALUE(IF($H149="táb",$G149,0))</f>
        <v>0</v>
      </c>
      <c r="U149" s="148" t="n">
        <f aca="false">VALUE(IF($D149="oma",$C149,0))+VALUE(IF($H149="oma",$G149,0))</f>
        <v>0</v>
      </c>
      <c r="V149" s="148" t="n">
        <f aca="false">VALUE(IF($D149="ces",$C149,0))+VALUE(IF($H149="ces",$G149,0))</f>
        <v>0</v>
      </c>
      <c r="W149" s="148" t="n">
        <f aca="false">VALUE(IF($D149="poš",$C149,0))+VALUE(IF($H149="poš",$G149,0))</f>
        <v>0</v>
      </c>
      <c r="X149" s="148" t="n">
        <f aca="false">VALUE(IF($D149="tel",$C149,0))+VALUE(IF($H149="tel",$G149,0))</f>
        <v>0</v>
      </c>
      <c r="Y149" s="148" t="n">
        <f aca="false">VALUE(IF($D149="dop",$C149,0))+VALUE(IF($H149="dop",$G149,0))</f>
        <v>0</v>
      </c>
      <c r="Z149" s="148" t="n">
        <f aca="false">VALUE(IF($D149="nák",$C149,0))+VALUE(IF($H149="nák",$G149,0))</f>
        <v>0</v>
      </c>
      <c r="AA149" s="148" t="n">
        <f aca="false">VALUE(IF($D149="náj",$C149,0))+VALUE(IF($H149="náj",$G149,0))</f>
        <v>0</v>
      </c>
      <c r="AB149" s="148" t="n">
        <f aca="false">VALUE(IF($D149="půj",$C149,0))+VALUE(IF($H149="půj",$G149,0))</f>
        <v>0</v>
      </c>
      <c r="AC149" s="148" t="n">
        <f aca="false">VALUE(IF($D149="vst",$C149,0))+VALUE(IF($H149="vst",$G149,0))</f>
        <v>0</v>
      </c>
      <c r="AD149" s="148" t="n">
        <f aca="false">VALUE(IF($D149="kop",$C149,0))+VALUE(IF($H149="kop",$G149,0))</f>
        <v>0</v>
      </c>
      <c r="AE149" s="148" t="n">
        <f aca="false">VALUE(IF($D149="osl",$C149,0))+VALUE(IF($H149="osl",$G149,0))</f>
        <v>0</v>
      </c>
      <c r="AF149" s="148" t="n">
        <f aca="false">VALUE(IF($D149="vra",$C149,0))+VALUE(IF($H149="vra",$G149,0))</f>
        <v>0</v>
      </c>
      <c r="AG149" s="148" t="n">
        <f aca="false">VALUE(IF($D149="zho",$C149,0))+VALUE(IF($H149="zho",$G149,0))</f>
        <v>0</v>
      </c>
      <c r="AH149" s="148" t="n">
        <f aca="false">VALUE(IF($D149="zbú",$C149,0))+VALUE(IF($H149="zbú",$G149,0))</f>
        <v>0</v>
      </c>
      <c r="AI149" s="148" t="n">
        <f aca="false">VALUE(IF($D149="pří",$C149,0))+VALUE(IF($H149="pří",$G149,0))</f>
        <v>0</v>
      </c>
      <c r="AJ149" s="148" t="n">
        <f aca="false">VALUE(IF($D149="dot",$C149,0))+VALUE(IF($H149="dot",$G149,0))</f>
        <v>0</v>
      </c>
      <c r="AK149" s="148" t="n">
        <f aca="false">VALUE(IF($D149="opř",$C149,0))+VALUE(IF($H149="opř",$G149,0))</f>
        <v>0</v>
      </c>
      <c r="AL149" s="148" t="n">
        <f aca="false">SUM(P149:AK149)</f>
        <v>0</v>
      </c>
      <c r="AN149" s="180" t="str">
        <f aca="false">CONCATENATE('Přehled akce'!$K$4," / ",'Přehled akce'!$K$5)</f>
        <v> / </v>
      </c>
      <c r="AO149" s="181" t="n">
        <f aca="false">IF('Příjmy a výdaje'!$G149="ano",'Příjmy a výdaje'!$B149,0)</f>
        <v>0</v>
      </c>
      <c r="AP149" s="182" t="n">
        <f aca="false">IF('Příjmy a výdaje'!$G149="ano",'Příjmy a výdaje'!$C149,0)</f>
        <v>0</v>
      </c>
      <c r="AQ149" s="183" t="n">
        <f aca="false">'Příjmy a výdaje'!$AP149</f>
        <v>0</v>
      </c>
    </row>
    <row r="150" customFormat="false" ht="12.75" hidden="false" customHeight="false" outlineLevel="0" collapsed="false">
      <c r="A150" s="169" t="n">
        <v>133</v>
      </c>
      <c r="B150" s="250"/>
      <c r="C150" s="194"/>
      <c r="D150" s="174"/>
      <c r="E150" s="188"/>
      <c r="F150" s="223"/>
      <c r="G150" s="224"/>
      <c r="H150" s="190"/>
      <c r="I150" s="249"/>
      <c r="J150" s="178" t="str">
        <f aca="false">IF(AL150=C150,IF(AL150=0,"-","ok"),"chyba")</f>
        <v>-</v>
      </c>
      <c r="K150" s="179"/>
      <c r="L150" s="179"/>
      <c r="M150" s="179"/>
      <c r="N150" s="179"/>
      <c r="P150" s="148" t="n">
        <f aca="false">VALUE(IF($D150="vyb",$C150,0))+VALUE(IF($H150="vyb",$G150,0))</f>
        <v>0</v>
      </c>
      <c r="Q150" s="148" t="n">
        <f aca="false">VALUE(IF($D150="mtv",$C150,0))+VALUE(IF($H150="mtv",$G150,0))</f>
        <v>0</v>
      </c>
      <c r="R150" s="148" t="n">
        <f aca="false">VALUE(IF($D150="mat",$C150,0))+VALUE(IF($H150="mat",$G150,0))</f>
        <v>0</v>
      </c>
      <c r="S150" s="148" t="n">
        <f aca="false">VALUE(IF($D150="pot",$C150,0))+VALUE(IF($H150="pot",$G150,0))</f>
        <v>0</v>
      </c>
      <c r="T150" s="148" t="n">
        <f aca="false">VALUE(IF($D150="táb",$C150,0))+VALUE(IF($H150="táb",$G150,0))</f>
        <v>0</v>
      </c>
      <c r="U150" s="148" t="n">
        <f aca="false">VALUE(IF($D150="oma",$C150,0))+VALUE(IF($H150="oma",$G150,0))</f>
        <v>0</v>
      </c>
      <c r="V150" s="148" t="n">
        <f aca="false">VALUE(IF($D150="ces",$C150,0))+VALUE(IF($H150="ces",$G150,0))</f>
        <v>0</v>
      </c>
      <c r="W150" s="148" t="n">
        <f aca="false">VALUE(IF($D150="poš",$C150,0))+VALUE(IF($H150="poš",$G150,0))</f>
        <v>0</v>
      </c>
      <c r="X150" s="148" t="n">
        <f aca="false">VALUE(IF($D150="tel",$C150,0))+VALUE(IF($H150="tel",$G150,0))</f>
        <v>0</v>
      </c>
      <c r="Y150" s="148" t="n">
        <f aca="false">VALUE(IF($D150="dop",$C150,0))+VALUE(IF($H150="dop",$G150,0))</f>
        <v>0</v>
      </c>
      <c r="Z150" s="148" t="n">
        <f aca="false">VALUE(IF($D150="nák",$C150,0))+VALUE(IF($H150="nák",$G150,0))</f>
        <v>0</v>
      </c>
      <c r="AA150" s="148" t="n">
        <f aca="false">VALUE(IF($D150="náj",$C150,0))+VALUE(IF($H150="náj",$G150,0))</f>
        <v>0</v>
      </c>
      <c r="AB150" s="148" t="n">
        <f aca="false">VALUE(IF($D150="půj",$C150,0))+VALUE(IF($H150="půj",$G150,0))</f>
        <v>0</v>
      </c>
      <c r="AC150" s="148" t="n">
        <f aca="false">VALUE(IF($D150="vst",$C150,0))+VALUE(IF($H150="vst",$G150,0))</f>
        <v>0</v>
      </c>
      <c r="AD150" s="148" t="n">
        <f aca="false">VALUE(IF($D150="kop",$C150,0))+VALUE(IF($H150="kop",$G150,0))</f>
        <v>0</v>
      </c>
      <c r="AE150" s="148" t="n">
        <f aca="false">VALUE(IF($D150="osl",$C150,0))+VALUE(IF($H150="osl",$G150,0))</f>
        <v>0</v>
      </c>
      <c r="AF150" s="148" t="n">
        <f aca="false">VALUE(IF($D150="vra",$C150,0))+VALUE(IF($H150="vra",$G150,0))</f>
        <v>0</v>
      </c>
      <c r="AG150" s="148" t="n">
        <f aca="false">VALUE(IF($D150="zho",$C150,0))+VALUE(IF($H150="zho",$G150,0))</f>
        <v>0</v>
      </c>
      <c r="AH150" s="148" t="n">
        <f aca="false">VALUE(IF($D150="zbú",$C150,0))+VALUE(IF($H150="zbú",$G150,0))</f>
        <v>0</v>
      </c>
      <c r="AI150" s="148" t="n">
        <f aca="false">VALUE(IF($D150="pří",$C150,0))+VALUE(IF($H150="pří",$G150,0))</f>
        <v>0</v>
      </c>
      <c r="AJ150" s="148" t="n">
        <f aca="false">VALUE(IF($D150="dot",$C150,0))+VALUE(IF($H150="dot",$G150,0))</f>
        <v>0</v>
      </c>
      <c r="AK150" s="148" t="n">
        <f aca="false">VALUE(IF($D150="opř",$C150,0))+VALUE(IF($H150="opř",$G150,0))</f>
        <v>0</v>
      </c>
      <c r="AL150" s="148" t="n">
        <f aca="false">SUM(P150:AK150)</f>
        <v>0</v>
      </c>
      <c r="AN150" s="180" t="str">
        <f aca="false">CONCATENATE('Přehled akce'!$K$4," / ",'Přehled akce'!$K$5)</f>
        <v> / </v>
      </c>
      <c r="AO150" s="181" t="n">
        <f aca="false">IF('Příjmy a výdaje'!$G150="ano",'Příjmy a výdaje'!$B150,0)</f>
        <v>0</v>
      </c>
      <c r="AP150" s="182" t="n">
        <f aca="false">IF('Příjmy a výdaje'!$G150="ano",'Příjmy a výdaje'!$C150,0)</f>
        <v>0</v>
      </c>
      <c r="AQ150" s="183" t="n">
        <f aca="false">'Příjmy a výdaje'!$AP150</f>
        <v>0</v>
      </c>
    </row>
    <row r="151" customFormat="false" ht="12.75" hidden="false" customHeight="false" outlineLevel="0" collapsed="false">
      <c r="A151" s="169" t="n">
        <v>134</v>
      </c>
      <c r="B151" s="250"/>
      <c r="C151" s="194"/>
      <c r="D151" s="174"/>
      <c r="E151" s="188"/>
      <c r="F151" s="223"/>
      <c r="G151" s="224"/>
      <c r="H151" s="190"/>
      <c r="I151" s="249"/>
      <c r="J151" s="178" t="str">
        <f aca="false">IF(AL151=C151,IF(AL151=0,"-","ok"),"chyba")</f>
        <v>-</v>
      </c>
      <c r="K151" s="179"/>
      <c r="L151" s="179"/>
      <c r="M151" s="179"/>
      <c r="N151" s="179"/>
      <c r="P151" s="148" t="n">
        <f aca="false">VALUE(IF($D151="vyb",$C151,0))+VALUE(IF($H151="vyb",$G151,0))</f>
        <v>0</v>
      </c>
      <c r="Q151" s="148" t="n">
        <f aca="false">VALUE(IF($D151="mtv",$C151,0))+VALUE(IF($H151="mtv",$G151,0))</f>
        <v>0</v>
      </c>
      <c r="R151" s="148" t="n">
        <f aca="false">VALUE(IF($D151="mat",$C151,0))+VALUE(IF($H151="mat",$G151,0))</f>
        <v>0</v>
      </c>
      <c r="S151" s="148" t="n">
        <f aca="false">VALUE(IF($D151="pot",$C151,0))+VALUE(IF($H151="pot",$G151,0))</f>
        <v>0</v>
      </c>
      <c r="T151" s="148" t="n">
        <f aca="false">VALUE(IF($D151="táb",$C151,0))+VALUE(IF($H151="táb",$G151,0))</f>
        <v>0</v>
      </c>
      <c r="U151" s="148" t="n">
        <f aca="false">VALUE(IF($D151="oma",$C151,0))+VALUE(IF($H151="oma",$G151,0))</f>
        <v>0</v>
      </c>
      <c r="V151" s="148" t="n">
        <f aca="false">VALUE(IF($D151="ces",$C151,0))+VALUE(IF($H151="ces",$G151,0))</f>
        <v>0</v>
      </c>
      <c r="W151" s="148" t="n">
        <f aca="false">VALUE(IF($D151="poš",$C151,0))+VALUE(IF($H151="poš",$G151,0))</f>
        <v>0</v>
      </c>
      <c r="X151" s="148" t="n">
        <f aca="false">VALUE(IF($D151="tel",$C151,0))+VALUE(IF($H151="tel",$G151,0))</f>
        <v>0</v>
      </c>
      <c r="Y151" s="148" t="n">
        <f aca="false">VALUE(IF($D151="dop",$C151,0))+VALUE(IF($H151="dop",$G151,0))</f>
        <v>0</v>
      </c>
      <c r="Z151" s="148" t="n">
        <f aca="false">VALUE(IF($D151="nák",$C151,0))+VALUE(IF($H151="nák",$G151,0))</f>
        <v>0</v>
      </c>
      <c r="AA151" s="148" t="n">
        <f aca="false">VALUE(IF($D151="náj",$C151,0))+VALUE(IF($H151="náj",$G151,0))</f>
        <v>0</v>
      </c>
      <c r="AB151" s="148" t="n">
        <f aca="false">VALUE(IF($D151="půj",$C151,0))+VALUE(IF($H151="půj",$G151,0))</f>
        <v>0</v>
      </c>
      <c r="AC151" s="148" t="n">
        <f aca="false">VALUE(IF($D151="vst",$C151,0))+VALUE(IF($H151="vst",$G151,0))</f>
        <v>0</v>
      </c>
      <c r="AD151" s="148" t="n">
        <f aca="false">VALUE(IF($D151="kop",$C151,0))+VALUE(IF($H151="kop",$G151,0))</f>
        <v>0</v>
      </c>
      <c r="AE151" s="148" t="n">
        <f aca="false">VALUE(IF($D151="osl",$C151,0))+VALUE(IF($H151="osl",$G151,0))</f>
        <v>0</v>
      </c>
      <c r="AF151" s="148" t="n">
        <f aca="false">VALUE(IF($D151="vra",$C151,0))+VALUE(IF($H151="vra",$G151,0))</f>
        <v>0</v>
      </c>
      <c r="AG151" s="148" t="n">
        <f aca="false">VALUE(IF($D151="zho",$C151,0))+VALUE(IF($H151="zho",$G151,0))</f>
        <v>0</v>
      </c>
      <c r="AH151" s="148" t="n">
        <f aca="false">VALUE(IF($D151="zbú",$C151,0))+VALUE(IF($H151="zbú",$G151,0))</f>
        <v>0</v>
      </c>
      <c r="AI151" s="148" t="n">
        <f aca="false">VALUE(IF($D151="pří",$C151,0))+VALUE(IF($H151="pří",$G151,0))</f>
        <v>0</v>
      </c>
      <c r="AJ151" s="148" t="n">
        <f aca="false">VALUE(IF($D151="dot",$C151,0))+VALUE(IF($H151="dot",$G151,0))</f>
        <v>0</v>
      </c>
      <c r="AK151" s="148" t="n">
        <f aca="false">VALUE(IF($D151="opř",$C151,0))+VALUE(IF($H151="opř",$G151,0))</f>
        <v>0</v>
      </c>
      <c r="AL151" s="148" t="n">
        <f aca="false">SUM(P151:AK151)</f>
        <v>0</v>
      </c>
      <c r="AN151" s="180" t="str">
        <f aca="false">CONCATENATE('Přehled akce'!$K$4," / ",'Přehled akce'!$K$5)</f>
        <v> / </v>
      </c>
      <c r="AO151" s="181" t="n">
        <f aca="false">IF('Příjmy a výdaje'!$G151="ano",'Příjmy a výdaje'!$B151,0)</f>
        <v>0</v>
      </c>
      <c r="AP151" s="182" t="n">
        <f aca="false">IF('Příjmy a výdaje'!$G151="ano",'Příjmy a výdaje'!$C151,0)</f>
        <v>0</v>
      </c>
      <c r="AQ151" s="183" t="n">
        <f aca="false">'Příjmy a výdaje'!$AP151</f>
        <v>0</v>
      </c>
    </row>
    <row r="152" customFormat="false" ht="12.75" hidden="false" customHeight="false" outlineLevel="0" collapsed="false">
      <c r="A152" s="169" t="n">
        <v>135</v>
      </c>
      <c r="B152" s="250"/>
      <c r="C152" s="194"/>
      <c r="D152" s="174"/>
      <c r="E152" s="188"/>
      <c r="F152" s="223"/>
      <c r="G152" s="224"/>
      <c r="H152" s="190"/>
      <c r="I152" s="195"/>
      <c r="J152" s="178" t="str">
        <f aca="false">IF(AL152=C152,IF(AL152=0,"-","ok"),"chyba")</f>
        <v>-</v>
      </c>
      <c r="K152" s="179"/>
      <c r="L152" s="179"/>
      <c r="M152" s="179"/>
      <c r="N152" s="179"/>
      <c r="P152" s="148" t="n">
        <f aca="false">VALUE(IF($D152="vyb",$C152,0))+VALUE(IF($H152="vyb",$G152,0))</f>
        <v>0</v>
      </c>
      <c r="Q152" s="148" t="n">
        <f aca="false">VALUE(IF($D152="mtv",$C152,0))+VALUE(IF($H152="mtv",$G152,0))</f>
        <v>0</v>
      </c>
      <c r="R152" s="148" t="n">
        <f aca="false">VALUE(IF($D152="mat",$C152,0))+VALUE(IF($H152="mat",$G152,0))</f>
        <v>0</v>
      </c>
      <c r="S152" s="148" t="n">
        <f aca="false">VALUE(IF($D152="pot",$C152,0))+VALUE(IF($H152="pot",$G152,0))</f>
        <v>0</v>
      </c>
      <c r="T152" s="148" t="n">
        <f aca="false">VALUE(IF($D152="táb",$C152,0))+VALUE(IF($H152="táb",$G152,0))</f>
        <v>0</v>
      </c>
      <c r="U152" s="148" t="n">
        <f aca="false">VALUE(IF($D152="oma",$C152,0))+VALUE(IF($H152="oma",$G152,0))</f>
        <v>0</v>
      </c>
      <c r="V152" s="148" t="n">
        <f aca="false">VALUE(IF($D152="ces",$C152,0))+VALUE(IF($H152="ces",$G152,0))</f>
        <v>0</v>
      </c>
      <c r="W152" s="148" t="n">
        <f aca="false">VALUE(IF($D152="poš",$C152,0))+VALUE(IF($H152="poš",$G152,0))</f>
        <v>0</v>
      </c>
      <c r="X152" s="148" t="n">
        <f aca="false">VALUE(IF($D152="tel",$C152,0))+VALUE(IF($H152="tel",$G152,0))</f>
        <v>0</v>
      </c>
      <c r="Y152" s="148" t="n">
        <f aca="false">VALUE(IF($D152="dop",$C152,0))+VALUE(IF($H152="dop",$G152,0))</f>
        <v>0</v>
      </c>
      <c r="Z152" s="148" t="n">
        <f aca="false">VALUE(IF($D152="nák",$C152,0))+VALUE(IF($H152="nák",$G152,0))</f>
        <v>0</v>
      </c>
      <c r="AA152" s="148" t="n">
        <f aca="false">VALUE(IF($D152="náj",$C152,0))+VALUE(IF($H152="náj",$G152,0))</f>
        <v>0</v>
      </c>
      <c r="AB152" s="148" t="n">
        <f aca="false">VALUE(IF($D152="půj",$C152,0))+VALUE(IF($H152="půj",$G152,0))</f>
        <v>0</v>
      </c>
      <c r="AC152" s="148" t="n">
        <f aca="false">VALUE(IF($D152="vst",$C152,0))+VALUE(IF($H152="vst",$G152,0))</f>
        <v>0</v>
      </c>
      <c r="AD152" s="148" t="n">
        <f aca="false">VALUE(IF($D152="kop",$C152,0))+VALUE(IF($H152="kop",$G152,0))</f>
        <v>0</v>
      </c>
      <c r="AE152" s="148" t="n">
        <f aca="false">VALUE(IF($D152="osl",$C152,0))+VALUE(IF($H152="osl",$G152,0))</f>
        <v>0</v>
      </c>
      <c r="AF152" s="148" t="n">
        <f aca="false">VALUE(IF($D152="vra",$C152,0))+VALUE(IF($H152="vra",$G152,0))</f>
        <v>0</v>
      </c>
      <c r="AG152" s="148" t="n">
        <f aca="false">VALUE(IF($D152="zho",$C152,0))+VALUE(IF($H152="zho",$G152,0))</f>
        <v>0</v>
      </c>
      <c r="AH152" s="148" t="n">
        <f aca="false">VALUE(IF($D152="zbú",$C152,0))+VALUE(IF($H152="zbú",$G152,0))</f>
        <v>0</v>
      </c>
      <c r="AI152" s="148" t="n">
        <f aca="false">VALUE(IF($D152="pří",$C152,0))+VALUE(IF($H152="pří",$G152,0))</f>
        <v>0</v>
      </c>
      <c r="AJ152" s="148" t="n">
        <f aca="false">VALUE(IF($D152="dot",$C152,0))+VALUE(IF($H152="dot",$G152,0))</f>
        <v>0</v>
      </c>
      <c r="AK152" s="148" t="n">
        <f aca="false">VALUE(IF($D152="opř",$C152,0))+VALUE(IF($H152="opř",$G152,0))</f>
        <v>0</v>
      </c>
      <c r="AL152" s="148" t="n">
        <f aca="false">SUM(P152:AK152)</f>
        <v>0</v>
      </c>
      <c r="AN152" s="180" t="str">
        <f aca="false">CONCATENATE('Přehled akce'!$K$4," / ",'Přehled akce'!$K$5)</f>
        <v> / </v>
      </c>
      <c r="AO152" s="181" t="n">
        <f aca="false">IF('Příjmy a výdaje'!$G152="ano",'Příjmy a výdaje'!$B152,0)</f>
        <v>0</v>
      </c>
      <c r="AP152" s="182" t="n">
        <f aca="false">IF('Příjmy a výdaje'!$G152="ano",'Příjmy a výdaje'!$C152,0)</f>
        <v>0</v>
      </c>
      <c r="AQ152" s="183" t="n">
        <f aca="false">'Příjmy a výdaje'!$AP152</f>
        <v>0</v>
      </c>
    </row>
    <row r="153" customFormat="false" ht="12.75" hidden="false" customHeight="false" outlineLevel="0" collapsed="false">
      <c r="A153" s="169" t="n">
        <v>136</v>
      </c>
      <c r="B153" s="250"/>
      <c r="C153" s="194"/>
      <c r="D153" s="174"/>
      <c r="E153" s="188"/>
      <c r="F153" s="223"/>
      <c r="G153" s="224"/>
      <c r="H153" s="190"/>
      <c r="I153" s="195"/>
      <c r="J153" s="178" t="str">
        <f aca="false">IF(AL153=C153,IF(AL153=0,"-","ok"),"chyba")</f>
        <v>-</v>
      </c>
      <c r="K153" s="179"/>
      <c r="L153" s="179"/>
      <c r="M153" s="179"/>
      <c r="N153" s="179"/>
      <c r="P153" s="148" t="n">
        <f aca="false">VALUE(IF($D153="vyb",$C153,0))+VALUE(IF($H153="vyb",$G153,0))</f>
        <v>0</v>
      </c>
      <c r="Q153" s="148" t="n">
        <f aca="false">VALUE(IF($D153="mtv",$C153,0))+VALUE(IF($H153="mtv",$G153,0))</f>
        <v>0</v>
      </c>
      <c r="R153" s="148" t="n">
        <f aca="false">VALUE(IF($D153="mat",$C153,0))+VALUE(IF($H153="mat",$G153,0))</f>
        <v>0</v>
      </c>
      <c r="S153" s="148" t="n">
        <f aca="false">VALUE(IF($D153="pot",$C153,0))+VALUE(IF($H153="pot",$G153,0))</f>
        <v>0</v>
      </c>
      <c r="T153" s="148" t="n">
        <f aca="false">VALUE(IF($D153="táb",$C153,0))+VALUE(IF($H153="táb",$G153,0))</f>
        <v>0</v>
      </c>
      <c r="U153" s="148" t="n">
        <f aca="false">VALUE(IF($D153="oma",$C153,0))+VALUE(IF($H153="oma",$G153,0))</f>
        <v>0</v>
      </c>
      <c r="V153" s="148" t="n">
        <f aca="false">VALUE(IF($D153="ces",$C153,0))+VALUE(IF($H153="ces",$G153,0))</f>
        <v>0</v>
      </c>
      <c r="W153" s="148" t="n">
        <f aca="false">VALUE(IF($D153="poš",$C153,0))+VALUE(IF($H153="poš",$G153,0))</f>
        <v>0</v>
      </c>
      <c r="X153" s="148" t="n">
        <f aca="false">VALUE(IF($D153="tel",$C153,0))+VALUE(IF($H153="tel",$G153,0))</f>
        <v>0</v>
      </c>
      <c r="Y153" s="148" t="n">
        <f aca="false">VALUE(IF($D153="dop",$C153,0))+VALUE(IF($H153="dop",$G153,0))</f>
        <v>0</v>
      </c>
      <c r="Z153" s="148" t="n">
        <f aca="false">VALUE(IF($D153="nák",$C153,0))+VALUE(IF($H153="nák",$G153,0))</f>
        <v>0</v>
      </c>
      <c r="AA153" s="148" t="n">
        <f aca="false">VALUE(IF($D153="náj",$C153,0))+VALUE(IF($H153="náj",$G153,0))</f>
        <v>0</v>
      </c>
      <c r="AB153" s="148" t="n">
        <f aca="false">VALUE(IF($D153="půj",$C153,0))+VALUE(IF($H153="půj",$G153,0))</f>
        <v>0</v>
      </c>
      <c r="AC153" s="148" t="n">
        <f aca="false">VALUE(IF($D153="vst",$C153,0))+VALUE(IF($H153="vst",$G153,0))</f>
        <v>0</v>
      </c>
      <c r="AD153" s="148" t="n">
        <f aca="false">VALUE(IF($D153="kop",$C153,0))+VALUE(IF($H153="kop",$G153,0))</f>
        <v>0</v>
      </c>
      <c r="AE153" s="148" t="n">
        <f aca="false">VALUE(IF($D153="osl",$C153,0))+VALUE(IF($H153="osl",$G153,0))</f>
        <v>0</v>
      </c>
      <c r="AF153" s="148" t="n">
        <f aca="false">VALUE(IF($D153="vra",$C153,0))+VALUE(IF($H153="vra",$G153,0))</f>
        <v>0</v>
      </c>
      <c r="AG153" s="148" t="n">
        <f aca="false">VALUE(IF($D153="zho",$C153,0))+VALUE(IF($H153="zho",$G153,0))</f>
        <v>0</v>
      </c>
      <c r="AH153" s="148" t="n">
        <f aca="false">VALUE(IF($D153="zbú",$C153,0))+VALUE(IF($H153="zbú",$G153,0))</f>
        <v>0</v>
      </c>
      <c r="AI153" s="148" t="n">
        <f aca="false">VALUE(IF($D153="pří",$C153,0))+VALUE(IF($H153="pří",$G153,0))</f>
        <v>0</v>
      </c>
      <c r="AJ153" s="148" t="n">
        <f aca="false">VALUE(IF($D153="dot",$C153,0))+VALUE(IF($H153="dot",$G153,0))</f>
        <v>0</v>
      </c>
      <c r="AK153" s="148" t="n">
        <f aca="false">VALUE(IF($D153="opř",$C153,0))+VALUE(IF($H153="opř",$G153,0))</f>
        <v>0</v>
      </c>
      <c r="AL153" s="148" t="n">
        <f aca="false">SUM(P153:AK153)</f>
        <v>0</v>
      </c>
      <c r="AN153" s="180" t="str">
        <f aca="false">CONCATENATE('Přehled akce'!$K$4," / ",'Přehled akce'!$K$5)</f>
        <v> / </v>
      </c>
      <c r="AO153" s="181" t="n">
        <f aca="false">IF('Příjmy a výdaje'!$G153="ano",'Příjmy a výdaje'!$B153,0)</f>
        <v>0</v>
      </c>
      <c r="AP153" s="182" t="n">
        <f aca="false">IF('Příjmy a výdaje'!$G153="ano",'Příjmy a výdaje'!$C153,0)</f>
        <v>0</v>
      </c>
      <c r="AQ153" s="183" t="n">
        <f aca="false">'Příjmy a výdaje'!$AP153</f>
        <v>0</v>
      </c>
    </row>
    <row r="154" customFormat="false" ht="12.75" hidden="false" customHeight="false" outlineLevel="0" collapsed="false">
      <c r="A154" s="169" t="n">
        <v>137</v>
      </c>
      <c r="B154" s="251"/>
      <c r="C154" s="252"/>
      <c r="D154" s="253"/>
      <c r="E154" s="253"/>
      <c r="F154" s="254"/>
      <c r="G154" s="255"/>
      <c r="H154" s="256"/>
      <c r="I154" s="195"/>
      <c r="J154" s="257" t="str">
        <f aca="false">IF(AL154=C154,IF(AL154=0,"-","ok"),"chyba")</f>
        <v>-</v>
      </c>
      <c r="K154" s="179"/>
      <c r="L154" s="179"/>
      <c r="M154" s="179"/>
      <c r="N154" s="179"/>
      <c r="P154" s="148" t="n">
        <f aca="false">VALUE(IF($D154="vyb",$C154,0))+VALUE(IF($H154="vyb",$G154,0))</f>
        <v>0</v>
      </c>
      <c r="Q154" s="148" t="n">
        <f aca="false">VALUE(IF($D154="mtv",$C154,0))+VALUE(IF($H154="mtv",$G154,0))</f>
        <v>0</v>
      </c>
      <c r="R154" s="148" t="n">
        <f aca="false">VALUE(IF($D154="mat",$C154,0))+VALUE(IF($H154="mat",$G154,0))</f>
        <v>0</v>
      </c>
      <c r="S154" s="148" t="n">
        <f aca="false">VALUE(IF($D154="pot",$C154,0))+VALUE(IF($H154="pot",$G154,0))</f>
        <v>0</v>
      </c>
      <c r="T154" s="148" t="n">
        <f aca="false">VALUE(IF($D154="táb",$C154,0))+VALUE(IF($H154="táb",$G154,0))</f>
        <v>0</v>
      </c>
      <c r="U154" s="148" t="n">
        <f aca="false">VALUE(IF($D154="oma",$C154,0))+VALUE(IF($H154="oma",$G154,0))</f>
        <v>0</v>
      </c>
      <c r="V154" s="148" t="n">
        <f aca="false">VALUE(IF($D154="ces",$C154,0))+VALUE(IF($H154="ces",$G154,0))</f>
        <v>0</v>
      </c>
      <c r="W154" s="148" t="n">
        <f aca="false">VALUE(IF($D154="poš",$C154,0))+VALUE(IF($H154="poš",$G154,0))</f>
        <v>0</v>
      </c>
      <c r="X154" s="148" t="n">
        <f aca="false">VALUE(IF($D154="tel",$C154,0))+VALUE(IF($H154="tel",$G154,0))</f>
        <v>0</v>
      </c>
      <c r="Y154" s="148" t="n">
        <f aca="false">VALUE(IF($D154="dop",$C154,0))+VALUE(IF($H154="dop",$G154,0))</f>
        <v>0</v>
      </c>
      <c r="Z154" s="148" t="n">
        <f aca="false">VALUE(IF($D154="nák",$C154,0))+VALUE(IF($H154="nák",$G154,0))</f>
        <v>0</v>
      </c>
      <c r="AA154" s="148" t="n">
        <f aca="false">VALUE(IF($D154="náj",$C154,0))+VALUE(IF($H154="náj",$G154,0))</f>
        <v>0</v>
      </c>
      <c r="AB154" s="148" t="n">
        <f aca="false">VALUE(IF($D154="půj",$C154,0))+VALUE(IF($H154="půj",$G154,0))</f>
        <v>0</v>
      </c>
      <c r="AC154" s="148" t="n">
        <f aca="false">VALUE(IF($D154="vst",$C154,0))+VALUE(IF($H154="vst",$G154,0))</f>
        <v>0</v>
      </c>
      <c r="AD154" s="148" t="n">
        <f aca="false">VALUE(IF($D154="kop",$C154,0))+VALUE(IF($H154="kop",$G154,0))</f>
        <v>0</v>
      </c>
      <c r="AE154" s="148" t="n">
        <f aca="false">VALUE(IF($D154="osl",$C154,0))+VALUE(IF($H154="osl",$G154,0))</f>
        <v>0</v>
      </c>
      <c r="AF154" s="148" t="n">
        <f aca="false">VALUE(IF($D154="vra",$C154,0))+VALUE(IF($H154="vra",$G154,0))</f>
        <v>0</v>
      </c>
      <c r="AG154" s="148" t="n">
        <f aca="false">VALUE(IF($D154="zho",$C154,0))+VALUE(IF($H154="zho",$G154,0))</f>
        <v>0</v>
      </c>
      <c r="AH154" s="148" t="n">
        <f aca="false">VALUE(IF($D154="zbú",$C154,0))+VALUE(IF($H154="zbú",$G154,0))</f>
        <v>0</v>
      </c>
      <c r="AI154" s="148" t="n">
        <f aca="false">VALUE(IF($D154="pří",$C154,0))+VALUE(IF($H154="pří",$G154,0))</f>
        <v>0</v>
      </c>
      <c r="AJ154" s="148" t="n">
        <f aca="false">VALUE(IF($D154="dot",$C154,0))+VALUE(IF($H154="dot",$G154,0))</f>
        <v>0</v>
      </c>
      <c r="AK154" s="148" t="n">
        <f aca="false">VALUE(IF($D154="opř",$C154,0))+VALUE(IF($H154="opř",$G154,0))</f>
        <v>0</v>
      </c>
      <c r="AL154" s="148" t="n">
        <f aca="false">SUM(P154:AK154)</f>
        <v>0</v>
      </c>
      <c r="AN154" s="180" t="str">
        <f aca="false">CONCATENATE('Přehled akce'!$K$4," / ",'Přehled akce'!$K$5)</f>
        <v> / </v>
      </c>
      <c r="AO154" s="181" t="n">
        <f aca="false">IF('Příjmy a výdaje'!$G154="ano",'Příjmy a výdaje'!$B154,0)</f>
        <v>0</v>
      </c>
      <c r="AP154" s="182" t="n">
        <f aca="false">IF('Příjmy a výdaje'!$G154="ano",'Příjmy a výdaje'!$C154,0)</f>
        <v>0</v>
      </c>
      <c r="AQ154" s="183" t="n">
        <f aca="false">'Příjmy a výdaje'!$AP154</f>
        <v>0</v>
      </c>
    </row>
    <row r="155" customFormat="false" ht="12.75" hidden="false" customHeight="false" outlineLevel="0" collapsed="false">
      <c r="A155" s="169" t="n">
        <v>138</v>
      </c>
      <c r="B155" s="184"/>
      <c r="C155" s="194"/>
      <c r="D155" s="188"/>
      <c r="E155" s="188"/>
      <c r="F155" s="223"/>
      <c r="G155" s="224"/>
      <c r="H155" s="190"/>
      <c r="I155" s="195"/>
      <c r="J155" s="258" t="str">
        <f aca="false">IF(AL155=C155,IF(AL155=0,"-","ok"),"chyba")</f>
        <v>-</v>
      </c>
      <c r="K155" s="179"/>
      <c r="L155" s="179"/>
      <c r="M155" s="179"/>
      <c r="N155" s="179"/>
      <c r="P155" s="148" t="n">
        <f aca="false">VALUE(IF($D155="vyb",$C155,0))+VALUE(IF($H155="vyb",$G155,0))</f>
        <v>0</v>
      </c>
      <c r="Q155" s="148" t="n">
        <f aca="false">VALUE(IF($D155="mtv",$C155,0))+VALUE(IF($H155="mtv",$G155,0))</f>
        <v>0</v>
      </c>
      <c r="R155" s="148" t="n">
        <f aca="false">VALUE(IF($D155="mat",$C155,0))+VALUE(IF($H155="mat",$G155,0))</f>
        <v>0</v>
      </c>
      <c r="S155" s="148" t="n">
        <f aca="false">VALUE(IF($D155="pot",$C155,0))+VALUE(IF($H155="pot",$G155,0))</f>
        <v>0</v>
      </c>
      <c r="T155" s="148" t="n">
        <f aca="false">VALUE(IF($D155="táb",$C155,0))+VALUE(IF($H155="táb",$G155,0))</f>
        <v>0</v>
      </c>
      <c r="U155" s="148" t="n">
        <f aca="false">VALUE(IF($D155="oma",$C155,0))+VALUE(IF($H155="oma",$G155,0))</f>
        <v>0</v>
      </c>
      <c r="V155" s="148" t="n">
        <f aca="false">VALUE(IF($D155="ces",$C155,0))+VALUE(IF($H155="ces",$G155,0))</f>
        <v>0</v>
      </c>
      <c r="W155" s="148" t="n">
        <f aca="false">VALUE(IF($D155="poš",$C155,0))+VALUE(IF($H155="poš",$G155,0))</f>
        <v>0</v>
      </c>
      <c r="X155" s="148" t="n">
        <f aca="false">VALUE(IF($D155="tel",$C155,0))+VALUE(IF($H155="tel",$G155,0))</f>
        <v>0</v>
      </c>
      <c r="Y155" s="148" t="n">
        <f aca="false">VALUE(IF($D155="dop",$C155,0))+VALUE(IF($H155="dop",$G155,0))</f>
        <v>0</v>
      </c>
      <c r="Z155" s="148" t="n">
        <f aca="false">VALUE(IF($D155="nák",$C155,0))+VALUE(IF($H155="nák",$G155,0))</f>
        <v>0</v>
      </c>
      <c r="AA155" s="148" t="n">
        <f aca="false">VALUE(IF($D155="náj",$C155,0))+VALUE(IF($H155="náj",$G155,0))</f>
        <v>0</v>
      </c>
      <c r="AB155" s="148" t="n">
        <f aca="false">VALUE(IF($D155="půj",$C155,0))+VALUE(IF($H155="půj",$G155,0))</f>
        <v>0</v>
      </c>
      <c r="AC155" s="148" t="n">
        <f aca="false">VALUE(IF($D155="vst",$C155,0))+VALUE(IF($H155="vst",$G155,0))</f>
        <v>0</v>
      </c>
      <c r="AD155" s="148" t="n">
        <f aca="false">VALUE(IF($D155="kop",$C155,0))+VALUE(IF($H155="kop",$G155,0))</f>
        <v>0</v>
      </c>
      <c r="AE155" s="148" t="n">
        <f aca="false">VALUE(IF($D155="osl",$C155,0))+VALUE(IF($H155="osl",$G155,0))</f>
        <v>0</v>
      </c>
      <c r="AF155" s="148" t="n">
        <f aca="false">VALUE(IF($D155="vra",$C155,0))+VALUE(IF($H155="vra",$G155,0))</f>
        <v>0</v>
      </c>
      <c r="AG155" s="148" t="n">
        <f aca="false">VALUE(IF($D155="zho",$C155,0))+VALUE(IF($H155="zho",$G155,0))</f>
        <v>0</v>
      </c>
      <c r="AH155" s="148" t="n">
        <f aca="false">VALUE(IF($D155="zbú",$C155,0))+VALUE(IF($H155="zbú",$G155,0))</f>
        <v>0</v>
      </c>
      <c r="AI155" s="148" t="n">
        <f aca="false">VALUE(IF($D155="pří",$C155,0))+VALUE(IF($H155="pří",$G155,0))</f>
        <v>0</v>
      </c>
      <c r="AJ155" s="148" t="n">
        <f aca="false">VALUE(IF($D155="dot",$C155,0))+VALUE(IF($H155="dot",$G155,0))</f>
        <v>0</v>
      </c>
      <c r="AK155" s="148" t="n">
        <f aca="false">VALUE(IF($D155="opř",$C155,0))+VALUE(IF($H155="opř",$G155,0))</f>
        <v>0</v>
      </c>
      <c r="AL155" s="148" t="n">
        <f aca="false">SUM(P155:AK155)</f>
        <v>0</v>
      </c>
      <c r="AN155" s="180" t="str">
        <f aca="false">CONCATENATE('Přehled akce'!$K$4," / ",'Přehled akce'!$K$5)</f>
        <v> / </v>
      </c>
      <c r="AO155" s="181" t="n">
        <f aca="false">IF('Příjmy a výdaje'!$G155="ano",'Příjmy a výdaje'!$B155,0)</f>
        <v>0</v>
      </c>
      <c r="AP155" s="182" t="n">
        <f aca="false">IF('Příjmy a výdaje'!$G155="ano",'Příjmy a výdaje'!$C155,0)</f>
        <v>0</v>
      </c>
      <c r="AQ155" s="183" t="n">
        <f aca="false">'Příjmy a výdaje'!$AP155</f>
        <v>0</v>
      </c>
    </row>
    <row r="156" customFormat="false" ht="12.75" hidden="false" customHeight="false" outlineLevel="0" collapsed="false">
      <c r="A156" s="169" t="n">
        <v>139</v>
      </c>
      <c r="B156" s="184"/>
      <c r="C156" s="194"/>
      <c r="D156" s="174"/>
      <c r="E156" s="188"/>
      <c r="F156" s="223"/>
      <c r="G156" s="224"/>
      <c r="H156" s="190"/>
      <c r="I156" s="195"/>
      <c r="J156" s="178" t="str">
        <f aca="false">IF(AL156=C156,IF(AL156=0,"-","ok"),"chyba")</f>
        <v>-</v>
      </c>
      <c r="K156" s="179"/>
      <c r="L156" s="179"/>
      <c r="M156" s="179"/>
      <c r="N156" s="179"/>
      <c r="P156" s="148" t="n">
        <f aca="false">VALUE(IF($D156="vyb",$C156,0))+VALUE(IF($H156="vyb",$G156,0))</f>
        <v>0</v>
      </c>
      <c r="Q156" s="148" t="n">
        <f aca="false">VALUE(IF($D156="mtv",$C156,0))+VALUE(IF($H156="mtv",$G156,0))</f>
        <v>0</v>
      </c>
      <c r="R156" s="148" t="n">
        <f aca="false">VALUE(IF($D156="mat",$C156,0))+VALUE(IF($H156="mat",$G156,0))</f>
        <v>0</v>
      </c>
      <c r="S156" s="148" t="n">
        <f aca="false">VALUE(IF($D156="pot",$C156,0))+VALUE(IF($H156="pot",$G156,0))</f>
        <v>0</v>
      </c>
      <c r="T156" s="148" t="n">
        <f aca="false">VALUE(IF($D156="táb",$C156,0))+VALUE(IF($H156="táb",$G156,0))</f>
        <v>0</v>
      </c>
      <c r="U156" s="148" t="n">
        <f aca="false">VALUE(IF($D156="oma",$C156,0))+VALUE(IF($H156="oma",$G156,0))</f>
        <v>0</v>
      </c>
      <c r="V156" s="148" t="n">
        <f aca="false">VALUE(IF($D156="ces",$C156,0))+VALUE(IF($H156="ces",$G156,0))</f>
        <v>0</v>
      </c>
      <c r="W156" s="148" t="n">
        <f aca="false">VALUE(IF($D156="poš",$C156,0))+VALUE(IF($H156="poš",$G156,0))</f>
        <v>0</v>
      </c>
      <c r="X156" s="148" t="n">
        <f aca="false">VALUE(IF($D156="tel",$C156,0))+VALUE(IF($H156="tel",$G156,0))</f>
        <v>0</v>
      </c>
      <c r="Y156" s="148" t="n">
        <f aca="false">VALUE(IF($D156="dop",$C156,0))+VALUE(IF($H156="dop",$G156,0))</f>
        <v>0</v>
      </c>
      <c r="Z156" s="148" t="n">
        <f aca="false">VALUE(IF($D156="nák",$C156,0))+VALUE(IF($H156="nák",$G156,0))</f>
        <v>0</v>
      </c>
      <c r="AA156" s="148" t="n">
        <f aca="false">VALUE(IF($D156="náj",$C156,0))+VALUE(IF($H156="náj",$G156,0))</f>
        <v>0</v>
      </c>
      <c r="AB156" s="148" t="n">
        <f aca="false">VALUE(IF($D156="půj",$C156,0))+VALUE(IF($H156="půj",$G156,0))</f>
        <v>0</v>
      </c>
      <c r="AC156" s="148" t="n">
        <f aca="false">VALUE(IF($D156="vst",$C156,0))+VALUE(IF($H156="vst",$G156,0))</f>
        <v>0</v>
      </c>
      <c r="AD156" s="148" t="n">
        <f aca="false">VALUE(IF($D156="kop",$C156,0))+VALUE(IF($H156="kop",$G156,0))</f>
        <v>0</v>
      </c>
      <c r="AE156" s="148" t="n">
        <f aca="false">VALUE(IF($D156="osl",$C156,0))+VALUE(IF($H156="osl",$G156,0))</f>
        <v>0</v>
      </c>
      <c r="AF156" s="148" t="n">
        <f aca="false">VALUE(IF($D156="vra",$C156,0))+VALUE(IF($H156="vra",$G156,0))</f>
        <v>0</v>
      </c>
      <c r="AG156" s="148" t="n">
        <f aca="false">VALUE(IF($D156="zho",$C156,0))+VALUE(IF($H156="zho",$G156,0))</f>
        <v>0</v>
      </c>
      <c r="AH156" s="148" t="n">
        <f aca="false">VALUE(IF($D156="zbú",$C156,0))+VALUE(IF($H156="zbú",$G156,0))</f>
        <v>0</v>
      </c>
      <c r="AI156" s="148" t="n">
        <f aca="false">VALUE(IF($D156="pří",$C156,0))+VALUE(IF($H156="pří",$G156,0))</f>
        <v>0</v>
      </c>
      <c r="AJ156" s="148" t="n">
        <f aca="false">VALUE(IF($D156="dot",$C156,0))+VALUE(IF($H156="dot",$G156,0))</f>
        <v>0</v>
      </c>
      <c r="AK156" s="148" t="n">
        <f aca="false">VALUE(IF($D156="opř",$C156,0))+VALUE(IF($H156="opř",$G156,0))</f>
        <v>0</v>
      </c>
      <c r="AL156" s="148" t="n">
        <f aca="false">SUM(P156:AK156)</f>
        <v>0</v>
      </c>
      <c r="AN156" s="180" t="str">
        <f aca="false">CONCATENATE('Přehled akce'!$K$4," / ",'Přehled akce'!$K$5)</f>
        <v> / </v>
      </c>
      <c r="AO156" s="181" t="n">
        <f aca="false">IF('Příjmy a výdaje'!$G156="ano",'Příjmy a výdaje'!$B156,0)</f>
        <v>0</v>
      </c>
      <c r="AP156" s="182" t="n">
        <f aca="false">IF('Příjmy a výdaje'!$G156="ano",'Příjmy a výdaje'!$C156,0)</f>
        <v>0</v>
      </c>
      <c r="AQ156" s="183" t="n">
        <f aca="false">'Příjmy a výdaje'!$AP156</f>
        <v>0</v>
      </c>
    </row>
    <row r="157" customFormat="false" ht="12.75" hidden="false" customHeight="false" outlineLevel="0" collapsed="false">
      <c r="A157" s="169" t="n">
        <v>140</v>
      </c>
      <c r="B157" s="184"/>
      <c r="C157" s="194"/>
      <c r="D157" s="174"/>
      <c r="E157" s="188"/>
      <c r="F157" s="223"/>
      <c r="G157" s="224"/>
      <c r="H157" s="190"/>
      <c r="I157" s="195"/>
      <c r="J157" s="178" t="str">
        <f aca="false">IF(AL157=C157,IF(AL157=0,"-","ok"),"chyba")</f>
        <v>-</v>
      </c>
      <c r="K157" s="179"/>
      <c r="L157" s="179"/>
      <c r="M157" s="179"/>
      <c r="N157" s="179"/>
      <c r="P157" s="148" t="n">
        <f aca="false">VALUE(IF($D157="vyb",$C157,0))+VALUE(IF($H157="vyb",$G157,0))</f>
        <v>0</v>
      </c>
      <c r="Q157" s="148" t="n">
        <f aca="false">VALUE(IF($D157="mtv",$C157,0))+VALUE(IF($H157="mtv",$G157,0))</f>
        <v>0</v>
      </c>
      <c r="R157" s="148" t="n">
        <f aca="false">VALUE(IF($D157="mat",$C157,0))+VALUE(IF($H157="mat",$G157,0))</f>
        <v>0</v>
      </c>
      <c r="S157" s="148" t="n">
        <f aca="false">VALUE(IF($D157="pot",$C157,0))+VALUE(IF($H157="pot",$G157,0))</f>
        <v>0</v>
      </c>
      <c r="T157" s="148" t="n">
        <f aca="false">VALUE(IF($D157="táb",$C157,0))+VALUE(IF($H157="táb",$G157,0))</f>
        <v>0</v>
      </c>
      <c r="U157" s="148" t="n">
        <f aca="false">VALUE(IF($D157="oma",$C157,0))+VALUE(IF($H157="oma",$G157,0))</f>
        <v>0</v>
      </c>
      <c r="V157" s="148" t="n">
        <f aca="false">VALUE(IF($D157="ces",$C157,0))+VALUE(IF($H157="ces",$G157,0))</f>
        <v>0</v>
      </c>
      <c r="W157" s="148" t="n">
        <f aca="false">VALUE(IF($D157="poš",$C157,0))+VALUE(IF($H157="poš",$G157,0))</f>
        <v>0</v>
      </c>
      <c r="X157" s="148" t="n">
        <f aca="false">VALUE(IF($D157="tel",$C157,0))+VALUE(IF($H157="tel",$G157,0))</f>
        <v>0</v>
      </c>
      <c r="Y157" s="148" t="n">
        <f aca="false">VALUE(IF($D157="dop",$C157,0))+VALUE(IF($H157="dop",$G157,0))</f>
        <v>0</v>
      </c>
      <c r="Z157" s="148" t="n">
        <f aca="false">VALUE(IF($D157="nák",$C157,0))+VALUE(IF($H157="nák",$G157,0))</f>
        <v>0</v>
      </c>
      <c r="AA157" s="148" t="n">
        <f aca="false">VALUE(IF($D157="náj",$C157,0))+VALUE(IF($H157="náj",$G157,0))</f>
        <v>0</v>
      </c>
      <c r="AB157" s="148" t="n">
        <f aca="false">VALUE(IF($D157="půj",$C157,0))+VALUE(IF($H157="půj",$G157,0))</f>
        <v>0</v>
      </c>
      <c r="AC157" s="148" t="n">
        <f aca="false">VALUE(IF($D157="vst",$C157,0))+VALUE(IF($H157="vst",$G157,0))</f>
        <v>0</v>
      </c>
      <c r="AD157" s="148" t="n">
        <f aca="false">VALUE(IF($D157="kop",$C157,0))+VALUE(IF($H157="kop",$G157,0))</f>
        <v>0</v>
      </c>
      <c r="AE157" s="148" t="n">
        <f aca="false">VALUE(IF($D157="osl",$C157,0))+VALUE(IF($H157="osl",$G157,0))</f>
        <v>0</v>
      </c>
      <c r="AF157" s="148" t="n">
        <f aca="false">VALUE(IF($D157="vra",$C157,0))+VALUE(IF($H157="vra",$G157,0))</f>
        <v>0</v>
      </c>
      <c r="AG157" s="148" t="n">
        <f aca="false">VALUE(IF($D157="zho",$C157,0))+VALUE(IF($H157="zho",$G157,0))</f>
        <v>0</v>
      </c>
      <c r="AH157" s="148" t="n">
        <f aca="false">VALUE(IF($D157="zbú",$C157,0))+VALUE(IF($H157="zbú",$G157,0))</f>
        <v>0</v>
      </c>
      <c r="AI157" s="148" t="n">
        <f aca="false">VALUE(IF($D157="pří",$C157,0))+VALUE(IF($H157="pří",$G157,0))</f>
        <v>0</v>
      </c>
      <c r="AJ157" s="148" t="n">
        <f aca="false">VALUE(IF($D157="dot",$C157,0))+VALUE(IF($H157="dot",$G157,0))</f>
        <v>0</v>
      </c>
      <c r="AK157" s="148" t="n">
        <f aca="false">VALUE(IF($D157="opř",$C157,0))+VALUE(IF($H157="opř",$G157,0))</f>
        <v>0</v>
      </c>
      <c r="AL157" s="148" t="n">
        <f aca="false">SUM(P157:AK157)</f>
        <v>0</v>
      </c>
      <c r="AN157" s="180" t="str">
        <f aca="false">CONCATENATE('Přehled akce'!$K$4," / ",'Přehled akce'!$K$5)</f>
        <v> / </v>
      </c>
      <c r="AO157" s="181" t="n">
        <f aca="false">IF('Příjmy a výdaje'!$G157="ano",'Příjmy a výdaje'!$B157,0)</f>
        <v>0</v>
      </c>
      <c r="AP157" s="182" t="n">
        <f aca="false">IF('Příjmy a výdaje'!$G157="ano",'Příjmy a výdaje'!$C157,0)</f>
        <v>0</v>
      </c>
      <c r="AQ157" s="183" t="n">
        <f aca="false">'Příjmy a výdaje'!$AP157</f>
        <v>0</v>
      </c>
    </row>
    <row r="158" customFormat="false" ht="12.75" hidden="false" customHeight="false" outlineLevel="0" collapsed="false">
      <c r="A158" s="169" t="n">
        <v>141</v>
      </c>
      <c r="B158" s="184"/>
      <c r="C158" s="194"/>
      <c r="D158" s="174"/>
      <c r="E158" s="188"/>
      <c r="F158" s="223"/>
      <c r="G158" s="224"/>
      <c r="H158" s="190"/>
      <c r="I158" s="195"/>
      <c r="J158" s="178" t="str">
        <f aca="false">IF(AL158=C158,IF(AL158=0,"-","ok"),"chyba")</f>
        <v>-</v>
      </c>
      <c r="K158" s="179"/>
      <c r="L158" s="179"/>
      <c r="M158" s="179"/>
      <c r="N158" s="179"/>
      <c r="P158" s="148" t="n">
        <f aca="false">VALUE(IF($D158="vyb",$C158,0))+VALUE(IF($H158="vyb",$G158,0))</f>
        <v>0</v>
      </c>
      <c r="Q158" s="148" t="n">
        <f aca="false">VALUE(IF($D158="mtv",$C158,0))+VALUE(IF($H158="mtv",$G158,0))</f>
        <v>0</v>
      </c>
      <c r="R158" s="148" t="n">
        <f aca="false">VALUE(IF($D158="mat",$C158,0))+VALUE(IF($H158="mat",$G158,0))</f>
        <v>0</v>
      </c>
      <c r="S158" s="148" t="n">
        <f aca="false">VALUE(IF($D158="pot",$C158,0))+VALUE(IF($H158="pot",$G158,0))</f>
        <v>0</v>
      </c>
      <c r="T158" s="148" t="n">
        <f aca="false">VALUE(IF($D158="táb",$C158,0))+VALUE(IF($H158="táb",$G158,0))</f>
        <v>0</v>
      </c>
      <c r="U158" s="148" t="n">
        <f aca="false">VALUE(IF($D158="oma",$C158,0))+VALUE(IF($H158="oma",$G158,0))</f>
        <v>0</v>
      </c>
      <c r="V158" s="148" t="n">
        <f aca="false">VALUE(IF($D158="ces",$C158,0))+VALUE(IF($H158="ces",$G158,0))</f>
        <v>0</v>
      </c>
      <c r="W158" s="148" t="n">
        <f aca="false">VALUE(IF($D158="poš",$C158,0))+VALUE(IF($H158="poš",$G158,0))</f>
        <v>0</v>
      </c>
      <c r="X158" s="148" t="n">
        <f aca="false">VALUE(IF($D158="tel",$C158,0))+VALUE(IF($H158="tel",$G158,0))</f>
        <v>0</v>
      </c>
      <c r="Y158" s="148" t="n">
        <f aca="false">VALUE(IF($D158="dop",$C158,0))+VALUE(IF($H158="dop",$G158,0))</f>
        <v>0</v>
      </c>
      <c r="Z158" s="148" t="n">
        <f aca="false">VALUE(IF($D158="nák",$C158,0))+VALUE(IF($H158="nák",$G158,0))</f>
        <v>0</v>
      </c>
      <c r="AA158" s="148" t="n">
        <f aca="false">VALUE(IF($D158="náj",$C158,0))+VALUE(IF($H158="náj",$G158,0))</f>
        <v>0</v>
      </c>
      <c r="AB158" s="148" t="n">
        <f aca="false">VALUE(IF($D158="půj",$C158,0))+VALUE(IF($H158="půj",$G158,0))</f>
        <v>0</v>
      </c>
      <c r="AC158" s="148" t="n">
        <f aca="false">VALUE(IF($D158="vst",$C158,0))+VALUE(IF($H158="vst",$G158,0))</f>
        <v>0</v>
      </c>
      <c r="AD158" s="148" t="n">
        <f aca="false">VALUE(IF($D158="kop",$C158,0))+VALUE(IF($H158="kop",$G158,0))</f>
        <v>0</v>
      </c>
      <c r="AE158" s="148" t="n">
        <f aca="false">VALUE(IF($D158="osl",$C158,0))+VALUE(IF($H158="osl",$G158,0))</f>
        <v>0</v>
      </c>
      <c r="AF158" s="148" t="n">
        <f aca="false">VALUE(IF($D158="vra",$C158,0))+VALUE(IF($H158="vra",$G158,0))</f>
        <v>0</v>
      </c>
      <c r="AG158" s="148" t="n">
        <f aca="false">VALUE(IF($D158="zho",$C158,0))+VALUE(IF($H158="zho",$G158,0))</f>
        <v>0</v>
      </c>
      <c r="AH158" s="148" t="n">
        <f aca="false">VALUE(IF($D158="zbú",$C158,0))+VALUE(IF($H158="zbú",$G158,0))</f>
        <v>0</v>
      </c>
      <c r="AI158" s="148" t="n">
        <f aca="false">VALUE(IF($D158="pří",$C158,0))+VALUE(IF($H158="pří",$G158,0))</f>
        <v>0</v>
      </c>
      <c r="AJ158" s="148" t="n">
        <f aca="false">VALUE(IF($D158="dot",$C158,0))+VALUE(IF($H158="dot",$G158,0))</f>
        <v>0</v>
      </c>
      <c r="AK158" s="148" t="n">
        <f aca="false">VALUE(IF($D158="opř",$C158,0))+VALUE(IF($H158="opř",$G158,0))</f>
        <v>0</v>
      </c>
      <c r="AL158" s="148" t="n">
        <f aca="false">SUM(P158:AK158)</f>
        <v>0</v>
      </c>
      <c r="AN158" s="180" t="str">
        <f aca="false">CONCATENATE('Přehled akce'!$K$4," / ",'Přehled akce'!$K$5)</f>
        <v> / </v>
      </c>
      <c r="AO158" s="181" t="n">
        <f aca="false">IF('Příjmy a výdaje'!$G158="ano",'Příjmy a výdaje'!$B158,0)</f>
        <v>0</v>
      </c>
      <c r="AP158" s="182" t="n">
        <f aca="false">IF('Příjmy a výdaje'!$G158="ano",'Příjmy a výdaje'!$C158,0)</f>
        <v>0</v>
      </c>
      <c r="AQ158" s="183" t="n">
        <f aca="false">'Příjmy a výdaje'!$AP158</f>
        <v>0</v>
      </c>
    </row>
    <row r="159" customFormat="false" ht="12.75" hidden="false" customHeight="false" outlineLevel="0" collapsed="false">
      <c r="A159" s="169" t="n">
        <v>142</v>
      </c>
      <c r="B159" s="184"/>
      <c r="C159" s="194"/>
      <c r="D159" s="188"/>
      <c r="E159" s="188"/>
      <c r="F159" s="223"/>
      <c r="G159" s="224"/>
      <c r="H159" s="190"/>
      <c r="I159" s="195"/>
      <c r="J159" s="178" t="str">
        <f aca="false">IF(AL159=C159,IF(AL159=0,"-","ok"),"chyba")</f>
        <v>-</v>
      </c>
      <c r="K159" s="179"/>
      <c r="L159" s="179"/>
      <c r="M159" s="179"/>
      <c r="N159" s="179"/>
      <c r="P159" s="148" t="n">
        <f aca="false">VALUE(IF($D159="vyb",$C159,0))+VALUE(IF($H159="vyb",$G159,0))</f>
        <v>0</v>
      </c>
      <c r="Q159" s="148" t="n">
        <f aca="false">VALUE(IF($D159="mtv",$C159,0))+VALUE(IF($H159="mtv",$G159,0))</f>
        <v>0</v>
      </c>
      <c r="R159" s="148" t="n">
        <f aca="false">VALUE(IF($D159="mat",$C159,0))+VALUE(IF($H159="mat",$G159,0))</f>
        <v>0</v>
      </c>
      <c r="S159" s="148" t="n">
        <f aca="false">VALUE(IF($D159="pot",$C159,0))+VALUE(IF($H159="pot",$G159,0))</f>
        <v>0</v>
      </c>
      <c r="T159" s="148" t="n">
        <f aca="false">VALUE(IF($D159="táb",$C159,0))+VALUE(IF($H159="táb",$G159,0))</f>
        <v>0</v>
      </c>
      <c r="U159" s="148" t="n">
        <f aca="false">VALUE(IF($D159="oma",$C159,0))+VALUE(IF($H159="oma",$G159,0))</f>
        <v>0</v>
      </c>
      <c r="V159" s="148" t="n">
        <f aca="false">VALUE(IF($D159="ces",$C159,0))+VALUE(IF($H159="ces",$G159,0))</f>
        <v>0</v>
      </c>
      <c r="W159" s="148" t="n">
        <f aca="false">VALUE(IF($D159="poš",$C159,0))+VALUE(IF($H159="poš",$G159,0))</f>
        <v>0</v>
      </c>
      <c r="X159" s="148" t="n">
        <f aca="false">VALUE(IF($D159="tel",$C159,0))+VALUE(IF($H159="tel",$G159,0))</f>
        <v>0</v>
      </c>
      <c r="Y159" s="148" t="n">
        <f aca="false">VALUE(IF($D159="dop",$C159,0))+VALUE(IF($H159="dop",$G159,0))</f>
        <v>0</v>
      </c>
      <c r="Z159" s="148" t="n">
        <f aca="false">VALUE(IF($D159="nák",$C159,0))+VALUE(IF($H159="nák",$G159,0))</f>
        <v>0</v>
      </c>
      <c r="AA159" s="148" t="n">
        <f aca="false">VALUE(IF($D159="náj",$C159,0))+VALUE(IF($H159="náj",$G159,0))</f>
        <v>0</v>
      </c>
      <c r="AB159" s="148" t="n">
        <f aca="false">VALUE(IF($D159="půj",$C159,0))+VALUE(IF($H159="půj",$G159,0))</f>
        <v>0</v>
      </c>
      <c r="AC159" s="148" t="n">
        <f aca="false">VALUE(IF($D159="vst",$C159,0))+VALUE(IF($H159="vst",$G159,0))</f>
        <v>0</v>
      </c>
      <c r="AD159" s="148" t="n">
        <f aca="false">VALUE(IF($D159="kop",$C159,0))+VALUE(IF($H159="kop",$G159,0))</f>
        <v>0</v>
      </c>
      <c r="AE159" s="148" t="n">
        <f aca="false">VALUE(IF($D159="osl",$C159,0))+VALUE(IF($H159="osl",$G159,0))</f>
        <v>0</v>
      </c>
      <c r="AF159" s="148" t="n">
        <f aca="false">VALUE(IF($D159="vra",$C159,0))+VALUE(IF($H159="vra",$G159,0))</f>
        <v>0</v>
      </c>
      <c r="AG159" s="148" t="n">
        <f aca="false">VALUE(IF($D159="zho",$C159,0))+VALUE(IF($H159="zho",$G159,0))</f>
        <v>0</v>
      </c>
      <c r="AH159" s="148" t="n">
        <f aca="false">VALUE(IF($D159="zbú",$C159,0))+VALUE(IF($H159="zbú",$G159,0))</f>
        <v>0</v>
      </c>
      <c r="AI159" s="148" t="n">
        <f aca="false">VALUE(IF($D159="pří",$C159,0))+VALUE(IF($H159="pří",$G159,0))</f>
        <v>0</v>
      </c>
      <c r="AJ159" s="148" t="n">
        <f aca="false">VALUE(IF($D159="dot",$C159,0))+VALUE(IF($H159="dot",$G159,0))</f>
        <v>0</v>
      </c>
      <c r="AK159" s="148" t="n">
        <f aca="false">VALUE(IF($D159="opř",$C159,0))+VALUE(IF($H159="opř",$G159,0))</f>
        <v>0</v>
      </c>
      <c r="AL159" s="148" t="n">
        <f aca="false">SUM(P159:AK159)</f>
        <v>0</v>
      </c>
      <c r="AN159" s="180" t="str">
        <f aca="false">CONCATENATE('Přehled akce'!$K$4," / ",'Přehled akce'!$K$5)</f>
        <v> / </v>
      </c>
      <c r="AO159" s="181" t="n">
        <f aca="false">IF('Příjmy a výdaje'!$G159="ano",'Příjmy a výdaje'!$B159,0)</f>
        <v>0</v>
      </c>
      <c r="AP159" s="182" t="n">
        <f aca="false">IF('Příjmy a výdaje'!$G159="ano",'Příjmy a výdaje'!$C159,0)</f>
        <v>0</v>
      </c>
      <c r="AQ159" s="183" t="n">
        <f aca="false">'Příjmy a výdaje'!$AP159</f>
        <v>0</v>
      </c>
    </row>
    <row r="160" customFormat="false" ht="12.75" hidden="false" customHeight="false" outlineLevel="0" collapsed="false">
      <c r="A160" s="169" t="n">
        <v>143</v>
      </c>
      <c r="B160" s="184"/>
      <c r="C160" s="194"/>
      <c r="D160" s="188"/>
      <c r="E160" s="188"/>
      <c r="F160" s="223"/>
      <c r="G160" s="224"/>
      <c r="H160" s="190"/>
      <c r="I160" s="177"/>
      <c r="J160" s="178" t="str">
        <f aca="false">IF(AL160=C160,IF(AL160=0,"-","ok"),"chyba")</f>
        <v>-</v>
      </c>
      <c r="K160" s="179"/>
      <c r="L160" s="179"/>
      <c r="M160" s="179"/>
      <c r="N160" s="179"/>
      <c r="P160" s="148" t="n">
        <f aca="false">VALUE(IF($D160="vyb",$C160,0))+VALUE(IF($H160="vyb",$G160,0))</f>
        <v>0</v>
      </c>
      <c r="Q160" s="148" t="n">
        <f aca="false">VALUE(IF($D160="mtv",$C160,0))+VALUE(IF($H160="mtv",$G160,0))</f>
        <v>0</v>
      </c>
      <c r="R160" s="148" t="n">
        <f aca="false">VALUE(IF($D160="mat",$C160,0))+VALUE(IF($H160="mat",$G160,0))</f>
        <v>0</v>
      </c>
      <c r="S160" s="148" t="n">
        <f aca="false">VALUE(IF($D160="pot",$C160,0))+VALUE(IF($H160="pot",$G160,0))</f>
        <v>0</v>
      </c>
      <c r="T160" s="148" t="n">
        <f aca="false">VALUE(IF($D160="táb",$C160,0))+VALUE(IF($H160="táb",$G160,0))</f>
        <v>0</v>
      </c>
      <c r="U160" s="148" t="n">
        <f aca="false">VALUE(IF($D160="oma",$C160,0))+VALUE(IF($H160="oma",$G160,0))</f>
        <v>0</v>
      </c>
      <c r="V160" s="148" t="n">
        <f aca="false">VALUE(IF($D160="ces",$C160,0))+VALUE(IF($H160="ces",$G160,0))</f>
        <v>0</v>
      </c>
      <c r="W160" s="148" t="n">
        <f aca="false">VALUE(IF($D160="poš",$C160,0))+VALUE(IF($H160="poš",$G160,0))</f>
        <v>0</v>
      </c>
      <c r="X160" s="148" t="n">
        <f aca="false">VALUE(IF($D160="tel",$C160,0))+VALUE(IF($H160="tel",$G160,0))</f>
        <v>0</v>
      </c>
      <c r="Y160" s="148" t="n">
        <f aca="false">VALUE(IF($D160="dop",$C160,0))+VALUE(IF($H160="dop",$G160,0))</f>
        <v>0</v>
      </c>
      <c r="Z160" s="148" t="n">
        <f aca="false">VALUE(IF($D160="nák",$C160,0))+VALUE(IF($H160="nák",$G160,0))</f>
        <v>0</v>
      </c>
      <c r="AA160" s="148" t="n">
        <f aca="false">VALUE(IF($D160="náj",$C160,0))+VALUE(IF($H160="náj",$G160,0))</f>
        <v>0</v>
      </c>
      <c r="AB160" s="148" t="n">
        <f aca="false">VALUE(IF($D160="půj",$C160,0))+VALUE(IF($H160="půj",$G160,0))</f>
        <v>0</v>
      </c>
      <c r="AC160" s="148" t="n">
        <f aca="false">VALUE(IF($D160="vst",$C160,0))+VALUE(IF($H160="vst",$G160,0))</f>
        <v>0</v>
      </c>
      <c r="AD160" s="148" t="n">
        <f aca="false">VALUE(IF($D160="kop",$C160,0))+VALUE(IF($H160="kop",$G160,0))</f>
        <v>0</v>
      </c>
      <c r="AE160" s="148" t="n">
        <f aca="false">VALUE(IF($D160="osl",$C160,0))+VALUE(IF($H160="osl",$G160,0))</f>
        <v>0</v>
      </c>
      <c r="AF160" s="148" t="n">
        <f aca="false">VALUE(IF($D160="vra",$C160,0))+VALUE(IF($H160="vra",$G160,0))</f>
        <v>0</v>
      </c>
      <c r="AG160" s="148" t="n">
        <f aca="false">VALUE(IF($D160="zho",$C160,0))+VALUE(IF($H160="zho",$G160,0))</f>
        <v>0</v>
      </c>
      <c r="AH160" s="148" t="n">
        <f aca="false">VALUE(IF($D160="zbú",$C160,0))+VALUE(IF($H160="zbú",$G160,0))</f>
        <v>0</v>
      </c>
      <c r="AI160" s="148" t="n">
        <f aca="false">VALUE(IF($D160="pří",$C160,0))+VALUE(IF($H160="pří",$G160,0))</f>
        <v>0</v>
      </c>
      <c r="AJ160" s="148" t="n">
        <f aca="false">VALUE(IF($D160="dot",$C160,0))+VALUE(IF($H160="dot",$G160,0))</f>
        <v>0</v>
      </c>
      <c r="AK160" s="148" t="n">
        <f aca="false">VALUE(IF($D160="opř",$C160,0))+VALUE(IF($H160="opř",$G160,0))</f>
        <v>0</v>
      </c>
      <c r="AL160" s="148" t="n">
        <f aca="false">SUM(P160:AK160)</f>
        <v>0</v>
      </c>
      <c r="AN160" s="180" t="str">
        <f aca="false">CONCATENATE('Přehled akce'!$K$4," / ",'Přehled akce'!$K$5)</f>
        <v> / </v>
      </c>
      <c r="AO160" s="181" t="n">
        <f aca="false">IF('Příjmy a výdaje'!$G160="ano",'Příjmy a výdaje'!$B160,0)</f>
        <v>0</v>
      </c>
      <c r="AP160" s="182" t="n">
        <f aca="false">IF('Příjmy a výdaje'!$G160="ano",'Příjmy a výdaje'!$C160,0)</f>
        <v>0</v>
      </c>
      <c r="AQ160" s="183" t="n">
        <f aca="false">'Příjmy a výdaje'!$AP160</f>
        <v>0</v>
      </c>
    </row>
    <row r="161" customFormat="false" ht="12.75" hidden="false" customHeight="false" outlineLevel="0" collapsed="false">
      <c r="A161" s="169" t="n">
        <v>144</v>
      </c>
      <c r="B161" s="184"/>
      <c r="C161" s="194"/>
      <c r="D161" s="188"/>
      <c r="E161" s="188"/>
      <c r="F161" s="223"/>
      <c r="G161" s="224"/>
      <c r="H161" s="190"/>
      <c r="I161" s="177"/>
      <c r="J161" s="178" t="str">
        <f aca="false">IF(AL161=C161,IF(AL161=0,"-","ok"),"chyba")</f>
        <v>-</v>
      </c>
      <c r="K161" s="179"/>
      <c r="L161" s="179"/>
      <c r="M161" s="179"/>
      <c r="N161" s="179"/>
      <c r="P161" s="148" t="n">
        <f aca="false">VALUE(IF($D161="vyb",$C161,0))+VALUE(IF($H161="vyb",$G161,0))</f>
        <v>0</v>
      </c>
      <c r="Q161" s="148" t="n">
        <f aca="false">VALUE(IF($D161="mtv",$C161,0))+VALUE(IF($H161="mtv",$G161,0))</f>
        <v>0</v>
      </c>
      <c r="R161" s="148" t="n">
        <f aca="false">VALUE(IF($D161="mat",$C161,0))+VALUE(IF($H161="mat",$G161,0))</f>
        <v>0</v>
      </c>
      <c r="S161" s="148" t="n">
        <f aca="false">VALUE(IF($D161="pot",$C161,0))+VALUE(IF($H161="pot",$G161,0))</f>
        <v>0</v>
      </c>
      <c r="T161" s="148" t="n">
        <f aca="false">VALUE(IF($D161="táb",$C161,0))+VALUE(IF($H161="táb",$G161,0))</f>
        <v>0</v>
      </c>
      <c r="U161" s="148" t="n">
        <f aca="false">VALUE(IF($D161="oma",$C161,0))+VALUE(IF($H161="oma",$G161,0))</f>
        <v>0</v>
      </c>
      <c r="V161" s="148" t="n">
        <f aca="false">VALUE(IF($D161="ces",$C161,0))+VALUE(IF($H161="ces",$G161,0))</f>
        <v>0</v>
      </c>
      <c r="W161" s="148" t="n">
        <f aca="false">VALUE(IF($D161="poš",$C161,0))+VALUE(IF($H161="poš",$G161,0))</f>
        <v>0</v>
      </c>
      <c r="X161" s="148" t="n">
        <f aca="false">VALUE(IF($D161="tel",$C161,0))+VALUE(IF($H161="tel",$G161,0))</f>
        <v>0</v>
      </c>
      <c r="Y161" s="148" t="n">
        <f aca="false">VALUE(IF($D161="dop",$C161,0))+VALUE(IF($H161="dop",$G161,0))</f>
        <v>0</v>
      </c>
      <c r="Z161" s="148" t="n">
        <f aca="false">VALUE(IF($D161="nák",$C161,0))+VALUE(IF($H161="nák",$G161,0))</f>
        <v>0</v>
      </c>
      <c r="AA161" s="148" t="n">
        <f aca="false">VALUE(IF($D161="náj",$C161,0))+VALUE(IF($H161="náj",$G161,0))</f>
        <v>0</v>
      </c>
      <c r="AB161" s="148" t="n">
        <f aca="false">VALUE(IF($D161="půj",$C161,0))+VALUE(IF($H161="půj",$G161,0))</f>
        <v>0</v>
      </c>
      <c r="AC161" s="148" t="n">
        <f aca="false">VALUE(IF($D161="vst",$C161,0))+VALUE(IF($H161="vst",$G161,0))</f>
        <v>0</v>
      </c>
      <c r="AD161" s="148" t="n">
        <f aca="false">VALUE(IF($D161="kop",$C161,0))+VALUE(IF($H161="kop",$G161,0))</f>
        <v>0</v>
      </c>
      <c r="AE161" s="148" t="n">
        <f aca="false">VALUE(IF($D161="osl",$C161,0))+VALUE(IF($H161="osl",$G161,0))</f>
        <v>0</v>
      </c>
      <c r="AF161" s="148" t="n">
        <f aca="false">VALUE(IF($D161="vra",$C161,0))+VALUE(IF($H161="vra",$G161,0))</f>
        <v>0</v>
      </c>
      <c r="AG161" s="148" t="n">
        <f aca="false">VALUE(IF($D161="zho",$C161,0))+VALUE(IF($H161="zho",$G161,0))</f>
        <v>0</v>
      </c>
      <c r="AH161" s="148" t="n">
        <f aca="false">VALUE(IF($D161="zbú",$C161,0))+VALUE(IF($H161="zbú",$G161,0))</f>
        <v>0</v>
      </c>
      <c r="AI161" s="148" t="n">
        <f aca="false">VALUE(IF($D161="pří",$C161,0))+VALUE(IF($H161="pří",$G161,0))</f>
        <v>0</v>
      </c>
      <c r="AJ161" s="148" t="n">
        <f aca="false">VALUE(IF($D161="dot",$C161,0))+VALUE(IF($H161="dot",$G161,0))</f>
        <v>0</v>
      </c>
      <c r="AK161" s="148" t="n">
        <f aca="false">VALUE(IF($D161="opř",$C161,0))+VALUE(IF($H161="opř",$G161,0))</f>
        <v>0</v>
      </c>
      <c r="AL161" s="148" t="n">
        <f aca="false">SUM(P161:AK161)</f>
        <v>0</v>
      </c>
      <c r="AN161" s="180" t="str">
        <f aca="false">CONCATENATE('Přehled akce'!$K$4," / ",'Přehled akce'!$K$5)</f>
        <v> / </v>
      </c>
      <c r="AO161" s="181" t="n">
        <f aca="false">IF('Příjmy a výdaje'!$G161="ano",'Příjmy a výdaje'!$B161,0)</f>
        <v>0</v>
      </c>
      <c r="AP161" s="182" t="n">
        <f aca="false">IF('Příjmy a výdaje'!$G161="ano",'Příjmy a výdaje'!$C161,0)</f>
        <v>0</v>
      </c>
      <c r="AQ161" s="183" t="n">
        <f aca="false">'Příjmy a výdaje'!$AP161</f>
        <v>0</v>
      </c>
    </row>
    <row r="162" customFormat="false" ht="12.75" hidden="false" customHeight="false" outlineLevel="0" collapsed="false">
      <c r="A162" s="169" t="n">
        <v>145</v>
      </c>
      <c r="B162" s="184"/>
      <c r="C162" s="194"/>
      <c r="D162" s="188"/>
      <c r="E162" s="188"/>
      <c r="F162" s="223"/>
      <c r="G162" s="224"/>
      <c r="H162" s="190"/>
      <c r="I162" s="177"/>
      <c r="J162" s="178" t="str">
        <f aca="false">IF(AL162=C162,IF(AL162=0,"-","ok"),"chyba")</f>
        <v>-</v>
      </c>
      <c r="K162" s="179"/>
      <c r="L162" s="179"/>
      <c r="M162" s="179"/>
      <c r="N162" s="179"/>
      <c r="P162" s="148" t="n">
        <f aca="false">VALUE(IF($D162="vyb",$C162,0))+VALUE(IF($H162="vyb",$G162,0))</f>
        <v>0</v>
      </c>
      <c r="Q162" s="148" t="n">
        <f aca="false">VALUE(IF($D162="mtv",$C162,0))+VALUE(IF($H162="mtv",$G162,0))</f>
        <v>0</v>
      </c>
      <c r="R162" s="148" t="n">
        <f aca="false">VALUE(IF($D162="mat",$C162,0))+VALUE(IF($H162="mat",$G162,0))</f>
        <v>0</v>
      </c>
      <c r="S162" s="148" t="n">
        <f aca="false">VALUE(IF($D162="pot",$C162,0))+VALUE(IF($H162="pot",$G162,0))</f>
        <v>0</v>
      </c>
      <c r="T162" s="148" t="n">
        <f aca="false">VALUE(IF($D162="táb",$C162,0))+VALUE(IF($H162="táb",$G162,0))</f>
        <v>0</v>
      </c>
      <c r="U162" s="148" t="n">
        <f aca="false">VALUE(IF($D162="oma",$C162,0))+VALUE(IF($H162="oma",$G162,0))</f>
        <v>0</v>
      </c>
      <c r="V162" s="148" t="n">
        <f aca="false">VALUE(IF($D162="ces",$C162,0))+VALUE(IF($H162="ces",$G162,0))</f>
        <v>0</v>
      </c>
      <c r="W162" s="148" t="n">
        <f aca="false">VALUE(IF($D162="poš",$C162,0))+VALUE(IF($H162="poš",$G162,0))</f>
        <v>0</v>
      </c>
      <c r="X162" s="148" t="n">
        <f aca="false">VALUE(IF($D162="tel",$C162,0))+VALUE(IF($H162="tel",$G162,0))</f>
        <v>0</v>
      </c>
      <c r="Y162" s="148" t="n">
        <f aca="false">VALUE(IF($D162="dop",$C162,0))+VALUE(IF($H162="dop",$G162,0))</f>
        <v>0</v>
      </c>
      <c r="Z162" s="148" t="n">
        <f aca="false">VALUE(IF($D162="nák",$C162,0))+VALUE(IF($H162="nák",$G162,0))</f>
        <v>0</v>
      </c>
      <c r="AA162" s="148" t="n">
        <f aca="false">VALUE(IF($D162="náj",$C162,0))+VALUE(IF($H162="náj",$G162,0))</f>
        <v>0</v>
      </c>
      <c r="AB162" s="148" t="n">
        <f aca="false">VALUE(IF($D162="půj",$C162,0))+VALUE(IF($H162="půj",$G162,0))</f>
        <v>0</v>
      </c>
      <c r="AC162" s="148" t="n">
        <f aca="false">VALUE(IF($D162="vst",$C162,0))+VALUE(IF($H162="vst",$G162,0))</f>
        <v>0</v>
      </c>
      <c r="AD162" s="148" t="n">
        <f aca="false">VALUE(IF($D162="kop",$C162,0))+VALUE(IF($H162="kop",$G162,0))</f>
        <v>0</v>
      </c>
      <c r="AE162" s="148" t="n">
        <f aca="false">VALUE(IF($D162="osl",$C162,0))+VALUE(IF($H162="osl",$G162,0))</f>
        <v>0</v>
      </c>
      <c r="AF162" s="148" t="n">
        <f aca="false">VALUE(IF($D162="vra",$C162,0))+VALUE(IF($H162="vra",$G162,0))</f>
        <v>0</v>
      </c>
      <c r="AG162" s="148" t="n">
        <f aca="false">VALUE(IF($D162="zho",$C162,0))+VALUE(IF($H162="zho",$G162,0))</f>
        <v>0</v>
      </c>
      <c r="AH162" s="148" t="n">
        <f aca="false">VALUE(IF($D162="zbú",$C162,0))+VALUE(IF($H162="zbú",$G162,0))</f>
        <v>0</v>
      </c>
      <c r="AI162" s="148" t="n">
        <f aca="false">VALUE(IF($D162="pří",$C162,0))+VALUE(IF($H162="pří",$G162,0))</f>
        <v>0</v>
      </c>
      <c r="AJ162" s="148" t="n">
        <f aca="false">VALUE(IF($D162="dot",$C162,0))+VALUE(IF($H162="dot",$G162,0))</f>
        <v>0</v>
      </c>
      <c r="AK162" s="148" t="n">
        <f aca="false">VALUE(IF($D162="opř",$C162,0))+VALUE(IF($H162="opř",$G162,0))</f>
        <v>0</v>
      </c>
      <c r="AL162" s="148" t="n">
        <f aca="false">SUM(P162:AK162)</f>
        <v>0</v>
      </c>
      <c r="AN162" s="180" t="str">
        <f aca="false">CONCATENATE('Přehled akce'!$K$4," / ",'Přehled akce'!$K$5)</f>
        <v> / </v>
      </c>
      <c r="AO162" s="181" t="n">
        <f aca="false">IF('Příjmy a výdaje'!$G162="ano",'Příjmy a výdaje'!$B162,0)</f>
        <v>0</v>
      </c>
      <c r="AP162" s="182" t="n">
        <f aca="false">IF('Příjmy a výdaje'!$G162="ano",'Příjmy a výdaje'!$C162,0)</f>
        <v>0</v>
      </c>
      <c r="AQ162" s="183" t="n">
        <f aca="false">'Příjmy a výdaje'!$AP162</f>
        <v>0</v>
      </c>
    </row>
    <row r="163" customFormat="false" ht="12.75" hidden="false" customHeight="false" outlineLevel="0" collapsed="false">
      <c r="A163" s="169" t="n">
        <v>146</v>
      </c>
      <c r="B163" s="184"/>
      <c r="C163" s="194"/>
      <c r="D163" s="188"/>
      <c r="E163" s="188"/>
      <c r="F163" s="223"/>
      <c r="G163" s="224"/>
      <c r="H163" s="190"/>
      <c r="I163" s="177"/>
      <c r="J163" s="178" t="str">
        <f aca="false">IF(AL163=C163,IF(AL163=0,"-","ok"),"chyba")</f>
        <v>-</v>
      </c>
      <c r="K163" s="179"/>
      <c r="L163" s="179"/>
      <c r="M163" s="179"/>
      <c r="N163" s="179"/>
      <c r="P163" s="148" t="n">
        <f aca="false">VALUE(IF($D163="vyb",$C163,0))+VALUE(IF($H163="vyb",$G163,0))</f>
        <v>0</v>
      </c>
      <c r="Q163" s="148" t="n">
        <f aca="false">VALUE(IF($D163="mtv",$C163,0))+VALUE(IF($H163="mtv",$G163,0))</f>
        <v>0</v>
      </c>
      <c r="R163" s="148" t="n">
        <f aca="false">VALUE(IF($D163="mat",$C163,0))+VALUE(IF($H163="mat",$G163,0))</f>
        <v>0</v>
      </c>
      <c r="S163" s="148" t="n">
        <f aca="false">VALUE(IF($D163="pot",$C163,0))+VALUE(IF($H163="pot",$G163,0))</f>
        <v>0</v>
      </c>
      <c r="T163" s="148" t="n">
        <f aca="false">VALUE(IF($D163="táb",$C163,0))+VALUE(IF($H163="táb",$G163,0))</f>
        <v>0</v>
      </c>
      <c r="U163" s="148" t="n">
        <f aca="false">VALUE(IF($D163="oma",$C163,0))+VALUE(IF($H163="oma",$G163,0))</f>
        <v>0</v>
      </c>
      <c r="V163" s="148" t="n">
        <f aca="false">VALUE(IF($D163="ces",$C163,0))+VALUE(IF($H163="ces",$G163,0))</f>
        <v>0</v>
      </c>
      <c r="W163" s="148" t="n">
        <f aca="false">VALUE(IF($D163="poš",$C163,0))+VALUE(IF($H163="poš",$G163,0))</f>
        <v>0</v>
      </c>
      <c r="X163" s="148" t="n">
        <f aca="false">VALUE(IF($D163="tel",$C163,0))+VALUE(IF($H163="tel",$G163,0))</f>
        <v>0</v>
      </c>
      <c r="Y163" s="148" t="n">
        <f aca="false">VALUE(IF($D163="dop",$C163,0))+VALUE(IF($H163="dop",$G163,0))</f>
        <v>0</v>
      </c>
      <c r="Z163" s="148" t="n">
        <f aca="false">VALUE(IF($D163="nák",$C163,0))+VALUE(IF($H163="nák",$G163,0))</f>
        <v>0</v>
      </c>
      <c r="AA163" s="148" t="n">
        <f aca="false">VALUE(IF($D163="náj",$C163,0))+VALUE(IF($H163="náj",$G163,0))</f>
        <v>0</v>
      </c>
      <c r="AB163" s="148" t="n">
        <f aca="false">VALUE(IF($D163="půj",$C163,0))+VALUE(IF($H163="půj",$G163,0))</f>
        <v>0</v>
      </c>
      <c r="AC163" s="148" t="n">
        <f aca="false">VALUE(IF($D163="vst",$C163,0))+VALUE(IF($H163="vst",$G163,0))</f>
        <v>0</v>
      </c>
      <c r="AD163" s="148" t="n">
        <f aca="false">VALUE(IF($D163="kop",$C163,0))+VALUE(IF($H163="kop",$G163,0))</f>
        <v>0</v>
      </c>
      <c r="AE163" s="148" t="n">
        <f aca="false">VALUE(IF($D163="osl",$C163,0))+VALUE(IF($H163="osl",$G163,0))</f>
        <v>0</v>
      </c>
      <c r="AF163" s="148" t="n">
        <f aca="false">VALUE(IF($D163="vra",$C163,0))+VALUE(IF($H163="vra",$G163,0))</f>
        <v>0</v>
      </c>
      <c r="AG163" s="148" t="n">
        <f aca="false">VALUE(IF($D163="zho",$C163,0))+VALUE(IF($H163="zho",$G163,0))</f>
        <v>0</v>
      </c>
      <c r="AH163" s="148" t="n">
        <f aca="false">VALUE(IF($D163="zbú",$C163,0))+VALUE(IF($H163="zbú",$G163,0))</f>
        <v>0</v>
      </c>
      <c r="AI163" s="148" t="n">
        <f aca="false">VALUE(IF($D163="pří",$C163,0))+VALUE(IF($H163="pří",$G163,0))</f>
        <v>0</v>
      </c>
      <c r="AJ163" s="148" t="n">
        <f aca="false">VALUE(IF($D163="dot",$C163,0))+VALUE(IF($H163="dot",$G163,0))</f>
        <v>0</v>
      </c>
      <c r="AK163" s="148" t="n">
        <f aca="false">VALUE(IF($D163="opř",$C163,0))+VALUE(IF($H163="opř",$G163,0))</f>
        <v>0</v>
      </c>
      <c r="AL163" s="148" t="n">
        <f aca="false">SUM(P163:AK163)</f>
        <v>0</v>
      </c>
      <c r="AN163" s="180" t="str">
        <f aca="false">CONCATENATE('Přehled akce'!$K$4," / ",'Přehled akce'!$K$5)</f>
        <v> / </v>
      </c>
      <c r="AO163" s="181" t="n">
        <f aca="false">IF('Příjmy a výdaje'!$G163="ano",'Příjmy a výdaje'!$B163,0)</f>
        <v>0</v>
      </c>
      <c r="AP163" s="182" t="n">
        <f aca="false">IF('Příjmy a výdaje'!$G163="ano",'Příjmy a výdaje'!$C163,0)</f>
        <v>0</v>
      </c>
      <c r="AQ163" s="183" t="n">
        <f aca="false">'Příjmy a výdaje'!$AP163</f>
        <v>0</v>
      </c>
    </row>
    <row r="164" customFormat="false" ht="12.75" hidden="false" customHeight="false" outlineLevel="0" collapsed="false">
      <c r="A164" s="169" t="n">
        <v>147</v>
      </c>
      <c r="B164" s="184"/>
      <c r="C164" s="194"/>
      <c r="D164" s="188"/>
      <c r="E164" s="188"/>
      <c r="F164" s="223"/>
      <c r="G164" s="224"/>
      <c r="H164" s="190"/>
      <c r="I164" s="177"/>
      <c r="J164" s="178" t="str">
        <f aca="false">IF(AL164=C164,IF(AL164=0,"-","ok"),"chyba")</f>
        <v>-</v>
      </c>
      <c r="K164" s="179"/>
      <c r="L164" s="179"/>
      <c r="M164" s="179"/>
      <c r="N164" s="179"/>
      <c r="P164" s="148" t="n">
        <f aca="false">VALUE(IF($D164="vyb",$C164,0))+VALUE(IF($H164="vyb",$G164,0))</f>
        <v>0</v>
      </c>
      <c r="Q164" s="148" t="n">
        <f aca="false">VALUE(IF($D164="mtv",$C164,0))+VALUE(IF($H164="mtv",$G164,0))</f>
        <v>0</v>
      </c>
      <c r="R164" s="148" t="n">
        <f aca="false">VALUE(IF($D164="mat",$C164,0))+VALUE(IF($H164="mat",$G164,0))</f>
        <v>0</v>
      </c>
      <c r="S164" s="148" t="n">
        <f aca="false">VALUE(IF($D164="pot",$C164,0))+VALUE(IF($H164="pot",$G164,0))</f>
        <v>0</v>
      </c>
      <c r="T164" s="148" t="n">
        <f aca="false">VALUE(IF($D164="táb",$C164,0))+VALUE(IF($H164="táb",$G164,0))</f>
        <v>0</v>
      </c>
      <c r="U164" s="148" t="n">
        <f aca="false">VALUE(IF($D164="oma",$C164,0))+VALUE(IF($H164="oma",$G164,0))</f>
        <v>0</v>
      </c>
      <c r="V164" s="148" t="n">
        <f aca="false">VALUE(IF($D164="ces",$C164,0))+VALUE(IF($H164="ces",$G164,0))</f>
        <v>0</v>
      </c>
      <c r="W164" s="148" t="n">
        <f aca="false">VALUE(IF($D164="poš",$C164,0))+VALUE(IF($H164="poš",$G164,0))</f>
        <v>0</v>
      </c>
      <c r="X164" s="148" t="n">
        <f aca="false">VALUE(IF($D164="tel",$C164,0))+VALUE(IF($H164="tel",$G164,0))</f>
        <v>0</v>
      </c>
      <c r="Y164" s="148" t="n">
        <f aca="false">VALUE(IF($D164="dop",$C164,0))+VALUE(IF($H164="dop",$G164,0))</f>
        <v>0</v>
      </c>
      <c r="Z164" s="148" t="n">
        <f aca="false">VALUE(IF($D164="nák",$C164,0))+VALUE(IF($H164="nák",$G164,0))</f>
        <v>0</v>
      </c>
      <c r="AA164" s="148" t="n">
        <f aca="false">VALUE(IF($D164="náj",$C164,0))+VALUE(IF($H164="náj",$G164,0))</f>
        <v>0</v>
      </c>
      <c r="AB164" s="148" t="n">
        <f aca="false">VALUE(IF($D164="půj",$C164,0))+VALUE(IF($H164="půj",$G164,0))</f>
        <v>0</v>
      </c>
      <c r="AC164" s="148" t="n">
        <f aca="false">VALUE(IF($D164="vst",$C164,0))+VALUE(IF($H164="vst",$G164,0))</f>
        <v>0</v>
      </c>
      <c r="AD164" s="148" t="n">
        <f aca="false">VALUE(IF($D164="kop",$C164,0))+VALUE(IF($H164="kop",$G164,0))</f>
        <v>0</v>
      </c>
      <c r="AE164" s="148" t="n">
        <f aca="false">VALUE(IF($D164="osl",$C164,0))+VALUE(IF($H164="osl",$G164,0))</f>
        <v>0</v>
      </c>
      <c r="AF164" s="148" t="n">
        <f aca="false">VALUE(IF($D164="vra",$C164,0))+VALUE(IF($H164="vra",$G164,0))</f>
        <v>0</v>
      </c>
      <c r="AG164" s="148" t="n">
        <f aca="false">VALUE(IF($D164="zho",$C164,0))+VALUE(IF($H164="zho",$G164,0))</f>
        <v>0</v>
      </c>
      <c r="AH164" s="148" t="n">
        <f aca="false">VALUE(IF($D164="zbú",$C164,0))+VALUE(IF($H164="zbú",$G164,0))</f>
        <v>0</v>
      </c>
      <c r="AI164" s="148" t="n">
        <f aca="false">VALUE(IF($D164="pří",$C164,0))+VALUE(IF($H164="pří",$G164,0))</f>
        <v>0</v>
      </c>
      <c r="AJ164" s="148" t="n">
        <f aca="false">VALUE(IF($D164="dot",$C164,0))+VALUE(IF($H164="dot",$G164,0))</f>
        <v>0</v>
      </c>
      <c r="AK164" s="148" t="n">
        <f aca="false">VALUE(IF($D164="opř",$C164,0))+VALUE(IF($H164="opř",$G164,0))</f>
        <v>0</v>
      </c>
      <c r="AL164" s="148" t="n">
        <f aca="false">SUM(P164:AK164)</f>
        <v>0</v>
      </c>
      <c r="AN164" s="180" t="str">
        <f aca="false">CONCATENATE('Přehled akce'!$K$4," / ",'Přehled akce'!$K$5)</f>
        <v> / </v>
      </c>
      <c r="AO164" s="181" t="n">
        <f aca="false">IF('Příjmy a výdaje'!$G164="ano",'Příjmy a výdaje'!$B164,0)</f>
        <v>0</v>
      </c>
      <c r="AP164" s="182" t="n">
        <f aca="false">IF('Příjmy a výdaje'!$G164="ano",'Příjmy a výdaje'!$C164,0)</f>
        <v>0</v>
      </c>
      <c r="AQ164" s="183" t="n">
        <f aca="false">'Příjmy a výdaje'!$AP164</f>
        <v>0</v>
      </c>
    </row>
    <row r="165" customFormat="false" ht="12.75" hidden="false" customHeight="false" outlineLevel="0" collapsed="false">
      <c r="A165" s="169" t="n">
        <v>148</v>
      </c>
      <c r="B165" s="184"/>
      <c r="C165" s="194"/>
      <c r="D165" s="188"/>
      <c r="E165" s="188"/>
      <c r="F165" s="223"/>
      <c r="G165" s="224"/>
      <c r="H165" s="190"/>
      <c r="I165" s="177"/>
      <c r="J165" s="178" t="str">
        <f aca="false">IF(AL165=C165,IF(AL165=0,"-","ok"),"chyba")</f>
        <v>-</v>
      </c>
      <c r="K165" s="179"/>
      <c r="L165" s="179"/>
      <c r="M165" s="179"/>
      <c r="N165" s="179"/>
      <c r="P165" s="148" t="n">
        <f aca="false">VALUE(IF($D165="vyb",$C165,0))+VALUE(IF($H165="vyb",$G165,0))</f>
        <v>0</v>
      </c>
      <c r="Q165" s="148" t="n">
        <f aca="false">VALUE(IF($D165="mtv",$C165,0))+VALUE(IF($H165="mtv",$G165,0))</f>
        <v>0</v>
      </c>
      <c r="R165" s="148" t="n">
        <f aca="false">VALUE(IF($D165="mat",$C165,0))+VALUE(IF($H165="mat",$G165,0))</f>
        <v>0</v>
      </c>
      <c r="S165" s="148" t="n">
        <f aca="false">VALUE(IF($D165="pot",$C165,0))+VALUE(IF($H165="pot",$G165,0))</f>
        <v>0</v>
      </c>
      <c r="T165" s="148" t="n">
        <f aca="false">VALUE(IF($D165="táb",$C165,0))+VALUE(IF($H165="táb",$G165,0))</f>
        <v>0</v>
      </c>
      <c r="U165" s="148" t="n">
        <f aca="false">VALUE(IF($D165="oma",$C165,0))+VALUE(IF($H165="oma",$G165,0))</f>
        <v>0</v>
      </c>
      <c r="V165" s="148" t="n">
        <f aca="false">VALUE(IF($D165="ces",$C165,0))+VALUE(IF($H165="ces",$G165,0))</f>
        <v>0</v>
      </c>
      <c r="W165" s="148" t="n">
        <f aca="false">VALUE(IF($D165="poš",$C165,0))+VALUE(IF($H165="poš",$G165,0))</f>
        <v>0</v>
      </c>
      <c r="X165" s="148" t="n">
        <f aca="false">VALUE(IF($D165="tel",$C165,0))+VALUE(IF($H165="tel",$G165,0))</f>
        <v>0</v>
      </c>
      <c r="Y165" s="148" t="n">
        <f aca="false">VALUE(IF($D165="dop",$C165,0))+VALUE(IF($H165="dop",$G165,0))</f>
        <v>0</v>
      </c>
      <c r="Z165" s="148" t="n">
        <f aca="false">VALUE(IF($D165="nák",$C165,0))+VALUE(IF($H165="nák",$G165,0))</f>
        <v>0</v>
      </c>
      <c r="AA165" s="148" t="n">
        <f aca="false">VALUE(IF($D165="náj",$C165,0))+VALUE(IF($H165="náj",$G165,0))</f>
        <v>0</v>
      </c>
      <c r="AB165" s="148" t="n">
        <f aca="false">VALUE(IF($D165="půj",$C165,0))+VALUE(IF($H165="půj",$G165,0))</f>
        <v>0</v>
      </c>
      <c r="AC165" s="148" t="n">
        <f aca="false">VALUE(IF($D165="vst",$C165,0))+VALUE(IF($H165="vst",$G165,0))</f>
        <v>0</v>
      </c>
      <c r="AD165" s="148" t="n">
        <f aca="false">VALUE(IF($D165="kop",$C165,0))+VALUE(IF($H165="kop",$G165,0))</f>
        <v>0</v>
      </c>
      <c r="AE165" s="148" t="n">
        <f aca="false">VALUE(IF($D165="osl",$C165,0))+VALUE(IF($H165="osl",$G165,0))</f>
        <v>0</v>
      </c>
      <c r="AF165" s="148" t="n">
        <f aca="false">VALUE(IF($D165="vra",$C165,0))+VALUE(IF($H165="vra",$G165,0))</f>
        <v>0</v>
      </c>
      <c r="AG165" s="148" t="n">
        <f aca="false">VALUE(IF($D165="zho",$C165,0))+VALUE(IF($H165="zho",$G165,0))</f>
        <v>0</v>
      </c>
      <c r="AH165" s="148" t="n">
        <f aca="false">VALUE(IF($D165="zbú",$C165,0))+VALUE(IF($H165="zbú",$G165,0))</f>
        <v>0</v>
      </c>
      <c r="AI165" s="148" t="n">
        <f aca="false">VALUE(IF($D165="pří",$C165,0))+VALUE(IF($H165="pří",$G165,0))</f>
        <v>0</v>
      </c>
      <c r="AJ165" s="148" t="n">
        <f aca="false">VALUE(IF($D165="dot",$C165,0))+VALUE(IF($H165="dot",$G165,0))</f>
        <v>0</v>
      </c>
      <c r="AK165" s="148" t="n">
        <f aca="false">VALUE(IF($D165="opř",$C165,0))+VALUE(IF($H165="opř",$G165,0))</f>
        <v>0</v>
      </c>
      <c r="AL165" s="148" t="n">
        <f aca="false">SUM(P165:AK165)</f>
        <v>0</v>
      </c>
      <c r="AN165" s="180" t="str">
        <f aca="false">CONCATENATE('Přehled akce'!$K$4," / ",'Přehled akce'!$K$5)</f>
        <v> / </v>
      </c>
      <c r="AO165" s="181" t="n">
        <f aca="false">IF('Příjmy a výdaje'!$G165="ano",'Příjmy a výdaje'!$B165,0)</f>
        <v>0</v>
      </c>
      <c r="AP165" s="182" t="n">
        <f aca="false">IF('Příjmy a výdaje'!$G165="ano",'Příjmy a výdaje'!$C165,0)</f>
        <v>0</v>
      </c>
      <c r="AQ165" s="183" t="n">
        <f aca="false">'Příjmy a výdaje'!$AP165</f>
        <v>0</v>
      </c>
    </row>
    <row r="166" customFormat="false" ht="12.75" hidden="false" customHeight="false" outlineLevel="0" collapsed="false">
      <c r="A166" s="169" t="n">
        <v>149</v>
      </c>
      <c r="B166" s="184"/>
      <c r="C166" s="194"/>
      <c r="D166" s="188"/>
      <c r="E166" s="188"/>
      <c r="F166" s="223"/>
      <c r="G166" s="224"/>
      <c r="H166" s="190"/>
      <c r="I166" s="177"/>
      <c r="J166" s="178" t="str">
        <f aca="false">IF(AL166=C166,IF(AL166=0,"-","ok"),"chyba")</f>
        <v>-</v>
      </c>
      <c r="K166" s="179"/>
      <c r="L166" s="179"/>
      <c r="M166" s="179"/>
      <c r="N166" s="179"/>
      <c r="P166" s="148" t="n">
        <f aca="false">VALUE(IF($D166="vyb",$C166,0))+VALUE(IF($H166="vyb",$G166,0))</f>
        <v>0</v>
      </c>
      <c r="Q166" s="148" t="n">
        <f aca="false">VALUE(IF($D166="mtv",$C166,0))+VALUE(IF($H166="mtv",$G166,0))</f>
        <v>0</v>
      </c>
      <c r="R166" s="148" t="n">
        <f aca="false">VALUE(IF($D166="mat",$C166,0))+VALUE(IF($H166="mat",$G166,0))</f>
        <v>0</v>
      </c>
      <c r="S166" s="148" t="n">
        <f aca="false">VALUE(IF($D166="pot",$C166,0))+VALUE(IF($H166="pot",$G166,0))</f>
        <v>0</v>
      </c>
      <c r="T166" s="148" t="n">
        <f aca="false">VALUE(IF($D166="táb",$C166,0))+VALUE(IF($H166="táb",$G166,0))</f>
        <v>0</v>
      </c>
      <c r="U166" s="148" t="n">
        <f aca="false">VALUE(IF($D166="oma",$C166,0))+VALUE(IF($H166="oma",$G166,0))</f>
        <v>0</v>
      </c>
      <c r="V166" s="148" t="n">
        <f aca="false">VALUE(IF($D166="ces",$C166,0))+VALUE(IF($H166="ces",$G166,0))</f>
        <v>0</v>
      </c>
      <c r="W166" s="148" t="n">
        <f aca="false">VALUE(IF($D166="poš",$C166,0))+VALUE(IF($H166="poš",$G166,0))</f>
        <v>0</v>
      </c>
      <c r="X166" s="148" t="n">
        <f aca="false">VALUE(IF($D166="tel",$C166,0))+VALUE(IF($H166="tel",$G166,0))</f>
        <v>0</v>
      </c>
      <c r="Y166" s="148" t="n">
        <f aca="false">VALUE(IF($D166="dop",$C166,0))+VALUE(IF($H166="dop",$G166,0))</f>
        <v>0</v>
      </c>
      <c r="Z166" s="148" t="n">
        <f aca="false">VALUE(IF($D166="nák",$C166,0))+VALUE(IF($H166="nák",$G166,0))</f>
        <v>0</v>
      </c>
      <c r="AA166" s="148" t="n">
        <f aca="false">VALUE(IF($D166="náj",$C166,0))+VALUE(IF($H166="náj",$G166,0))</f>
        <v>0</v>
      </c>
      <c r="AB166" s="148" t="n">
        <f aca="false">VALUE(IF($D166="půj",$C166,0))+VALUE(IF($H166="půj",$G166,0))</f>
        <v>0</v>
      </c>
      <c r="AC166" s="148" t="n">
        <f aca="false">VALUE(IF($D166="vst",$C166,0))+VALUE(IF($H166="vst",$G166,0))</f>
        <v>0</v>
      </c>
      <c r="AD166" s="148" t="n">
        <f aca="false">VALUE(IF($D166="kop",$C166,0))+VALUE(IF($H166="kop",$G166,0))</f>
        <v>0</v>
      </c>
      <c r="AE166" s="148" t="n">
        <f aca="false">VALUE(IF($D166="osl",$C166,0))+VALUE(IF($H166="osl",$G166,0))</f>
        <v>0</v>
      </c>
      <c r="AF166" s="148" t="n">
        <f aca="false">VALUE(IF($D166="vra",$C166,0))+VALUE(IF($H166="vra",$G166,0))</f>
        <v>0</v>
      </c>
      <c r="AG166" s="148" t="n">
        <f aca="false">VALUE(IF($D166="zho",$C166,0))+VALUE(IF($H166="zho",$G166,0))</f>
        <v>0</v>
      </c>
      <c r="AH166" s="148" t="n">
        <f aca="false">VALUE(IF($D166="zbú",$C166,0))+VALUE(IF($H166="zbú",$G166,0))</f>
        <v>0</v>
      </c>
      <c r="AI166" s="148" t="n">
        <f aca="false">VALUE(IF($D166="pří",$C166,0))+VALUE(IF($H166="pří",$G166,0))</f>
        <v>0</v>
      </c>
      <c r="AJ166" s="148" t="n">
        <f aca="false">VALUE(IF($D166="dot",$C166,0))+VALUE(IF($H166="dot",$G166,0))</f>
        <v>0</v>
      </c>
      <c r="AK166" s="148" t="n">
        <f aca="false">VALUE(IF($D166="opř",$C166,0))+VALUE(IF($H166="opř",$G166,0))</f>
        <v>0</v>
      </c>
      <c r="AL166" s="148" t="n">
        <f aca="false">SUM(P166:AK166)</f>
        <v>0</v>
      </c>
      <c r="AN166" s="180" t="str">
        <f aca="false">CONCATENATE('Přehled akce'!$K$4," / ",'Přehled akce'!$K$5)</f>
        <v> / </v>
      </c>
      <c r="AO166" s="181" t="n">
        <f aca="false">IF('Příjmy a výdaje'!$G166="ano",'Příjmy a výdaje'!$B166,0)</f>
        <v>0</v>
      </c>
      <c r="AP166" s="182" t="n">
        <f aca="false">IF('Příjmy a výdaje'!$G166="ano",'Příjmy a výdaje'!$C166,0)</f>
        <v>0</v>
      </c>
      <c r="AQ166" s="183" t="n">
        <f aca="false">'Příjmy a výdaje'!$AP166</f>
        <v>0</v>
      </c>
    </row>
    <row r="167" customFormat="false" ht="12.75" hidden="false" customHeight="false" outlineLevel="0" collapsed="false">
      <c r="A167" s="169" t="n">
        <v>150</v>
      </c>
      <c r="B167" s="184"/>
      <c r="C167" s="194"/>
      <c r="D167" s="188"/>
      <c r="E167" s="188"/>
      <c r="F167" s="223"/>
      <c r="G167" s="224"/>
      <c r="H167" s="190"/>
      <c r="I167" s="177"/>
      <c r="J167" s="178" t="str">
        <f aca="false">IF(AL167=C167,IF(AL167=0,"-","ok"),"chyba")</f>
        <v>-</v>
      </c>
      <c r="K167" s="179"/>
      <c r="L167" s="179"/>
      <c r="M167" s="179"/>
      <c r="N167" s="179"/>
      <c r="P167" s="148" t="n">
        <f aca="false">VALUE(IF($D167="vyb",$C167,0))+VALUE(IF($H167="vyb",$G167,0))</f>
        <v>0</v>
      </c>
      <c r="Q167" s="148" t="n">
        <f aca="false">VALUE(IF($D167="mtv",$C167,0))+VALUE(IF($H167="mtv",$G167,0))</f>
        <v>0</v>
      </c>
      <c r="R167" s="148" t="n">
        <f aca="false">VALUE(IF($D167="mat",$C167,0))+VALUE(IF($H167="mat",$G167,0))</f>
        <v>0</v>
      </c>
      <c r="S167" s="148" t="n">
        <f aca="false">VALUE(IF($D167="pot",$C167,0))+VALUE(IF($H167="pot",$G167,0))</f>
        <v>0</v>
      </c>
      <c r="T167" s="148" t="n">
        <f aca="false">VALUE(IF($D167="táb",$C167,0))+VALUE(IF($H167="táb",$G167,0))</f>
        <v>0</v>
      </c>
      <c r="U167" s="148" t="n">
        <f aca="false">VALUE(IF($D167="oma",$C167,0))+VALUE(IF($H167="oma",$G167,0))</f>
        <v>0</v>
      </c>
      <c r="V167" s="148" t="n">
        <f aca="false">VALUE(IF($D167="ces",$C167,0))+VALUE(IF($H167="ces",$G167,0))</f>
        <v>0</v>
      </c>
      <c r="W167" s="148" t="n">
        <f aca="false">VALUE(IF($D167="poš",$C167,0))+VALUE(IF($H167="poš",$G167,0))</f>
        <v>0</v>
      </c>
      <c r="X167" s="148" t="n">
        <f aca="false">VALUE(IF($D167="tel",$C167,0))+VALUE(IF($H167="tel",$G167,0))</f>
        <v>0</v>
      </c>
      <c r="Y167" s="148" t="n">
        <f aca="false">VALUE(IF($D167="dop",$C167,0))+VALUE(IF($H167="dop",$G167,0))</f>
        <v>0</v>
      </c>
      <c r="Z167" s="148" t="n">
        <f aca="false">VALUE(IF($D167="nák",$C167,0))+VALUE(IF($H167="nák",$G167,0))</f>
        <v>0</v>
      </c>
      <c r="AA167" s="148" t="n">
        <f aca="false">VALUE(IF($D167="náj",$C167,0))+VALUE(IF($H167="náj",$G167,0))</f>
        <v>0</v>
      </c>
      <c r="AB167" s="148" t="n">
        <f aca="false">VALUE(IF($D167="půj",$C167,0))+VALUE(IF($H167="půj",$G167,0))</f>
        <v>0</v>
      </c>
      <c r="AC167" s="148" t="n">
        <f aca="false">VALUE(IF($D167="vst",$C167,0))+VALUE(IF($H167="vst",$G167,0))</f>
        <v>0</v>
      </c>
      <c r="AD167" s="148" t="n">
        <f aca="false">VALUE(IF($D167="kop",$C167,0))+VALUE(IF($H167="kop",$G167,0))</f>
        <v>0</v>
      </c>
      <c r="AE167" s="148" t="n">
        <f aca="false">VALUE(IF($D167="osl",$C167,0))+VALUE(IF($H167="osl",$G167,0))</f>
        <v>0</v>
      </c>
      <c r="AF167" s="148" t="n">
        <f aca="false">VALUE(IF($D167="vra",$C167,0))+VALUE(IF($H167="vra",$G167,0))</f>
        <v>0</v>
      </c>
      <c r="AG167" s="148" t="n">
        <f aca="false">VALUE(IF($D167="zho",$C167,0))+VALUE(IF($H167="zho",$G167,0))</f>
        <v>0</v>
      </c>
      <c r="AH167" s="148" t="n">
        <f aca="false">VALUE(IF($D167="zbú",$C167,0))+VALUE(IF($H167="zbú",$G167,0))</f>
        <v>0</v>
      </c>
      <c r="AI167" s="148" t="n">
        <f aca="false">VALUE(IF($D167="pří",$C167,0))+VALUE(IF($H167="pří",$G167,0))</f>
        <v>0</v>
      </c>
      <c r="AJ167" s="148" t="n">
        <f aca="false">VALUE(IF($D167="dot",$C167,0))+VALUE(IF($H167="dot",$G167,0))</f>
        <v>0</v>
      </c>
      <c r="AK167" s="148" t="n">
        <f aca="false">VALUE(IF($D167="opř",$C167,0))+VALUE(IF($H167="opř",$G167,0))</f>
        <v>0</v>
      </c>
      <c r="AL167" s="148" t="n">
        <f aca="false">SUM(P167:AK167)</f>
        <v>0</v>
      </c>
      <c r="AN167" s="180" t="str">
        <f aca="false">CONCATENATE('Přehled akce'!$K$4," / ",'Přehled akce'!$K$5)</f>
        <v> / </v>
      </c>
      <c r="AO167" s="181" t="n">
        <f aca="false">IF('Příjmy a výdaje'!$G167="ano",'Příjmy a výdaje'!$B167,0)</f>
        <v>0</v>
      </c>
      <c r="AP167" s="182" t="n">
        <f aca="false">IF('Příjmy a výdaje'!$G167="ano",'Příjmy a výdaje'!$C167,0)</f>
        <v>0</v>
      </c>
      <c r="AQ167" s="183" t="n">
        <f aca="false">'Příjmy a výdaje'!$AP167</f>
        <v>0</v>
      </c>
    </row>
    <row r="168" customFormat="false" ht="12.75" hidden="false" customHeight="false" outlineLevel="0" collapsed="false">
      <c r="A168" s="169" t="n">
        <v>151</v>
      </c>
      <c r="B168" s="184"/>
      <c r="C168" s="194"/>
      <c r="D168" s="188"/>
      <c r="E168" s="188"/>
      <c r="F168" s="223"/>
      <c r="G168" s="224"/>
      <c r="H168" s="190"/>
      <c r="I168" s="177"/>
      <c r="J168" s="178" t="str">
        <f aca="false">IF(AL168=C168,IF(AL168=0,"-","ok"),"chyba")</f>
        <v>-</v>
      </c>
      <c r="K168" s="179"/>
      <c r="L168" s="179"/>
      <c r="M168" s="179"/>
      <c r="N168" s="179"/>
      <c r="P168" s="148" t="n">
        <f aca="false">VALUE(IF($D168="vyb",$C168,0))+VALUE(IF($H168="vyb",$G168,0))</f>
        <v>0</v>
      </c>
      <c r="Q168" s="148" t="n">
        <f aca="false">VALUE(IF($D168="mtv",$C168,0))+VALUE(IF($H168="mtv",$G168,0))</f>
        <v>0</v>
      </c>
      <c r="R168" s="148" t="n">
        <f aca="false">VALUE(IF($D168="mat",$C168,0))+VALUE(IF($H168="mat",$G168,0))</f>
        <v>0</v>
      </c>
      <c r="S168" s="148" t="n">
        <f aca="false">VALUE(IF($D168="pot",$C168,0))+VALUE(IF($H168="pot",$G168,0))</f>
        <v>0</v>
      </c>
      <c r="T168" s="148" t="n">
        <f aca="false">VALUE(IF($D168="táb",$C168,0))+VALUE(IF($H168="táb",$G168,0))</f>
        <v>0</v>
      </c>
      <c r="U168" s="148" t="n">
        <f aca="false">VALUE(IF($D168="oma",$C168,0))+VALUE(IF($H168="oma",$G168,0))</f>
        <v>0</v>
      </c>
      <c r="V168" s="148" t="n">
        <f aca="false">VALUE(IF($D168="ces",$C168,0))+VALUE(IF($H168="ces",$G168,0))</f>
        <v>0</v>
      </c>
      <c r="W168" s="148" t="n">
        <f aca="false">VALUE(IF($D168="poš",$C168,0))+VALUE(IF($H168="poš",$G168,0))</f>
        <v>0</v>
      </c>
      <c r="X168" s="148" t="n">
        <f aca="false">VALUE(IF($D168="tel",$C168,0))+VALUE(IF($H168="tel",$G168,0))</f>
        <v>0</v>
      </c>
      <c r="Y168" s="148" t="n">
        <f aca="false">VALUE(IF($D168="dop",$C168,0))+VALUE(IF($H168="dop",$G168,0))</f>
        <v>0</v>
      </c>
      <c r="Z168" s="148" t="n">
        <f aca="false">VALUE(IF($D168="nák",$C168,0))+VALUE(IF($H168="nák",$G168,0))</f>
        <v>0</v>
      </c>
      <c r="AA168" s="148" t="n">
        <f aca="false">VALUE(IF($D168="náj",$C168,0))+VALUE(IF($H168="náj",$G168,0))</f>
        <v>0</v>
      </c>
      <c r="AB168" s="148" t="n">
        <f aca="false">VALUE(IF($D168="půj",$C168,0))+VALUE(IF($H168="půj",$G168,0))</f>
        <v>0</v>
      </c>
      <c r="AC168" s="148" t="n">
        <f aca="false">VALUE(IF($D168="vst",$C168,0))+VALUE(IF($H168="vst",$G168,0))</f>
        <v>0</v>
      </c>
      <c r="AD168" s="148" t="n">
        <f aca="false">VALUE(IF($D168="kop",$C168,0))+VALUE(IF($H168="kop",$G168,0))</f>
        <v>0</v>
      </c>
      <c r="AE168" s="148" t="n">
        <f aca="false">VALUE(IF($D168="osl",$C168,0))+VALUE(IF($H168="osl",$G168,0))</f>
        <v>0</v>
      </c>
      <c r="AF168" s="148" t="n">
        <f aca="false">VALUE(IF($D168="vra",$C168,0))+VALUE(IF($H168="vra",$G168,0))</f>
        <v>0</v>
      </c>
      <c r="AG168" s="148" t="n">
        <f aca="false">VALUE(IF($D168="zho",$C168,0))+VALUE(IF($H168="zho",$G168,0))</f>
        <v>0</v>
      </c>
      <c r="AH168" s="148" t="n">
        <f aca="false">VALUE(IF($D168="zbú",$C168,0))+VALUE(IF($H168="zbú",$G168,0))</f>
        <v>0</v>
      </c>
      <c r="AI168" s="148" t="n">
        <f aca="false">VALUE(IF($D168="pří",$C168,0))+VALUE(IF($H168="pří",$G168,0))</f>
        <v>0</v>
      </c>
      <c r="AJ168" s="148" t="n">
        <f aca="false">VALUE(IF($D168="dot",$C168,0))+VALUE(IF($H168="dot",$G168,0))</f>
        <v>0</v>
      </c>
      <c r="AK168" s="148" t="n">
        <f aca="false">VALUE(IF($D168="opř",$C168,0))+VALUE(IF($H168="opř",$G168,0))</f>
        <v>0</v>
      </c>
      <c r="AL168" s="148" t="n">
        <f aca="false">SUM(P168:AK168)</f>
        <v>0</v>
      </c>
      <c r="AN168" s="180" t="str">
        <f aca="false">CONCATENATE('Přehled akce'!$K$4," / ",'Přehled akce'!$K$5)</f>
        <v> / </v>
      </c>
      <c r="AO168" s="181" t="n">
        <f aca="false">IF('Příjmy a výdaje'!$G168="ano",'Příjmy a výdaje'!$B168,0)</f>
        <v>0</v>
      </c>
      <c r="AP168" s="182" t="n">
        <f aca="false">IF('Příjmy a výdaje'!$G168="ano",'Příjmy a výdaje'!$C168,0)</f>
        <v>0</v>
      </c>
      <c r="AQ168" s="183" t="n">
        <f aca="false">'Příjmy a výdaje'!$AP168</f>
        <v>0</v>
      </c>
    </row>
    <row r="169" customFormat="false" ht="12.75" hidden="false" customHeight="false" outlineLevel="0" collapsed="false">
      <c r="A169" s="169" t="n">
        <v>152</v>
      </c>
      <c r="B169" s="184"/>
      <c r="C169" s="194"/>
      <c r="D169" s="188"/>
      <c r="E169" s="188"/>
      <c r="F169" s="223"/>
      <c r="G169" s="224"/>
      <c r="H169" s="190"/>
      <c r="I169" s="177"/>
      <c r="J169" s="178" t="str">
        <f aca="false">IF(AL169=C169,IF(AL169=0,"-","ok"),"chyba")</f>
        <v>-</v>
      </c>
      <c r="K169" s="179"/>
      <c r="L169" s="179"/>
      <c r="M169" s="179"/>
      <c r="N169" s="179"/>
      <c r="P169" s="148" t="n">
        <f aca="false">VALUE(IF($D169="vyb",$C169,0))+VALUE(IF($H169="vyb",$G169,0))</f>
        <v>0</v>
      </c>
      <c r="Q169" s="148" t="n">
        <f aca="false">VALUE(IF($D169="mtv",$C169,0))+VALUE(IF($H169="mtv",$G169,0))</f>
        <v>0</v>
      </c>
      <c r="R169" s="148" t="n">
        <f aca="false">VALUE(IF($D169="mat",$C169,0))+VALUE(IF($H169="mat",$G169,0))</f>
        <v>0</v>
      </c>
      <c r="S169" s="148" t="n">
        <f aca="false">VALUE(IF($D169="pot",$C169,0))+VALUE(IF($H169="pot",$G169,0))</f>
        <v>0</v>
      </c>
      <c r="T169" s="148" t="n">
        <f aca="false">VALUE(IF($D169="táb",$C169,0))+VALUE(IF($H169="táb",$G169,0))</f>
        <v>0</v>
      </c>
      <c r="U169" s="148" t="n">
        <f aca="false">VALUE(IF($D169="oma",$C169,0))+VALUE(IF($H169="oma",$G169,0))</f>
        <v>0</v>
      </c>
      <c r="V169" s="148" t="n">
        <f aca="false">VALUE(IF($D169="ces",$C169,0))+VALUE(IF($H169="ces",$G169,0))</f>
        <v>0</v>
      </c>
      <c r="W169" s="148" t="n">
        <f aca="false">VALUE(IF($D169="poš",$C169,0))+VALUE(IF($H169="poš",$G169,0))</f>
        <v>0</v>
      </c>
      <c r="X169" s="148" t="n">
        <f aca="false">VALUE(IF($D169="tel",$C169,0))+VALUE(IF($H169="tel",$G169,0))</f>
        <v>0</v>
      </c>
      <c r="Y169" s="148" t="n">
        <f aca="false">VALUE(IF($D169="dop",$C169,0))+VALUE(IF($H169="dop",$G169,0))</f>
        <v>0</v>
      </c>
      <c r="Z169" s="148" t="n">
        <f aca="false">VALUE(IF($D169="nák",$C169,0))+VALUE(IF($H169="nák",$G169,0))</f>
        <v>0</v>
      </c>
      <c r="AA169" s="148" t="n">
        <f aca="false">VALUE(IF($D169="náj",$C169,0))+VALUE(IF($H169="náj",$G169,0))</f>
        <v>0</v>
      </c>
      <c r="AB169" s="148" t="n">
        <f aca="false">VALUE(IF($D169="půj",$C169,0))+VALUE(IF($H169="půj",$G169,0))</f>
        <v>0</v>
      </c>
      <c r="AC169" s="148" t="n">
        <f aca="false">VALUE(IF($D169="vst",$C169,0))+VALUE(IF($H169="vst",$G169,0))</f>
        <v>0</v>
      </c>
      <c r="AD169" s="148" t="n">
        <f aca="false">VALUE(IF($D169="kop",$C169,0))+VALUE(IF($H169="kop",$G169,0))</f>
        <v>0</v>
      </c>
      <c r="AE169" s="148" t="n">
        <f aca="false">VALUE(IF($D169="osl",$C169,0))+VALUE(IF($H169="osl",$G169,0))</f>
        <v>0</v>
      </c>
      <c r="AF169" s="148" t="n">
        <f aca="false">VALUE(IF($D169="vra",$C169,0))+VALUE(IF($H169="vra",$G169,0))</f>
        <v>0</v>
      </c>
      <c r="AG169" s="148" t="n">
        <f aca="false">VALUE(IF($D169="zho",$C169,0))+VALUE(IF($H169="zho",$G169,0))</f>
        <v>0</v>
      </c>
      <c r="AH169" s="148" t="n">
        <f aca="false">VALUE(IF($D169="zbú",$C169,0))+VALUE(IF($H169="zbú",$G169,0))</f>
        <v>0</v>
      </c>
      <c r="AI169" s="148" t="n">
        <f aca="false">VALUE(IF($D169="pří",$C169,0))+VALUE(IF($H169="pří",$G169,0))</f>
        <v>0</v>
      </c>
      <c r="AJ169" s="148" t="n">
        <f aca="false">VALUE(IF($D169="dot",$C169,0))+VALUE(IF($H169="dot",$G169,0))</f>
        <v>0</v>
      </c>
      <c r="AK169" s="148" t="n">
        <f aca="false">VALUE(IF($D169="opř",$C169,0))+VALUE(IF($H169="opř",$G169,0))</f>
        <v>0</v>
      </c>
      <c r="AL169" s="148" t="n">
        <f aca="false">SUM(P169:AK169)</f>
        <v>0</v>
      </c>
      <c r="AN169" s="180" t="str">
        <f aca="false">CONCATENATE('Přehled akce'!$K$4," / ",'Přehled akce'!$K$5)</f>
        <v> / </v>
      </c>
      <c r="AO169" s="181" t="n">
        <f aca="false">IF('Příjmy a výdaje'!$G169="ano",'Příjmy a výdaje'!$B169,0)</f>
        <v>0</v>
      </c>
      <c r="AP169" s="182" t="n">
        <f aca="false">IF('Příjmy a výdaje'!$G169="ano",'Příjmy a výdaje'!$C169,0)</f>
        <v>0</v>
      </c>
      <c r="AQ169" s="183" t="n">
        <f aca="false">'Příjmy a výdaje'!$AP169</f>
        <v>0</v>
      </c>
    </row>
    <row r="170" customFormat="false" ht="12.75" hidden="false" customHeight="false" outlineLevel="0" collapsed="false">
      <c r="A170" s="169" t="n">
        <v>153</v>
      </c>
      <c r="B170" s="184"/>
      <c r="C170" s="194"/>
      <c r="D170" s="188"/>
      <c r="E170" s="188"/>
      <c r="F170" s="223"/>
      <c r="G170" s="224"/>
      <c r="H170" s="190"/>
      <c r="I170" s="177"/>
      <c r="J170" s="178" t="str">
        <f aca="false">IF(AL170=C170,IF(AL170=0,"-","ok"),"chyba")</f>
        <v>-</v>
      </c>
      <c r="K170" s="179"/>
      <c r="L170" s="179"/>
      <c r="M170" s="179"/>
      <c r="N170" s="179"/>
      <c r="P170" s="148" t="n">
        <f aca="false">VALUE(IF($D170="vyb",$C170,0))+VALUE(IF($H170="vyb",$G170,0))</f>
        <v>0</v>
      </c>
      <c r="Q170" s="148" t="n">
        <f aca="false">VALUE(IF($D170="mtv",$C170,0))+VALUE(IF($H170="mtv",$G170,0))</f>
        <v>0</v>
      </c>
      <c r="R170" s="148" t="n">
        <f aca="false">VALUE(IF($D170="mat",$C170,0))+VALUE(IF($H170="mat",$G170,0))</f>
        <v>0</v>
      </c>
      <c r="S170" s="148" t="n">
        <f aca="false">VALUE(IF($D170="pot",$C170,0))+VALUE(IF($H170="pot",$G170,0))</f>
        <v>0</v>
      </c>
      <c r="T170" s="148" t="n">
        <f aca="false">VALUE(IF($D170="táb",$C170,0))+VALUE(IF($H170="táb",$G170,0))</f>
        <v>0</v>
      </c>
      <c r="U170" s="148" t="n">
        <f aca="false">VALUE(IF($D170="oma",$C170,0))+VALUE(IF($H170="oma",$G170,0))</f>
        <v>0</v>
      </c>
      <c r="V170" s="148" t="n">
        <f aca="false">VALUE(IF($D170="ces",$C170,0))+VALUE(IF($H170="ces",$G170,0))</f>
        <v>0</v>
      </c>
      <c r="W170" s="148" t="n">
        <f aca="false">VALUE(IF($D170="poš",$C170,0))+VALUE(IF($H170="poš",$G170,0))</f>
        <v>0</v>
      </c>
      <c r="X170" s="148" t="n">
        <f aca="false">VALUE(IF($D170="tel",$C170,0))+VALUE(IF($H170="tel",$G170,0))</f>
        <v>0</v>
      </c>
      <c r="Y170" s="148" t="n">
        <f aca="false">VALUE(IF($D170="dop",$C170,0))+VALUE(IF($H170="dop",$G170,0))</f>
        <v>0</v>
      </c>
      <c r="Z170" s="148" t="n">
        <f aca="false">VALUE(IF($D170="nák",$C170,0))+VALUE(IF($H170="nák",$G170,0))</f>
        <v>0</v>
      </c>
      <c r="AA170" s="148" t="n">
        <f aca="false">VALUE(IF($D170="náj",$C170,0))+VALUE(IF($H170="náj",$G170,0))</f>
        <v>0</v>
      </c>
      <c r="AB170" s="148" t="n">
        <f aca="false">VALUE(IF($D170="půj",$C170,0))+VALUE(IF($H170="půj",$G170,0))</f>
        <v>0</v>
      </c>
      <c r="AC170" s="148" t="n">
        <f aca="false">VALUE(IF($D170="vst",$C170,0))+VALUE(IF($H170="vst",$G170,0))</f>
        <v>0</v>
      </c>
      <c r="AD170" s="148" t="n">
        <f aca="false">VALUE(IF($D170="kop",$C170,0))+VALUE(IF($H170="kop",$G170,0))</f>
        <v>0</v>
      </c>
      <c r="AE170" s="148" t="n">
        <f aca="false">VALUE(IF($D170="osl",$C170,0))+VALUE(IF($H170="osl",$G170,0))</f>
        <v>0</v>
      </c>
      <c r="AF170" s="148" t="n">
        <f aca="false">VALUE(IF($D170="vra",$C170,0))+VALUE(IF($H170="vra",$G170,0))</f>
        <v>0</v>
      </c>
      <c r="AG170" s="148" t="n">
        <f aca="false">VALUE(IF($D170="zho",$C170,0))+VALUE(IF($H170="zho",$G170,0))</f>
        <v>0</v>
      </c>
      <c r="AH170" s="148" t="n">
        <f aca="false">VALUE(IF($D170="zbú",$C170,0))+VALUE(IF($H170="zbú",$G170,0))</f>
        <v>0</v>
      </c>
      <c r="AI170" s="148" t="n">
        <f aca="false">VALUE(IF($D170="pří",$C170,0))+VALUE(IF($H170="pří",$G170,0))</f>
        <v>0</v>
      </c>
      <c r="AJ170" s="148" t="n">
        <f aca="false">VALUE(IF($D170="dot",$C170,0))+VALUE(IF($H170="dot",$G170,0))</f>
        <v>0</v>
      </c>
      <c r="AK170" s="148" t="n">
        <f aca="false">VALUE(IF($D170="opř",$C170,0))+VALUE(IF($H170="opř",$G170,0))</f>
        <v>0</v>
      </c>
      <c r="AL170" s="148" t="n">
        <f aca="false">SUM(P170:AK170)</f>
        <v>0</v>
      </c>
      <c r="AN170" s="180" t="str">
        <f aca="false">CONCATENATE('Přehled akce'!$K$4," / ",'Přehled akce'!$K$5)</f>
        <v> / </v>
      </c>
      <c r="AO170" s="181" t="n">
        <f aca="false">IF('Příjmy a výdaje'!$G170="ano",'Příjmy a výdaje'!$B170,0)</f>
        <v>0</v>
      </c>
      <c r="AP170" s="182" t="n">
        <f aca="false">IF('Příjmy a výdaje'!$G170="ano",'Příjmy a výdaje'!$C170,0)</f>
        <v>0</v>
      </c>
      <c r="AQ170" s="183" t="n">
        <f aca="false">'Příjmy a výdaje'!$AP170</f>
        <v>0</v>
      </c>
    </row>
    <row r="171" customFormat="false" ht="12.75" hidden="false" customHeight="false" outlineLevel="0" collapsed="false">
      <c r="A171" s="169" t="n">
        <v>154</v>
      </c>
      <c r="B171" s="184"/>
      <c r="C171" s="194"/>
      <c r="D171" s="188"/>
      <c r="E171" s="188"/>
      <c r="F171" s="223"/>
      <c r="G171" s="224"/>
      <c r="H171" s="190"/>
      <c r="I171" s="177"/>
      <c r="J171" s="178" t="str">
        <f aca="false">IF(AL171=C171,IF(AL171=0,"-","ok"),"chyba")</f>
        <v>-</v>
      </c>
      <c r="K171" s="179"/>
      <c r="L171" s="179"/>
      <c r="M171" s="179"/>
      <c r="N171" s="179"/>
      <c r="P171" s="148" t="n">
        <f aca="false">VALUE(IF($D171="vyb",$C171,0))+VALUE(IF($H171="vyb",$G171,0))</f>
        <v>0</v>
      </c>
      <c r="Q171" s="148" t="n">
        <f aca="false">VALUE(IF($D171="mtv",$C171,0))+VALUE(IF($H171="mtv",$G171,0))</f>
        <v>0</v>
      </c>
      <c r="R171" s="148" t="n">
        <f aca="false">VALUE(IF($D171="mat",$C171,0))+VALUE(IF($H171="mat",$G171,0))</f>
        <v>0</v>
      </c>
      <c r="S171" s="148" t="n">
        <f aca="false">VALUE(IF($D171="pot",$C171,0))+VALUE(IF($H171="pot",$G171,0))</f>
        <v>0</v>
      </c>
      <c r="T171" s="148" t="n">
        <f aca="false">VALUE(IF($D171="táb",$C171,0))+VALUE(IF($H171="táb",$G171,0))</f>
        <v>0</v>
      </c>
      <c r="U171" s="148" t="n">
        <f aca="false">VALUE(IF($D171="oma",$C171,0))+VALUE(IF($H171="oma",$G171,0))</f>
        <v>0</v>
      </c>
      <c r="V171" s="148" t="n">
        <f aca="false">VALUE(IF($D171="ces",$C171,0))+VALUE(IF($H171="ces",$G171,0))</f>
        <v>0</v>
      </c>
      <c r="W171" s="148" t="n">
        <f aca="false">VALUE(IF($D171="poš",$C171,0))+VALUE(IF($H171="poš",$G171,0))</f>
        <v>0</v>
      </c>
      <c r="X171" s="148" t="n">
        <f aca="false">VALUE(IF($D171="tel",$C171,0))+VALUE(IF($H171="tel",$G171,0))</f>
        <v>0</v>
      </c>
      <c r="Y171" s="148" t="n">
        <f aca="false">VALUE(IF($D171="dop",$C171,0))+VALUE(IF($H171="dop",$G171,0))</f>
        <v>0</v>
      </c>
      <c r="Z171" s="148" t="n">
        <f aca="false">VALUE(IF($D171="nák",$C171,0))+VALUE(IF($H171="nák",$G171,0))</f>
        <v>0</v>
      </c>
      <c r="AA171" s="148" t="n">
        <f aca="false">VALUE(IF($D171="náj",$C171,0))+VALUE(IF($H171="náj",$G171,0))</f>
        <v>0</v>
      </c>
      <c r="AB171" s="148" t="n">
        <f aca="false">VALUE(IF($D171="půj",$C171,0))+VALUE(IF($H171="půj",$G171,0))</f>
        <v>0</v>
      </c>
      <c r="AC171" s="148" t="n">
        <f aca="false">VALUE(IF($D171="vst",$C171,0))+VALUE(IF($H171="vst",$G171,0))</f>
        <v>0</v>
      </c>
      <c r="AD171" s="148" t="n">
        <f aca="false">VALUE(IF($D171="kop",$C171,0))+VALUE(IF($H171="kop",$G171,0))</f>
        <v>0</v>
      </c>
      <c r="AE171" s="148" t="n">
        <f aca="false">VALUE(IF($D171="osl",$C171,0))+VALUE(IF($H171="osl",$G171,0))</f>
        <v>0</v>
      </c>
      <c r="AF171" s="148" t="n">
        <f aca="false">VALUE(IF($D171="vra",$C171,0))+VALUE(IF($H171="vra",$G171,0))</f>
        <v>0</v>
      </c>
      <c r="AG171" s="148" t="n">
        <f aca="false">VALUE(IF($D171="zho",$C171,0))+VALUE(IF($H171="zho",$G171,0))</f>
        <v>0</v>
      </c>
      <c r="AH171" s="148" t="n">
        <f aca="false">VALUE(IF($D171="zbú",$C171,0))+VALUE(IF($H171="zbú",$G171,0))</f>
        <v>0</v>
      </c>
      <c r="AI171" s="148" t="n">
        <f aca="false">VALUE(IF($D171="pří",$C171,0))+VALUE(IF($H171="pří",$G171,0))</f>
        <v>0</v>
      </c>
      <c r="AJ171" s="148" t="n">
        <f aca="false">VALUE(IF($D171="dot",$C171,0))+VALUE(IF($H171="dot",$G171,0))</f>
        <v>0</v>
      </c>
      <c r="AK171" s="148" t="n">
        <f aca="false">VALUE(IF($D171="opř",$C171,0))+VALUE(IF($H171="opř",$G171,0))</f>
        <v>0</v>
      </c>
      <c r="AL171" s="148" t="n">
        <f aca="false">SUM(P171:AK171)</f>
        <v>0</v>
      </c>
      <c r="AN171" s="180" t="str">
        <f aca="false">CONCATENATE('Přehled akce'!$K$4," / ",'Přehled akce'!$K$5)</f>
        <v> / </v>
      </c>
      <c r="AO171" s="181" t="n">
        <f aca="false">IF('Příjmy a výdaje'!$G171="ano",'Příjmy a výdaje'!$B171,0)</f>
        <v>0</v>
      </c>
      <c r="AP171" s="182" t="n">
        <f aca="false">IF('Příjmy a výdaje'!$G171="ano",'Příjmy a výdaje'!$C171,0)</f>
        <v>0</v>
      </c>
      <c r="AQ171" s="183" t="n">
        <f aca="false">'Příjmy a výdaje'!$AP171</f>
        <v>0</v>
      </c>
    </row>
    <row r="172" customFormat="false" ht="12.75" hidden="false" customHeight="false" outlineLevel="0" collapsed="false">
      <c r="A172" s="169" t="n">
        <v>155</v>
      </c>
      <c r="B172" s="184"/>
      <c r="C172" s="194"/>
      <c r="D172" s="188"/>
      <c r="E172" s="188"/>
      <c r="F172" s="223"/>
      <c r="G172" s="224"/>
      <c r="H172" s="190"/>
      <c r="I172" s="177"/>
      <c r="J172" s="178" t="str">
        <f aca="false">IF(AL172=C172,IF(AL172=0,"-","ok"),"chyba")</f>
        <v>-</v>
      </c>
      <c r="K172" s="179"/>
      <c r="L172" s="179"/>
      <c r="M172" s="179"/>
      <c r="N172" s="179"/>
      <c r="P172" s="148" t="n">
        <f aca="false">VALUE(IF($D172="vyb",$C172,0))+VALUE(IF($H172="vyb",$G172,0))</f>
        <v>0</v>
      </c>
      <c r="Q172" s="148" t="n">
        <f aca="false">VALUE(IF($D172="mtv",$C172,0))+VALUE(IF($H172="mtv",$G172,0))</f>
        <v>0</v>
      </c>
      <c r="R172" s="148" t="n">
        <f aca="false">VALUE(IF($D172="mat",$C172,0))+VALUE(IF($H172="mat",$G172,0))</f>
        <v>0</v>
      </c>
      <c r="S172" s="148" t="n">
        <f aca="false">VALUE(IF($D172="pot",$C172,0))+VALUE(IF($H172="pot",$G172,0))</f>
        <v>0</v>
      </c>
      <c r="T172" s="148" t="n">
        <f aca="false">VALUE(IF($D172="táb",$C172,0))+VALUE(IF($H172="táb",$G172,0))</f>
        <v>0</v>
      </c>
      <c r="U172" s="148" t="n">
        <f aca="false">VALUE(IF($D172="oma",$C172,0))+VALUE(IF($H172="oma",$G172,0))</f>
        <v>0</v>
      </c>
      <c r="V172" s="148" t="n">
        <f aca="false">VALUE(IF($D172="ces",$C172,0))+VALUE(IF($H172="ces",$G172,0))</f>
        <v>0</v>
      </c>
      <c r="W172" s="148" t="n">
        <f aca="false">VALUE(IF($D172="poš",$C172,0))+VALUE(IF($H172="poš",$G172,0))</f>
        <v>0</v>
      </c>
      <c r="X172" s="148" t="n">
        <f aca="false">VALUE(IF($D172="tel",$C172,0))+VALUE(IF($H172="tel",$G172,0))</f>
        <v>0</v>
      </c>
      <c r="Y172" s="148" t="n">
        <f aca="false">VALUE(IF($D172="dop",$C172,0))+VALUE(IF($H172="dop",$G172,0))</f>
        <v>0</v>
      </c>
      <c r="Z172" s="148" t="n">
        <f aca="false">VALUE(IF($D172="nák",$C172,0))+VALUE(IF($H172="nák",$G172,0))</f>
        <v>0</v>
      </c>
      <c r="AA172" s="148" t="n">
        <f aca="false">VALUE(IF($D172="náj",$C172,0))+VALUE(IF($H172="náj",$G172,0))</f>
        <v>0</v>
      </c>
      <c r="AB172" s="148" t="n">
        <f aca="false">VALUE(IF($D172="půj",$C172,0))+VALUE(IF($H172="půj",$G172,0))</f>
        <v>0</v>
      </c>
      <c r="AC172" s="148" t="n">
        <f aca="false">VALUE(IF($D172="vst",$C172,0))+VALUE(IF($H172="vst",$G172,0))</f>
        <v>0</v>
      </c>
      <c r="AD172" s="148" t="n">
        <f aca="false">VALUE(IF($D172="kop",$C172,0))+VALUE(IF($H172="kop",$G172,0))</f>
        <v>0</v>
      </c>
      <c r="AE172" s="148" t="n">
        <f aca="false">VALUE(IF($D172="osl",$C172,0))+VALUE(IF($H172="osl",$G172,0))</f>
        <v>0</v>
      </c>
      <c r="AF172" s="148" t="n">
        <f aca="false">VALUE(IF($D172="vra",$C172,0))+VALUE(IF($H172="vra",$G172,0))</f>
        <v>0</v>
      </c>
      <c r="AG172" s="148" t="n">
        <f aca="false">VALUE(IF($D172="zho",$C172,0))+VALUE(IF($H172="zho",$G172,0))</f>
        <v>0</v>
      </c>
      <c r="AH172" s="148" t="n">
        <f aca="false">VALUE(IF($D172="zbú",$C172,0))+VALUE(IF($H172="zbú",$G172,0))</f>
        <v>0</v>
      </c>
      <c r="AI172" s="148" t="n">
        <f aca="false">VALUE(IF($D172="pří",$C172,0))+VALUE(IF($H172="pří",$G172,0))</f>
        <v>0</v>
      </c>
      <c r="AJ172" s="148" t="n">
        <f aca="false">VALUE(IF($D172="dot",$C172,0))+VALUE(IF($H172="dot",$G172,0))</f>
        <v>0</v>
      </c>
      <c r="AK172" s="148" t="n">
        <f aca="false">VALUE(IF($D172="opř",$C172,0))+VALUE(IF($H172="opř",$G172,0))</f>
        <v>0</v>
      </c>
      <c r="AL172" s="148" t="n">
        <f aca="false">SUM(P172:AK172)</f>
        <v>0</v>
      </c>
      <c r="AN172" s="180" t="str">
        <f aca="false">CONCATENATE('Přehled akce'!$K$4," / ",'Přehled akce'!$K$5)</f>
        <v> / </v>
      </c>
      <c r="AO172" s="181" t="n">
        <f aca="false">IF('Příjmy a výdaje'!$G172="ano",'Příjmy a výdaje'!$B172,0)</f>
        <v>0</v>
      </c>
      <c r="AP172" s="182" t="n">
        <f aca="false">IF('Příjmy a výdaje'!$G172="ano",'Příjmy a výdaje'!$C172,0)</f>
        <v>0</v>
      </c>
      <c r="AQ172" s="183" t="n">
        <f aca="false">'Příjmy a výdaje'!$AP172</f>
        <v>0</v>
      </c>
    </row>
    <row r="173" customFormat="false" ht="12.75" hidden="false" customHeight="false" outlineLevel="0" collapsed="false">
      <c r="A173" s="169" t="n">
        <v>156</v>
      </c>
      <c r="B173" s="184"/>
      <c r="C173" s="194"/>
      <c r="D173" s="188"/>
      <c r="E173" s="188"/>
      <c r="F173" s="223"/>
      <c r="G173" s="224"/>
      <c r="H173" s="190"/>
      <c r="I173" s="177"/>
      <c r="J173" s="178" t="str">
        <f aca="false">IF(AL173=C173,IF(AL173=0,"-","ok"),"chyba")</f>
        <v>-</v>
      </c>
      <c r="K173" s="179"/>
      <c r="L173" s="179"/>
      <c r="M173" s="179"/>
      <c r="N173" s="179"/>
      <c r="P173" s="148" t="n">
        <f aca="false">VALUE(IF($D173="vyb",$C173,0))+VALUE(IF($H173="vyb",$G173,0))</f>
        <v>0</v>
      </c>
      <c r="Q173" s="148" t="n">
        <f aca="false">VALUE(IF($D173="mtv",$C173,0))+VALUE(IF($H173="mtv",$G173,0))</f>
        <v>0</v>
      </c>
      <c r="R173" s="148" t="n">
        <f aca="false">VALUE(IF($D173="mat",$C173,0))+VALUE(IF($H173="mat",$G173,0))</f>
        <v>0</v>
      </c>
      <c r="S173" s="148" t="n">
        <f aca="false">VALUE(IF($D173="pot",$C173,0))+VALUE(IF($H173="pot",$G173,0))</f>
        <v>0</v>
      </c>
      <c r="T173" s="148" t="n">
        <f aca="false">VALUE(IF($D173="táb",$C173,0))+VALUE(IF($H173="táb",$G173,0))</f>
        <v>0</v>
      </c>
      <c r="U173" s="148" t="n">
        <f aca="false">VALUE(IF($D173="oma",$C173,0))+VALUE(IF($H173="oma",$G173,0))</f>
        <v>0</v>
      </c>
      <c r="V173" s="148" t="n">
        <f aca="false">VALUE(IF($D173="ces",$C173,0))+VALUE(IF($H173="ces",$G173,0))</f>
        <v>0</v>
      </c>
      <c r="W173" s="148" t="n">
        <f aca="false">VALUE(IF($D173="poš",$C173,0))+VALUE(IF($H173="poš",$G173,0))</f>
        <v>0</v>
      </c>
      <c r="X173" s="148" t="n">
        <f aca="false">VALUE(IF($D173="tel",$C173,0))+VALUE(IF($H173="tel",$G173,0))</f>
        <v>0</v>
      </c>
      <c r="Y173" s="148" t="n">
        <f aca="false">VALUE(IF($D173="dop",$C173,0))+VALUE(IF($H173="dop",$G173,0))</f>
        <v>0</v>
      </c>
      <c r="Z173" s="148" t="n">
        <f aca="false">VALUE(IF($D173="nák",$C173,0))+VALUE(IF($H173="nák",$G173,0))</f>
        <v>0</v>
      </c>
      <c r="AA173" s="148" t="n">
        <f aca="false">VALUE(IF($D173="náj",$C173,0))+VALUE(IF($H173="náj",$G173,0))</f>
        <v>0</v>
      </c>
      <c r="AB173" s="148" t="n">
        <f aca="false">VALUE(IF($D173="půj",$C173,0))+VALUE(IF($H173="půj",$G173,0))</f>
        <v>0</v>
      </c>
      <c r="AC173" s="148" t="n">
        <f aca="false">VALUE(IF($D173="vst",$C173,0))+VALUE(IF($H173="vst",$G173,0))</f>
        <v>0</v>
      </c>
      <c r="AD173" s="148" t="n">
        <f aca="false">VALUE(IF($D173="kop",$C173,0))+VALUE(IF($H173="kop",$G173,0))</f>
        <v>0</v>
      </c>
      <c r="AE173" s="148" t="n">
        <f aca="false">VALUE(IF($D173="osl",$C173,0))+VALUE(IF($H173="osl",$G173,0))</f>
        <v>0</v>
      </c>
      <c r="AF173" s="148" t="n">
        <f aca="false">VALUE(IF($D173="vra",$C173,0))+VALUE(IF($H173="vra",$G173,0))</f>
        <v>0</v>
      </c>
      <c r="AG173" s="148" t="n">
        <f aca="false">VALUE(IF($D173="zho",$C173,0))+VALUE(IF($H173="zho",$G173,0))</f>
        <v>0</v>
      </c>
      <c r="AH173" s="148" t="n">
        <f aca="false">VALUE(IF($D173="zbú",$C173,0))+VALUE(IF($H173="zbú",$G173,0))</f>
        <v>0</v>
      </c>
      <c r="AI173" s="148" t="n">
        <f aca="false">VALUE(IF($D173="pří",$C173,0))+VALUE(IF($H173="pří",$G173,0))</f>
        <v>0</v>
      </c>
      <c r="AJ173" s="148" t="n">
        <f aca="false">VALUE(IF($D173="dot",$C173,0))+VALUE(IF($H173="dot",$G173,0))</f>
        <v>0</v>
      </c>
      <c r="AK173" s="148" t="n">
        <f aca="false">VALUE(IF($D173="opř",$C173,0))+VALUE(IF($H173="opř",$G173,0))</f>
        <v>0</v>
      </c>
      <c r="AL173" s="148" t="n">
        <f aca="false">SUM(P173:AK173)</f>
        <v>0</v>
      </c>
      <c r="AN173" s="180" t="str">
        <f aca="false">CONCATENATE('Přehled akce'!$K$4," / ",'Přehled akce'!$K$5)</f>
        <v> / </v>
      </c>
      <c r="AO173" s="181" t="n">
        <f aca="false">IF('Příjmy a výdaje'!$G173="ano",'Příjmy a výdaje'!$B173,0)</f>
        <v>0</v>
      </c>
      <c r="AP173" s="182" t="n">
        <f aca="false">IF('Příjmy a výdaje'!$G173="ano",'Příjmy a výdaje'!$C173,0)</f>
        <v>0</v>
      </c>
      <c r="AQ173" s="183" t="n">
        <f aca="false">'Příjmy a výdaje'!$AP173</f>
        <v>0</v>
      </c>
    </row>
    <row r="174" customFormat="false" ht="12.75" hidden="false" customHeight="false" outlineLevel="0" collapsed="false">
      <c r="A174" s="169" t="n">
        <v>157</v>
      </c>
      <c r="B174" s="184"/>
      <c r="C174" s="194"/>
      <c r="D174" s="188"/>
      <c r="E174" s="188"/>
      <c r="F174" s="223"/>
      <c r="G174" s="224"/>
      <c r="H174" s="190"/>
      <c r="I174" s="177"/>
      <c r="J174" s="178" t="str">
        <f aca="false">IF(AL174=C174,IF(AL174=0,"-","ok"),"chyba")</f>
        <v>-</v>
      </c>
      <c r="K174" s="179"/>
      <c r="L174" s="179"/>
      <c r="M174" s="179"/>
      <c r="N174" s="179"/>
      <c r="O174" s="239"/>
      <c r="P174" s="148" t="n">
        <f aca="false">VALUE(IF($D174="vyb",$C174,0))+VALUE(IF($H174="vyb",$G174,0))</f>
        <v>0</v>
      </c>
      <c r="Q174" s="148" t="n">
        <f aca="false">VALUE(IF($D174="mtv",$C174,0))+VALUE(IF($H174="mtv",$G174,0))</f>
        <v>0</v>
      </c>
      <c r="R174" s="148" t="n">
        <f aca="false">VALUE(IF($D174="mat",$C174,0))+VALUE(IF($H174="mat",$G174,0))</f>
        <v>0</v>
      </c>
      <c r="S174" s="148" t="n">
        <f aca="false">VALUE(IF($D174="pot",$C174,0))+VALUE(IF($H174="pot",$G174,0))</f>
        <v>0</v>
      </c>
      <c r="T174" s="148" t="n">
        <f aca="false">VALUE(IF($D174="táb",$C174,0))+VALUE(IF($H174="táb",$G174,0))</f>
        <v>0</v>
      </c>
      <c r="U174" s="148" t="n">
        <f aca="false">VALUE(IF($D174="oma",$C174,0))+VALUE(IF($H174="oma",$G174,0))</f>
        <v>0</v>
      </c>
      <c r="V174" s="148" t="n">
        <f aca="false">VALUE(IF($D174="ces",$C174,0))+VALUE(IF($H174="ces",$G174,0))</f>
        <v>0</v>
      </c>
      <c r="W174" s="148" t="n">
        <f aca="false">VALUE(IF($D174="poš",$C174,0))+VALUE(IF($H174="poš",$G174,0))</f>
        <v>0</v>
      </c>
      <c r="X174" s="148" t="n">
        <f aca="false">VALUE(IF($D174="tel",$C174,0))+VALUE(IF($H174="tel",$G174,0))</f>
        <v>0</v>
      </c>
      <c r="Y174" s="148" t="n">
        <f aca="false">VALUE(IF($D174="dop",$C174,0))+VALUE(IF($H174="dop",$G174,0))</f>
        <v>0</v>
      </c>
      <c r="Z174" s="148" t="n">
        <f aca="false">VALUE(IF($D174="nák",$C174,0))+VALUE(IF($H174="nák",$G174,0))</f>
        <v>0</v>
      </c>
      <c r="AA174" s="148" t="n">
        <f aca="false">VALUE(IF($D174="náj",$C174,0))+VALUE(IF($H174="náj",$G174,0))</f>
        <v>0</v>
      </c>
      <c r="AB174" s="148" t="n">
        <f aca="false">VALUE(IF($D174="půj",$C174,0))+VALUE(IF($H174="půj",$G174,0))</f>
        <v>0</v>
      </c>
      <c r="AC174" s="148" t="n">
        <f aca="false">VALUE(IF($D174="vst",$C174,0))+VALUE(IF($H174="vst",$G174,0))</f>
        <v>0</v>
      </c>
      <c r="AD174" s="148" t="n">
        <f aca="false">VALUE(IF($D174="kop",$C174,0))+VALUE(IF($H174="kop",$G174,0))</f>
        <v>0</v>
      </c>
      <c r="AE174" s="148" t="n">
        <f aca="false">VALUE(IF($D174="osl",$C174,0))+VALUE(IF($H174="osl",$G174,0))</f>
        <v>0</v>
      </c>
      <c r="AF174" s="148" t="n">
        <f aca="false">VALUE(IF($D174="vra",$C174,0))+VALUE(IF($H174="vra",$G174,0))</f>
        <v>0</v>
      </c>
      <c r="AG174" s="148" t="n">
        <f aca="false">VALUE(IF($D174="zho",$C174,0))+VALUE(IF($H174="zho",$G174,0))</f>
        <v>0</v>
      </c>
      <c r="AH174" s="148" t="n">
        <f aca="false">VALUE(IF($D174="zbú",$C174,0))+VALUE(IF($H174="zbú",$G174,0))</f>
        <v>0</v>
      </c>
      <c r="AI174" s="148" t="n">
        <f aca="false">VALUE(IF($D174="pří",$C174,0))+VALUE(IF($H174="pří",$G174,0))</f>
        <v>0</v>
      </c>
      <c r="AJ174" s="148" t="n">
        <f aca="false">VALUE(IF($D174="dot",$C174,0))+VALUE(IF($H174="dot",$G174,0))</f>
        <v>0</v>
      </c>
      <c r="AK174" s="148" t="n">
        <f aca="false">VALUE(IF($D174="opř",$C174,0))+VALUE(IF($H174="opř",$G174,0))</f>
        <v>0</v>
      </c>
      <c r="AL174" s="148" t="n">
        <f aca="false">SUM(P174:AK174)</f>
        <v>0</v>
      </c>
      <c r="AN174" s="180" t="str">
        <f aca="false">CONCATENATE('Přehled akce'!$K$4," / ",'Přehled akce'!$K$5)</f>
        <v> / </v>
      </c>
      <c r="AO174" s="181" t="n">
        <f aca="false">IF('Příjmy a výdaje'!$G174="ano",'Příjmy a výdaje'!$B174,0)</f>
        <v>0</v>
      </c>
      <c r="AP174" s="182" t="n">
        <f aca="false">IF('Příjmy a výdaje'!$G174="ano",'Příjmy a výdaje'!$C174,0)</f>
        <v>0</v>
      </c>
      <c r="AQ174" s="183" t="n">
        <f aca="false">'Příjmy a výdaje'!$AP174</f>
        <v>0</v>
      </c>
    </row>
    <row r="175" customFormat="false" ht="12.75" hidden="false" customHeight="false" outlineLevel="0" collapsed="false">
      <c r="A175" s="169" t="n">
        <v>158</v>
      </c>
      <c r="B175" s="184"/>
      <c r="C175" s="194"/>
      <c r="D175" s="188"/>
      <c r="E175" s="188"/>
      <c r="F175" s="223"/>
      <c r="G175" s="224"/>
      <c r="H175" s="190"/>
      <c r="I175" s="177"/>
      <c r="J175" s="178" t="str">
        <f aca="false">IF(AL175=C175,IF(AL175=0,"-","ok"),"chyba")</f>
        <v>-</v>
      </c>
      <c r="K175" s="179"/>
      <c r="L175" s="179"/>
      <c r="M175" s="179"/>
      <c r="N175" s="179"/>
      <c r="O175" s="239"/>
      <c r="P175" s="148" t="n">
        <f aca="false">VALUE(IF($D175="vyb",$C175,0))+VALUE(IF($H175="vyb",$G175,0))</f>
        <v>0</v>
      </c>
      <c r="Q175" s="148" t="n">
        <f aca="false">VALUE(IF($D175="mtv",$C175,0))+VALUE(IF($H175="mtv",$G175,0))</f>
        <v>0</v>
      </c>
      <c r="R175" s="148" t="n">
        <f aca="false">VALUE(IF($D175="mat",$C175,0))+VALUE(IF($H175="mat",$G175,0))</f>
        <v>0</v>
      </c>
      <c r="S175" s="148" t="n">
        <f aca="false">VALUE(IF($D175="pot",$C175,0))+VALUE(IF($H175="pot",$G175,0))</f>
        <v>0</v>
      </c>
      <c r="T175" s="148" t="n">
        <f aca="false">VALUE(IF($D175="táb",$C175,0))+VALUE(IF($H175="táb",$G175,0))</f>
        <v>0</v>
      </c>
      <c r="U175" s="148" t="n">
        <f aca="false">VALUE(IF($D175="oma",$C175,0))+VALUE(IF($H175="oma",$G175,0))</f>
        <v>0</v>
      </c>
      <c r="V175" s="148" t="n">
        <f aca="false">VALUE(IF($D175="ces",$C175,0))+VALUE(IF($H175="ces",$G175,0))</f>
        <v>0</v>
      </c>
      <c r="W175" s="148" t="n">
        <f aca="false">VALUE(IF($D175="poš",$C175,0))+VALUE(IF($H175="poš",$G175,0))</f>
        <v>0</v>
      </c>
      <c r="X175" s="148" t="n">
        <f aca="false">VALUE(IF($D175="tel",$C175,0))+VALUE(IF($H175="tel",$G175,0))</f>
        <v>0</v>
      </c>
      <c r="Y175" s="148" t="n">
        <f aca="false">VALUE(IF($D175="dop",$C175,0))+VALUE(IF($H175="dop",$G175,0))</f>
        <v>0</v>
      </c>
      <c r="Z175" s="148" t="n">
        <f aca="false">VALUE(IF($D175="nák",$C175,0))+VALUE(IF($H175="nák",$G175,0))</f>
        <v>0</v>
      </c>
      <c r="AA175" s="148" t="n">
        <f aca="false">VALUE(IF($D175="náj",$C175,0))+VALUE(IF($H175="náj",$G175,0))</f>
        <v>0</v>
      </c>
      <c r="AB175" s="148" t="n">
        <f aca="false">VALUE(IF($D175="půj",$C175,0))+VALUE(IF($H175="půj",$G175,0))</f>
        <v>0</v>
      </c>
      <c r="AC175" s="148" t="n">
        <f aca="false">VALUE(IF($D175="vst",$C175,0))+VALUE(IF($H175="vst",$G175,0))</f>
        <v>0</v>
      </c>
      <c r="AD175" s="148" t="n">
        <f aca="false">VALUE(IF($D175="kop",$C175,0))+VALUE(IF($H175="kop",$G175,0))</f>
        <v>0</v>
      </c>
      <c r="AE175" s="148" t="n">
        <f aca="false">VALUE(IF($D175="osl",$C175,0))+VALUE(IF($H175="osl",$G175,0))</f>
        <v>0</v>
      </c>
      <c r="AF175" s="148" t="n">
        <f aca="false">VALUE(IF($D175="vra",$C175,0))+VALUE(IF($H175="vra",$G175,0))</f>
        <v>0</v>
      </c>
      <c r="AG175" s="148" t="n">
        <f aca="false">VALUE(IF($D175="zho",$C175,0))+VALUE(IF($H175="zho",$G175,0))</f>
        <v>0</v>
      </c>
      <c r="AH175" s="148" t="n">
        <f aca="false">VALUE(IF($D175="zbú",$C175,0))+VALUE(IF($H175="zbú",$G175,0))</f>
        <v>0</v>
      </c>
      <c r="AI175" s="148" t="n">
        <f aca="false">VALUE(IF($D175="pří",$C175,0))+VALUE(IF($H175="pří",$G175,0))</f>
        <v>0</v>
      </c>
      <c r="AJ175" s="148" t="n">
        <f aca="false">VALUE(IF($D175="dot",$C175,0))+VALUE(IF($H175="dot",$G175,0))</f>
        <v>0</v>
      </c>
      <c r="AK175" s="148" t="n">
        <f aca="false">VALUE(IF($D175="opř",$C175,0))+VALUE(IF($H175="opř",$G175,0))</f>
        <v>0</v>
      </c>
      <c r="AL175" s="148" t="n">
        <f aca="false">SUM(P175:AK175)</f>
        <v>0</v>
      </c>
      <c r="AN175" s="180" t="str">
        <f aca="false">CONCATENATE('Přehled akce'!$K$4," / ",'Přehled akce'!$K$5)</f>
        <v> / </v>
      </c>
      <c r="AO175" s="181" t="n">
        <f aca="false">IF('Příjmy a výdaje'!$G175="ano",'Příjmy a výdaje'!$B175,0)</f>
        <v>0</v>
      </c>
      <c r="AP175" s="182" t="n">
        <f aca="false">IF('Příjmy a výdaje'!$G175="ano",'Příjmy a výdaje'!$C175,0)</f>
        <v>0</v>
      </c>
      <c r="AQ175" s="183" t="n">
        <f aca="false">'Příjmy a výdaje'!$AP175</f>
        <v>0</v>
      </c>
    </row>
    <row r="176" customFormat="false" ht="12.75" hidden="false" customHeight="false" outlineLevel="0" collapsed="false">
      <c r="A176" s="169" t="n">
        <v>159</v>
      </c>
      <c r="B176" s="184"/>
      <c r="C176" s="194"/>
      <c r="D176" s="188"/>
      <c r="E176" s="188"/>
      <c r="F176" s="223"/>
      <c r="G176" s="224"/>
      <c r="H176" s="190"/>
      <c r="I176" s="177"/>
      <c r="J176" s="178" t="str">
        <f aca="false">IF(AL176=C176,IF(AL176=0,"-","ok"),"chyba")</f>
        <v>-</v>
      </c>
      <c r="K176" s="179"/>
      <c r="L176" s="179"/>
      <c r="M176" s="179"/>
      <c r="N176" s="179"/>
      <c r="O176" s="239"/>
      <c r="P176" s="148" t="n">
        <f aca="false">VALUE(IF($D176="vyb",$C176,0))+VALUE(IF($H176="vyb",$G176,0))</f>
        <v>0</v>
      </c>
      <c r="Q176" s="148" t="n">
        <f aca="false">VALUE(IF($D176="mtv",$C176,0))+VALUE(IF($H176="mtv",$G176,0))</f>
        <v>0</v>
      </c>
      <c r="R176" s="148" t="n">
        <f aca="false">VALUE(IF($D176="mat",$C176,0))+VALUE(IF($H176="mat",$G176,0))</f>
        <v>0</v>
      </c>
      <c r="S176" s="148" t="n">
        <f aca="false">VALUE(IF($D176="pot",$C176,0))+VALUE(IF($H176="pot",$G176,0))</f>
        <v>0</v>
      </c>
      <c r="T176" s="148" t="n">
        <f aca="false">VALUE(IF($D176="táb",$C176,0))+VALUE(IF($H176="táb",$G176,0))</f>
        <v>0</v>
      </c>
      <c r="U176" s="148" t="n">
        <f aca="false">VALUE(IF($D176="oma",$C176,0))+VALUE(IF($H176="oma",$G176,0))</f>
        <v>0</v>
      </c>
      <c r="V176" s="148" t="n">
        <f aca="false">VALUE(IF($D176="ces",$C176,0))+VALUE(IF($H176="ces",$G176,0))</f>
        <v>0</v>
      </c>
      <c r="W176" s="148" t="n">
        <f aca="false">VALUE(IF($D176="poš",$C176,0))+VALUE(IF($H176="poš",$G176,0))</f>
        <v>0</v>
      </c>
      <c r="X176" s="148" t="n">
        <f aca="false">VALUE(IF($D176="tel",$C176,0))+VALUE(IF($H176="tel",$G176,0))</f>
        <v>0</v>
      </c>
      <c r="Y176" s="148" t="n">
        <f aca="false">VALUE(IF($D176="dop",$C176,0))+VALUE(IF($H176="dop",$G176,0))</f>
        <v>0</v>
      </c>
      <c r="Z176" s="148" t="n">
        <f aca="false">VALUE(IF($D176="nák",$C176,0))+VALUE(IF($H176="nák",$G176,0))</f>
        <v>0</v>
      </c>
      <c r="AA176" s="148" t="n">
        <f aca="false">VALUE(IF($D176="náj",$C176,0))+VALUE(IF($H176="náj",$G176,0))</f>
        <v>0</v>
      </c>
      <c r="AB176" s="148" t="n">
        <f aca="false">VALUE(IF($D176="půj",$C176,0))+VALUE(IF($H176="půj",$G176,0))</f>
        <v>0</v>
      </c>
      <c r="AC176" s="148" t="n">
        <f aca="false">VALUE(IF($D176="vst",$C176,0))+VALUE(IF($H176="vst",$G176,0))</f>
        <v>0</v>
      </c>
      <c r="AD176" s="148" t="n">
        <f aca="false">VALUE(IF($D176="kop",$C176,0))+VALUE(IF($H176="kop",$G176,0))</f>
        <v>0</v>
      </c>
      <c r="AE176" s="148" t="n">
        <f aca="false">VALUE(IF($D176="osl",$C176,0))+VALUE(IF($H176="osl",$G176,0))</f>
        <v>0</v>
      </c>
      <c r="AF176" s="148" t="n">
        <f aca="false">VALUE(IF($D176="vra",$C176,0))+VALUE(IF($H176="vra",$G176,0))</f>
        <v>0</v>
      </c>
      <c r="AG176" s="148" t="n">
        <f aca="false">VALUE(IF($D176="zho",$C176,0))+VALUE(IF($H176="zho",$G176,0))</f>
        <v>0</v>
      </c>
      <c r="AH176" s="148" t="n">
        <f aca="false">VALUE(IF($D176="zbú",$C176,0))+VALUE(IF($H176="zbú",$G176,0))</f>
        <v>0</v>
      </c>
      <c r="AI176" s="148" t="n">
        <f aca="false">VALUE(IF($D176="pří",$C176,0))+VALUE(IF($H176="pří",$G176,0))</f>
        <v>0</v>
      </c>
      <c r="AJ176" s="148" t="n">
        <f aca="false">VALUE(IF($D176="dot",$C176,0))+VALUE(IF($H176="dot",$G176,0))</f>
        <v>0</v>
      </c>
      <c r="AK176" s="148" t="n">
        <f aca="false">VALUE(IF($D176="opř",$C176,0))+VALUE(IF($H176="opř",$G176,0))</f>
        <v>0</v>
      </c>
      <c r="AL176" s="148" t="n">
        <f aca="false">SUM(P176:AK176)</f>
        <v>0</v>
      </c>
      <c r="AN176" s="180" t="str">
        <f aca="false">CONCATENATE('Přehled akce'!$K$4," / ",'Přehled akce'!$K$5)</f>
        <v> / </v>
      </c>
      <c r="AO176" s="181" t="n">
        <f aca="false">IF('Příjmy a výdaje'!$G176="ano",'Příjmy a výdaje'!$B176,0)</f>
        <v>0</v>
      </c>
      <c r="AP176" s="182" t="n">
        <f aca="false">IF('Příjmy a výdaje'!$G176="ano",'Příjmy a výdaje'!$C176,0)</f>
        <v>0</v>
      </c>
      <c r="AQ176" s="183" t="n">
        <f aca="false">'Příjmy a výdaje'!$AP176</f>
        <v>0</v>
      </c>
    </row>
    <row r="177" customFormat="false" ht="12.75" hidden="false" customHeight="false" outlineLevel="0" collapsed="false">
      <c r="A177" s="169" t="n">
        <v>160</v>
      </c>
      <c r="B177" s="184"/>
      <c r="C177" s="194"/>
      <c r="D177" s="188"/>
      <c r="E177" s="188"/>
      <c r="F177" s="223"/>
      <c r="G177" s="224"/>
      <c r="H177" s="190"/>
      <c r="I177" s="195"/>
      <c r="J177" s="178" t="str">
        <f aca="false">IF(AL177=C177,IF(AL177=0,"-","ok"),"chyba")</f>
        <v>-</v>
      </c>
      <c r="K177" s="179"/>
      <c r="L177" s="179"/>
      <c r="M177" s="179"/>
      <c r="N177" s="179"/>
      <c r="O177" s="239"/>
      <c r="P177" s="148" t="n">
        <f aca="false">VALUE(IF($D177="vyb",$C177,0))+VALUE(IF($H177="vyb",$G177,0))</f>
        <v>0</v>
      </c>
      <c r="Q177" s="148" t="n">
        <f aca="false">VALUE(IF($D177="mtv",$C177,0))+VALUE(IF($H177="mtv",$G177,0))</f>
        <v>0</v>
      </c>
      <c r="R177" s="148" t="n">
        <f aca="false">VALUE(IF($D177="mat",$C177,0))+VALUE(IF($H177="mat",$G177,0))</f>
        <v>0</v>
      </c>
      <c r="S177" s="148" t="n">
        <f aca="false">VALUE(IF($D177="pot",$C177,0))+VALUE(IF($H177="pot",$G177,0))</f>
        <v>0</v>
      </c>
      <c r="T177" s="148" t="n">
        <f aca="false">VALUE(IF($D177="táb",$C177,0))+VALUE(IF($H177="táb",$G177,0))</f>
        <v>0</v>
      </c>
      <c r="U177" s="148" t="n">
        <f aca="false">VALUE(IF($D177="oma",$C177,0))+VALUE(IF($H177="oma",$G177,0))</f>
        <v>0</v>
      </c>
      <c r="V177" s="148" t="n">
        <f aca="false">VALUE(IF($D177="ces",$C177,0))+VALUE(IF($H177="ces",$G177,0))</f>
        <v>0</v>
      </c>
      <c r="W177" s="148" t="n">
        <f aca="false">VALUE(IF($D177="poš",$C177,0))+VALUE(IF($H177="poš",$G177,0))</f>
        <v>0</v>
      </c>
      <c r="X177" s="148" t="n">
        <f aca="false">VALUE(IF($D177="tel",$C177,0))+VALUE(IF($H177="tel",$G177,0))</f>
        <v>0</v>
      </c>
      <c r="Y177" s="148" t="n">
        <f aca="false">VALUE(IF($D177="dop",$C177,0))+VALUE(IF($H177="dop",$G177,0))</f>
        <v>0</v>
      </c>
      <c r="Z177" s="148" t="n">
        <f aca="false">VALUE(IF($D177="nák",$C177,0))+VALUE(IF($H177="nák",$G177,0))</f>
        <v>0</v>
      </c>
      <c r="AA177" s="148" t="n">
        <f aca="false">VALUE(IF($D177="náj",$C177,0))+VALUE(IF($H177="náj",$G177,0))</f>
        <v>0</v>
      </c>
      <c r="AB177" s="148" t="n">
        <f aca="false">VALUE(IF($D177="půj",$C177,0))+VALUE(IF($H177="půj",$G177,0))</f>
        <v>0</v>
      </c>
      <c r="AC177" s="148" t="n">
        <f aca="false">VALUE(IF($D177="vst",$C177,0))+VALUE(IF($H177="vst",$G177,0))</f>
        <v>0</v>
      </c>
      <c r="AD177" s="148" t="n">
        <f aca="false">VALUE(IF($D177="kop",$C177,0))+VALUE(IF($H177="kop",$G177,0))</f>
        <v>0</v>
      </c>
      <c r="AE177" s="148" t="n">
        <f aca="false">VALUE(IF($D177="osl",$C177,0))+VALUE(IF($H177="osl",$G177,0))</f>
        <v>0</v>
      </c>
      <c r="AF177" s="148" t="n">
        <f aca="false">VALUE(IF($D177="vra",$C177,0))+VALUE(IF($H177="vra",$G177,0))</f>
        <v>0</v>
      </c>
      <c r="AG177" s="148" t="n">
        <f aca="false">VALUE(IF($D177="zho",$C177,0))+VALUE(IF($H177="zho",$G177,0))</f>
        <v>0</v>
      </c>
      <c r="AH177" s="148" t="n">
        <f aca="false">VALUE(IF($D177="zbú",$C177,0))+VALUE(IF($H177="zbú",$G177,0))</f>
        <v>0</v>
      </c>
      <c r="AI177" s="148" t="n">
        <f aca="false">VALUE(IF($D177="pří",$C177,0))+VALUE(IF($H177="pří",$G177,0))</f>
        <v>0</v>
      </c>
      <c r="AJ177" s="148" t="n">
        <f aca="false">VALUE(IF($D177="dot",$C177,0))+VALUE(IF($H177="dot",$G177,0))</f>
        <v>0</v>
      </c>
      <c r="AK177" s="148" t="n">
        <f aca="false">VALUE(IF($D177="opř",$C177,0))+VALUE(IF($H177="opř",$G177,0))</f>
        <v>0</v>
      </c>
      <c r="AL177" s="148" t="n">
        <f aca="false">SUM(P177:AK177)</f>
        <v>0</v>
      </c>
      <c r="AN177" s="180" t="str">
        <f aca="false">CONCATENATE('Přehled akce'!$K$4," / ",'Přehled akce'!$K$5)</f>
        <v> / </v>
      </c>
      <c r="AO177" s="181" t="n">
        <f aca="false">IF('Příjmy a výdaje'!$G177="ano",'Příjmy a výdaje'!$B177,0)</f>
        <v>0</v>
      </c>
      <c r="AP177" s="182" t="n">
        <f aca="false">IF('Příjmy a výdaje'!$G177="ano",'Příjmy a výdaje'!$C177,0)</f>
        <v>0</v>
      </c>
      <c r="AQ177" s="183" t="n">
        <f aca="false">'Příjmy a výdaje'!$AP177</f>
        <v>0</v>
      </c>
    </row>
    <row r="178" customFormat="false" ht="13.5" hidden="false" customHeight="false" outlineLevel="0" collapsed="false">
      <c r="A178" s="262" t="n">
        <v>161</v>
      </c>
      <c r="B178" s="263"/>
      <c r="C178" s="252"/>
      <c r="D178" s="253"/>
      <c r="E178" s="253"/>
      <c r="F178" s="254"/>
      <c r="G178" s="255"/>
      <c r="H178" s="256"/>
      <c r="I178" s="195"/>
      <c r="J178" s="231" t="str">
        <f aca="false">IF(AL178=C178,IF(AL178=0,"-","ok"),"chyba")</f>
        <v>-</v>
      </c>
      <c r="K178" s="179"/>
      <c r="L178" s="179"/>
      <c r="M178" s="179"/>
      <c r="N178" s="179"/>
      <c r="O178" s="248"/>
      <c r="P178" s="148" t="n">
        <f aca="false">VALUE(IF($D178="vyb",$C178,0))+VALUE(IF($H178="vyb",$G178,0))</f>
        <v>0</v>
      </c>
      <c r="Q178" s="148" t="n">
        <f aca="false">VALUE(IF($D178="mtv",$C178,0))+VALUE(IF($H178="mtv",$G178,0))</f>
        <v>0</v>
      </c>
      <c r="R178" s="148" t="n">
        <f aca="false">VALUE(IF($D178="mat",$C178,0))+VALUE(IF($H178="mat",$G178,0))</f>
        <v>0</v>
      </c>
      <c r="S178" s="148" t="n">
        <f aca="false">VALUE(IF($D178="pot",$C178,0))+VALUE(IF($H178="pot",$G178,0))</f>
        <v>0</v>
      </c>
      <c r="T178" s="148" t="n">
        <f aca="false">VALUE(IF($D178="táb",$C178,0))+VALUE(IF($H178="táb",$G178,0))</f>
        <v>0</v>
      </c>
      <c r="U178" s="148" t="n">
        <f aca="false">VALUE(IF($D178="oma",$C178,0))+VALUE(IF($H178="oma",$G178,0))</f>
        <v>0</v>
      </c>
      <c r="V178" s="148" t="n">
        <f aca="false">VALUE(IF($D178="ces",$C178,0))+VALUE(IF($H178="ces",$G178,0))</f>
        <v>0</v>
      </c>
      <c r="W178" s="148" t="n">
        <f aca="false">VALUE(IF($D178="poš",$C178,0))+VALUE(IF($H178="poš",$G178,0))</f>
        <v>0</v>
      </c>
      <c r="X178" s="148" t="n">
        <f aca="false">VALUE(IF($D178="tel",$C178,0))+VALUE(IF($H178="tel",$G178,0))</f>
        <v>0</v>
      </c>
      <c r="Y178" s="148" t="n">
        <f aca="false">VALUE(IF($D178="dop",$C178,0))+VALUE(IF($H178="dop",$G178,0))</f>
        <v>0</v>
      </c>
      <c r="Z178" s="148" t="n">
        <f aca="false">VALUE(IF($D178="nák",$C178,0))+VALUE(IF($H178="nák",$G178,0))</f>
        <v>0</v>
      </c>
      <c r="AA178" s="148" t="n">
        <f aca="false">VALUE(IF($D178="náj",$C178,0))+VALUE(IF($H178="náj",$G178,0))</f>
        <v>0</v>
      </c>
      <c r="AB178" s="148" t="n">
        <f aca="false">VALUE(IF($D178="půj",$C178,0))+VALUE(IF($H178="půj",$G178,0))</f>
        <v>0</v>
      </c>
      <c r="AC178" s="148" t="n">
        <f aca="false">VALUE(IF($D178="vst",$C178,0))+VALUE(IF($H178="vst",$G178,0))</f>
        <v>0</v>
      </c>
      <c r="AD178" s="148" t="n">
        <f aca="false">VALUE(IF($D178="kop",$C178,0))+VALUE(IF($H178="kop",$G178,0))</f>
        <v>0</v>
      </c>
      <c r="AE178" s="148" t="n">
        <f aca="false">VALUE(IF($D178="osl",$C178,0))+VALUE(IF($H178="osl",$G178,0))</f>
        <v>0</v>
      </c>
      <c r="AF178" s="148" t="n">
        <f aca="false">VALUE(IF($D178="vra",$C178,0))+VALUE(IF($H178="vra",$G178,0))</f>
        <v>0</v>
      </c>
      <c r="AG178" s="148" t="n">
        <f aca="false">VALUE(IF($D178="zho",$C178,0))+VALUE(IF($H178="zho",$G178,0))</f>
        <v>0</v>
      </c>
      <c r="AH178" s="148" t="n">
        <f aca="false">VALUE(IF($D178="zbú",$C178,0))+VALUE(IF($H178="zbú",$G178,0))</f>
        <v>0</v>
      </c>
      <c r="AI178" s="148" t="n">
        <f aca="false">VALUE(IF($D178="pří",$C178,0))+VALUE(IF($H178="pří",$G178,0))</f>
        <v>0</v>
      </c>
      <c r="AJ178" s="148" t="n">
        <f aca="false">VALUE(IF($D178="dot",$C178,0))+VALUE(IF($H178="dot",$G178,0))</f>
        <v>0</v>
      </c>
      <c r="AK178" s="148" t="n">
        <f aca="false">VALUE(IF($D178="opř",$C178,0))+VALUE(IF($H178="opř",$G178,0))</f>
        <v>0</v>
      </c>
      <c r="AL178" s="148" t="n">
        <f aca="false">SUM(P178:AK178)</f>
        <v>0</v>
      </c>
      <c r="AN178" s="180" t="str">
        <f aca="false">CONCATENATE('Přehled akce'!$K$4," / ",'Přehled akce'!$K$5)</f>
        <v> / </v>
      </c>
      <c r="AO178" s="181" t="n">
        <f aca="false">IF('Příjmy a výdaje'!$G178="ano",'Příjmy a výdaje'!$B178,0)</f>
        <v>0</v>
      </c>
      <c r="AP178" s="182" t="n">
        <f aca="false">IF('Příjmy a výdaje'!$G178="ano",'Příjmy a výdaje'!$C178,0)</f>
        <v>0</v>
      </c>
      <c r="AQ178" s="183" t="n">
        <f aca="false">'Příjmy a výdaje'!$AP178</f>
        <v>0</v>
      </c>
    </row>
    <row r="179" customFormat="false" ht="3.75" hidden="false" customHeight="true" outlineLevel="0" collapsed="false">
      <c r="A179" s="259"/>
      <c r="B179" s="264"/>
      <c r="C179" s="265"/>
      <c r="D179" s="259"/>
      <c r="E179" s="259"/>
      <c r="F179" s="264"/>
      <c r="G179" s="266"/>
      <c r="H179" s="207"/>
      <c r="I179" s="241"/>
      <c r="J179" s="210"/>
      <c r="K179" s="210"/>
      <c r="L179" s="210"/>
      <c r="M179" s="210"/>
      <c r="N179" s="210"/>
      <c r="O179" s="260"/>
      <c r="P179" s="148" t="n">
        <f aca="false">VALUE(IF($D179="vyb",$C179,0))+VALUE(IF($H179="vyb",$G179,0))</f>
        <v>0</v>
      </c>
      <c r="Q179" s="148" t="n">
        <f aca="false">VALUE(IF($D179="mtv",$C179,0))+VALUE(IF($H179="mtv",$G179,0))</f>
        <v>0</v>
      </c>
      <c r="R179" s="148" t="n">
        <f aca="false">VALUE(IF($D179="mat",$C179,0))+VALUE(IF($H179="mat",$G179,0))</f>
        <v>0</v>
      </c>
      <c r="S179" s="148" t="n">
        <f aca="false">VALUE(IF($D179="pot",$C179,0))+VALUE(IF($H179="pot",$G179,0))</f>
        <v>0</v>
      </c>
      <c r="T179" s="148" t="n">
        <f aca="false">VALUE(IF($D179="táb",$C179,0))+VALUE(IF($H179="táb",$G179,0))</f>
        <v>0</v>
      </c>
      <c r="U179" s="148" t="n">
        <f aca="false">VALUE(IF($D179="oma",$C179,0))+VALUE(IF($H179="oma",$G179,0))</f>
        <v>0</v>
      </c>
      <c r="V179" s="148" t="n">
        <f aca="false">VALUE(IF($D179="ces",$C179,0))+VALUE(IF($H179="ces",$G179,0))</f>
        <v>0</v>
      </c>
      <c r="W179" s="148" t="n">
        <f aca="false">VALUE(IF($D179="poš",$C179,0))+VALUE(IF($H179="poš",$G179,0))</f>
        <v>0</v>
      </c>
      <c r="X179" s="148" t="n">
        <f aca="false">VALUE(IF($D179="tel",$C179,0))+VALUE(IF($H179="tel",$G179,0))</f>
        <v>0</v>
      </c>
      <c r="Y179" s="148" t="n">
        <f aca="false">VALUE(IF($D179="dop",$C179,0))+VALUE(IF($H179="dop",$G179,0))</f>
        <v>0</v>
      </c>
      <c r="Z179" s="148" t="n">
        <f aca="false">VALUE(IF($D179="nák",$C179,0))+VALUE(IF($H179="nák",$G179,0))</f>
        <v>0</v>
      </c>
      <c r="AA179" s="148" t="n">
        <f aca="false">VALUE(IF($D179="náj",$C179,0))+VALUE(IF($H179="náj",$G179,0))</f>
        <v>0</v>
      </c>
      <c r="AB179" s="148" t="n">
        <f aca="false">VALUE(IF($D179="půj",$C179,0))+VALUE(IF($H179="půj",$G179,0))</f>
        <v>0</v>
      </c>
      <c r="AC179" s="148" t="n">
        <f aca="false">VALUE(IF($D179="vst",$C179,0))+VALUE(IF($H179="vst",$G179,0))</f>
        <v>0</v>
      </c>
      <c r="AD179" s="148" t="n">
        <f aca="false">VALUE(IF($D179="kop",$C179,0))+VALUE(IF($H179="kop",$G179,0))</f>
        <v>0</v>
      </c>
      <c r="AE179" s="148" t="n">
        <f aca="false">VALUE(IF($D179="osl",$C179,0))+VALUE(IF($H179="osl",$G179,0))</f>
        <v>0</v>
      </c>
      <c r="AF179" s="148" t="n">
        <f aca="false">VALUE(IF($D179="vra",$C179,0))+VALUE(IF($H179="vra",$G179,0))</f>
        <v>0</v>
      </c>
      <c r="AG179" s="148" t="n">
        <f aca="false">VALUE(IF($D179="zho",$C179,0))+VALUE(IF($H179="zho",$G179,0))</f>
        <v>0</v>
      </c>
      <c r="AH179" s="148" t="n">
        <f aca="false">VALUE(IF($D179="zbú",$C179,0))+VALUE(IF($H179="zbú",$G179,0))</f>
        <v>0</v>
      </c>
      <c r="AI179" s="148" t="n">
        <f aca="false">VALUE(IF($D179="pří",$C179,0))+VALUE(IF($H179="pří",$G179,0))</f>
        <v>0</v>
      </c>
      <c r="AJ179" s="148" t="n">
        <f aca="false">VALUE(IF($D179="dot",$C179,0))+VALUE(IF($H179="dot",$G179,0))</f>
        <v>0</v>
      </c>
      <c r="AK179" s="148" t="n">
        <f aca="false">VALUE(IF($D179="opř",$C179,0))+VALUE(IF($H179="opř",$G179,0))</f>
        <v>0</v>
      </c>
      <c r="AL179" s="243" t="n">
        <f aca="false">SUM(P179:AK179)</f>
        <v>0</v>
      </c>
      <c r="AM179" s="244"/>
      <c r="AN179" s="180"/>
      <c r="AO179" s="181"/>
      <c r="AP179" s="182"/>
      <c r="AQ179" s="183"/>
      <c r="AR179" s="244"/>
      <c r="AS179" s="244"/>
      <c r="AT179" s="244"/>
      <c r="AU179" s="244"/>
      <c r="AV179" s="244"/>
      <c r="AW179" s="244"/>
      <c r="AX179" s="244"/>
      <c r="AY179" s="244"/>
      <c r="AZ179" s="244"/>
      <c r="BA179" s="244"/>
      <c r="BB179" s="244"/>
      <c r="BC179" s="244"/>
      <c r="BD179" s="244"/>
    </row>
    <row r="180" customFormat="false" ht="18.75" hidden="false" customHeight="true" outlineLevel="0" collapsed="false">
      <c r="A180" s="267"/>
      <c r="B180" s="268" t="s">
        <v>125</v>
      </c>
      <c r="C180" s="268"/>
      <c r="D180" s="268"/>
      <c r="E180" s="268"/>
      <c r="F180" s="268"/>
      <c r="G180" s="268"/>
      <c r="H180" s="268"/>
      <c r="I180" s="151"/>
      <c r="J180" s="212"/>
      <c r="K180" s="151"/>
      <c r="L180" s="151"/>
      <c r="M180" s="1"/>
      <c r="N180" s="1"/>
      <c r="O180" s="239"/>
      <c r="P180" s="148" t="n">
        <f aca="false">VALUE(IF($D180="vyb",$C180,0))+VALUE(IF($H180="vyb",$G180,0))</f>
        <v>0</v>
      </c>
      <c r="Q180" s="148" t="n">
        <f aca="false">VALUE(IF($D180="mtv",$C180,0))+VALUE(IF($H180="mtv",$G180,0))</f>
        <v>0</v>
      </c>
      <c r="R180" s="148" t="n">
        <f aca="false">VALUE(IF($D180="mat",$C180,0))+VALUE(IF($H180="mat",$G180,0))</f>
        <v>0</v>
      </c>
      <c r="S180" s="148" t="n">
        <f aca="false">VALUE(IF($D180="pot",$C180,0))+VALUE(IF($H180="pot",$G180,0))</f>
        <v>0</v>
      </c>
      <c r="T180" s="148" t="n">
        <f aca="false">VALUE(IF($D180="táb",$C180,0))+VALUE(IF($H180="táb",$G180,0))</f>
        <v>0</v>
      </c>
      <c r="U180" s="148" t="n">
        <f aca="false">VALUE(IF($D180="oma",$C180,0))+VALUE(IF($H180="oma",$G180,0))</f>
        <v>0</v>
      </c>
      <c r="V180" s="148" t="n">
        <f aca="false">VALUE(IF($D180="ces",$C180,0))+VALUE(IF($H180="ces",$G180,0))</f>
        <v>0</v>
      </c>
      <c r="W180" s="148" t="n">
        <f aca="false">VALUE(IF($D180="poš",$C180,0))+VALUE(IF($H180="poš",$G180,0))</f>
        <v>0</v>
      </c>
      <c r="X180" s="148" t="n">
        <f aca="false">VALUE(IF($D180="tel",$C180,0))+VALUE(IF($H180="tel",$G180,0))</f>
        <v>0</v>
      </c>
      <c r="Y180" s="148" t="n">
        <f aca="false">VALUE(IF($D180="dop",$C180,0))+VALUE(IF($H180="dop",$G180,0))</f>
        <v>0</v>
      </c>
      <c r="Z180" s="148" t="n">
        <f aca="false">VALUE(IF($D180="nák",$C180,0))+VALUE(IF($H180="nák",$G180,0))</f>
        <v>0</v>
      </c>
      <c r="AA180" s="148" t="n">
        <f aca="false">VALUE(IF($D180="náj",$C180,0))+VALUE(IF($H180="náj",$G180,0))</f>
        <v>0</v>
      </c>
      <c r="AB180" s="148" t="n">
        <f aca="false">VALUE(IF($D180="půj",$C180,0))+VALUE(IF($H180="půj",$G180,0))</f>
        <v>0</v>
      </c>
      <c r="AC180" s="148" t="n">
        <f aca="false">VALUE(IF($D180="vst",$C180,0))+VALUE(IF($H180="vst",$G180,0))</f>
        <v>0</v>
      </c>
      <c r="AD180" s="148" t="n">
        <f aca="false">VALUE(IF($D180="kop",$C180,0))+VALUE(IF($H180="kop",$G180,0))</f>
        <v>0</v>
      </c>
      <c r="AE180" s="148" t="n">
        <f aca="false">VALUE(IF($D180="osl",$C180,0))+VALUE(IF($H180="osl",$G180,0))</f>
        <v>0</v>
      </c>
      <c r="AF180" s="148" t="n">
        <f aca="false">VALUE(IF($D180="vra",$C180,0))+VALUE(IF($H180="vra",$G180,0))</f>
        <v>0</v>
      </c>
      <c r="AG180" s="148" t="n">
        <f aca="false">VALUE(IF($D180="zho",$C180,0))+VALUE(IF($H180="zho",$G180,0))</f>
        <v>0</v>
      </c>
      <c r="AH180" s="148" t="n">
        <f aca="false">VALUE(IF($D180="zbú",$C180,0))+VALUE(IF($H180="zbú",$G180,0))</f>
        <v>0</v>
      </c>
      <c r="AI180" s="148" t="n">
        <f aca="false">VALUE(IF($D180="pří",$C180,0))+VALUE(IF($H180="pří",$G180,0))</f>
        <v>0</v>
      </c>
      <c r="AJ180" s="148" t="n">
        <f aca="false">VALUE(IF($D180="dot",$C180,0))+VALUE(IF($H180="dot",$G180,0))</f>
        <v>0</v>
      </c>
      <c r="AK180" s="148" t="n">
        <f aca="false">VALUE(IF($D180="opř",$C180,0))+VALUE(IF($H180="opř",$G180,0))</f>
        <v>0</v>
      </c>
      <c r="AN180" s="180"/>
      <c r="AO180" s="181"/>
      <c r="AP180" s="182"/>
      <c r="AQ180" s="183"/>
    </row>
    <row r="181" customFormat="false" ht="13.5" hidden="false" customHeight="false" outlineLevel="0" collapsed="false">
      <c r="A181" s="269"/>
      <c r="B181" s="158" t="s">
        <v>26</v>
      </c>
      <c r="C181" s="159" t="s">
        <v>109</v>
      </c>
      <c r="D181" s="160" t="s">
        <v>24</v>
      </c>
      <c r="E181" s="162" t="s">
        <v>110</v>
      </c>
      <c r="F181" s="162" t="s">
        <v>111</v>
      </c>
      <c r="G181" s="163" t="s">
        <v>112</v>
      </c>
      <c r="H181" s="215"/>
      <c r="I181" s="261"/>
      <c r="J181" s="166" t="s">
        <v>113</v>
      </c>
      <c r="K181" s="167"/>
      <c r="L181" s="167"/>
      <c r="M181" s="167"/>
      <c r="N181" s="167"/>
      <c r="O181" s="239"/>
      <c r="P181" s="148" t="n">
        <f aca="false">VALUE(IF($D181="vyb",$C181,0))+VALUE(IF($H181="vyb",$G181,0))</f>
        <v>0</v>
      </c>
      <c r="Q181" s="148" t="n">
        <f aca="false">VALUE(IF($D181="mtv",$C181,0))+VALUE(IF($H181="mtv",$G181,0))</f>
        <v>0</v>
      </c>
      <c r="R181" s="148" t="n">
        <f aca="false">VALUE(IF($D181="mat",$C181,0))+VALUE(IF($H181="mat",$G181,0))</f>
        <v>0</v>
      </c>
      <c r="S181" s="148" t="n">
        <f aca="false">VALUE(IF($D181="pot",$C181,0))+VALUE(IF($H181="pot",$G181,0))</f>
        <v>0</v>
      </c>
      <c r="T181" s="148" t="n">
        <f aca="false">VALUE(IF($D181="táb",$C181,0))+VALUE(IF($H181="táb",$G181,0))</f>
        <v>0</v>
      </c>
      <c r="U181" s="148" t="n">
        <f aca="false">VALUE(IF($D181="oma",$C181,0))+VALUE(IF($H181="oma",$G181,0))</f>
        <v>0</v>
      </c>
      <c r="V181" s="148" t="n">
        <f aca="false">VALUE(IF($D181="ces",$C181,0))+VALUE(IF($H181="ces",$G181,0))</f>
        <v>0</v>
      </c>
      <c r="W181" s="148" t="n">
        <f aca="false">VALUE(IF($D181="poš",$C181,0))+VALUE(IF($H181="poš",$G181,0))</f>
        <v>0</v>
      </c>
      <c r="X181" s="148" t="n">
        <f aca="false">VALUE(IF($D181="tel",$C181,0))+VALUE(IF($H181="tel",$G181,0))</f>
        <v>0</v>
      </c>
      <c r="Y181" s="148" t="n">
        <f aca="false">VALUE(IF($D181="dop",$C181,0))+VALUE(IF($H181="dop",$G181,0))</f>
        <v>0</v>
      </c>
      <c r="Z181" s="148" t="n">
        <f aca="false">VALUE(IF($D181="nák",$C181,0))+VALUE(IF($H181="nák",$G181,0))</f>
        <v>0</v>
      </c>
      <c r="AA181" s="148" t="n">
        <f aca="false">VALUE(IF($D181="náj",$C181,0))+VALUE(IF($H181="náj",$G181,0))</f>
        <v>0</v>
      </c>
      <c r="AB181" s="148" t="n">
        <f aca="false">VALUE(IF($D181="půj",$C181,0))+VALUE(IF($H181="půj",$G181,0))</f>
        <v>0</v>
      </c>
      <c r="AC181" s="148" t="n">
        <f aca="false">VALUE(IF($D181="vst",$C181,0))+VALUE(IF($H181="vst",$G181,0))</f>
        <v>0</v>
      </c>
      <c r="AD181" s="148" t="n">
        <f aca="false">VALUE(IF($D181="kop",$C181,0))+VALUE(IF($H181="kop",$G181,0))</f>
        <v>0</v>
      </c>
      <c r="AE181" s="148" t="n">
        <f aca="false">VALUE(IF($D181="osl",$C181,0))+VALUE(IF($H181="osl",$G181,0))</f>
        <v>0</v>
      </c>
      <c r="AF181" s="148" t="n">
        <f aca="false">VALUE(IF($D181="vra",$C181,0))+VALUE(IF($H181="vra",$G181,0))</f>
        <v>0</v>
      </c>
      <c r="AG181" s="148" t="n">
        <f aca="false">VALUE(IF($D181="zho",$C181,0))+VALUE(IF($H181="zho",$G181,0))</f>
        <v>0</v>
      </c>
      <c r="AH181" s="148" t="n">
        <f aca="false">VALUE(IF($D181="zbú",$C181,0))+VALUE(IF($H181="zbú",$G181,0))</f>
        <v>0</v>
      </c>
      <c r="AI181" s="148" t="n">
        <f aca="false">VALUE(IF($D181="pří",$C181,0))+VALUE(IF($H181="pří",$G181,0))</f>
        <v>0</v>
      </c>
      <c r="AJ181" s="148" t="n">
        <f aca="false">VALUE(IF($D181="dot",$C181,0))+VALUE(IF($H181="dot",$G181,0))</f>
        <v>0</v>
      </c>
      <c r="AK181" s="148" t="n">
        <f aca="false">VALUE(IF($D181="opř",$C181,0))+VALUE(IF($H181="opř",$G181,0))</f>
        <v>0</v>
      </c>
      <c r="AL181" s="148" t="s">
        <v>116</v>
      </c>
      <c r="AN181" s="180"/>
      <c r="AO181" s="181"/>
      <c r="AP181" s="182"/>
      <c r="AQ181" s="183"/>
    </row>
    <row r="182" customFormat="false" ht="13.5" hidden="false" customHeight="false" outlineLevel="0" collapsed="false">
      <c r="A182" s="169" t="n">
        <v>162</v>
      </c>
      <c r="B182" s="217"/>
      <c r="C182" s="171"/>
      <c r="D182" s="172"/>
      <c r="E182" s="174"/>
      <c r="F182" s="219"/>
      <c r="G182" s="220"/>
      <c r="H182" s="176"/>
      <c r="I182" s="246"/>
      <c r="J182" s="178" t="str">
        <f aca="false">IF(AL182=C182,IF(AL182=0,"-","ok"),"chyba")</f>
        <v>-</v>
      </c>
      <c r="K182" s="179"/>
      <c r="L182" s="179"/>
      <c r="M182" s="179"/>
      <c r="N182" s="179"/>
      <c r="O182" s="239"/>
      <c r="P182" s="148" t="n">
        <f aca="false">VALUE(IF($D182="vyb",$C182,0))+VALUE(IF($H182="vyb",$G182,0))</f>
        <v>0</v>
      </c>
      <c r="Q182" s="148" t="n">
        <f aca="false">VALUE(IF($D182="mtv",$C182,0))+VALUE(IF($H182="mtv",$G182,0))</f>
        <v>0</v>
      </c>
      <c r="R182" s="148" t="n">
        <f aca="false">VALUE(IF($D182="mat",$C182,0))+VALUE(IF($H182="mat",$G182,0))</f>
        <v>0</v>
      </c>
      <c r="S182" s="148" t="n">
        <f aca="false">VALUE(IF($D182="pot",$C182,0))+VALUE(IF($H182="pot",$G182,0))</f>
        <v>0</v>
      </c>
      <c r="T182" s="148" t="n">
        <f aca="false">VALUE(IF($D182="táb",$C182,0))+VALUE(IF($H182="táb",$G182,0))</f>
        <v>0</v>
      </c>
      <c r="U182" s="148" t="n">
        <f aca="false">VALUE(IF($D182="oma",$C182,0))+VALUE(IF($H182="oma",$G182,0))</f>
        <v>0</v>
      </c>
      <c r="V182" s="148" t="n">
        <f aca="false">VALUE(IF($D182="ces",$C182,0))+VALUE(IF($H182="ces",$G182,0))</f>
        <v>0</v>
      </c>
      <c r="W182" s="148" t="n">
        <f aca="false">VALUE(IF($D182="poš",$C182,0))+VALUE(IF($H182="poš",$G182,0))</f>
        <v>0</v>
      </c>
      <c r="X182" s="148" t="n">
        <f aca="false">VALUE(IF($D182="tel",$C182,0))+VALUE(IF($H182="tel",$G182,0))</f>
        <v>0</v>
      </c>
      <c r="Y182" s="148" t="n">
        <f aca="false">VALUE(IF($D182="dop",$C182,0))+VALUE(IF($H182="dop",$G182,0))</f>
        <v>0</v>
      </c>
      <c r="Z182" s="148" t="n">
        <f aca="false">VALUE(IF($D182="nák",$C182,0))+VALUE(IF($H182="nák",$G182,0))</f>
        <v>0</v>
      </c>
      <c r="AA182" s="148" t="n">
        <f aca="false">VALUE(IF($D182="náj",$C182,0))+VALUE(IF($H182="náj",$G182,0))</f>
        <v>0</v>
      </c>
      <c r="AB182" s="148" t="n">
        <f aca="false">VALUE(IF($D182="půj",$C182,0))+VALUE(IF($H182="půj",$G182,0))</f>
        <v>0</v>
      </c>
      <c r="AC182" s="148" t="n">
        <f aca="false">VALUE(IF($D182="vst",$C182,0))+VALUE(IF($H182="vst",$G182,0))</f>
        <v>0</v>
      </c>
      <c r="AD182" s="148" t="n">
        <f aca="false">VALUE(IF($D182="kop",$C182,0))+VALUE(IF($H182="kop",$G182,0))</f>
        <v>0</v>
      </c>
      <c r="AE182" s="148" t="n">
        <f aca="false">VALUE(IF($D182="osl",$C182,0))+VALUE(IF($H182="osl",$G182,0))</f>
        <v>0</v>
      </c>
      <c r="AF182" s="148" t="n">
        <f aca="false">VALUE(IF($D182="vra",$C182,0))+VALUE(IF($H182="vra",$G182,0))</f>
        <v>0</v>
      </c>
      <c r="AG182" s="148" t="n">
        <f aca="false">VALUE(IF($D182="zho",$C182,0))+VALUE(IF($H182="zho",$G182,0))</f>
        <v>0</v>
      </c>
      <c r="AH182" s="148" t="n">
        <f aca="false">VALUE(IF($D182="zbú",$C182,0))+VALUE(IF($H182="zbú",$G182,0))</f>
        <v>0</v>
      </c>
      <c r="AI182" s="148" t="n">
        <f aca="false">VALUE(IF($D182="pří",$C182,0))+VALUE(IF($H182="pří",$G182,0))</f>
        <v>0</v>
      </c>
      <c r="AJ182" s="148" t="n">
        <f aca="false">VALUE(IF($D182="dot",$C182,0))+VALUE(IF($H182="dot",$G182,0))</f>
        <v>0</v>
      </c>
      <c r="AK182" s="148" t="n">
        <f aca="false">VALUE(IF($D182="opř",$C182,0))+VALUE(IF($H182="opř",$G182,0))</f>
        <v>0</v>
      </c>
      <c r="AL182" s="148" t="n">
        <f aca="false">SUM(P182:AK182)</f>
        <v>0</v>
      </c>
      <c r="AN182" s="180" t="str">
        <f aca="false">CONCATENATE('Přehled akce'!$K$4," / ",'Přehled akce'!$K$5)</f>
        <v> / </v>
      </c>
      <c r="AO182" s="181" t="n">
        <f aca="false">IF('Příjmy a výdaje'!$G182="ano",'Příjmy a výdaje'!$B182,0)</f>
        <v>0</v>
      </c>
      <c r="AP182" s="182" t="n">
        <f aca="false">IF('Příjmy a výdaje'!$G182="ano",'Příjmy a výdaje'!$C182,0)</f>
        <v>0</v>
      </c>
      <c r="AQ182" s="183" t="n">
        <f aca="false">'Příjmy a výdaje'!$AP182</f>
        <v>0</v>
      </c>
    </row>
    <row r="183" customFormat="false" ht="12.75" hidden="false" customHeight="false" outlineLevel="0" collapsed="false">
      <c r="A183" s="169" t="n">
        <v>163</v>
      </c>
      <c r="B183" s="222"/>
      <c r="C183" s="185"/>
      <c r="D183" s="186"/>
      <c r="E183" s="188"/>
      <c r="F183" s="223"/>
      <c r="G183" s="224"/>
      <c r="H183" s="190"/>
      <c r="I183" s="246"/>
      <c r="J183" s="178" t="str">
        <f aca="false">IF(AL183=C183,IF(AL183=0,"-","ok"),"chyba")</f>
        <v>-</v>
      </c>
      <c r="K183" s="179"/>
      <c r="L183" s="179"/>
      <c r="M183" s="179"/>
      <c r="N183" s="179"/>
      <c r="O183" s="239"/>
      <c r="P183" s="148" t="n">
        <f aca="false">VALUE(IF($D183="vyb",$C183,0))+VALUE(IF($H183="vyb",$G183,0))</f>
        <v>0</v>
      </c>
      <c r="Q183" s="148" t="n">
        <f aca="false">VALUE(IF($D183="mtv",$C183,0))+VALUE(IF($H183="mtv",$G183,0))</f>
        <v>0</v>
      </c>
      <c r="R183" s="148" t="n">
        <f aca="false">VALUE(IF($D183="mat",$C183,0))+VALUE(IF($H183="mat",$G183,0))</f>
        <v>0</v>
      </c>
      <c r="S183" s="148" t="n">
        <f aca="false">VALUE(IF($D183="pot",$C183,0))+VALUE(IF($H183="pot",$G183,0))</f>
        <v>0</v>
      </c>
      <c r="T183" s="148" t="n">
        <f aca="false">VALUE(IF($D183="táb",$C183,0))+VALUE(IF($H183="táb",$G183,0))</f>
        <v>0</v>
      </c>
      <c r="U183" s="148" t="n">
        <f aca="false">VALUE(IF($D183="oma",$C183,0))+VALUE(IF($H183="oma",$G183,0))</f>
        <v>0</v>
      </c>
      <c r="V183" s="148" t="n">
        <f aca="false">VALUE(IF($D183="ces",$C183,0))+VALUE(IF($H183="ces",$G183,0))</f>
        <v>0</v>
      </c>
      <c r="W183" s="148" t="n">
        <f aca="false">VALUE(IF($D183="poš",$C183,0))+VALUE(IF($H183="poš",$G183,0))</f>
        <v>0</v>
      </c>
      <c r="X183" s="148" t="n">
        <f aca="false">VALUE(IF($D183="tel",$C183,0))+VALUE(IF($H183="tel",$G183,0))</f>
        <v>0</v>
      </c>
      <c r="Y183" s="148" t="n">
        <f aca="false">VALUE(IF($D183="dop",$C183,0))+VALUE(IF($H183="dop",$G183,0))</f>
        <v>0</v>
      </c>
      <c r="Z183" s="148" t="n">
        <f aca="false">VALUE(IF($D183="nák",$C183,0))+VALUE(IF($H183="nák",$G183,0))</f>
        <v>0</v>
      </c>
      <c r="AA183" s="148" t="n">
        <f aca="false">VALUE(IF($D183="náj",$C183,0))+VALUE(IF($H183="náj",$G183,0))</f>
        <v>0</v>
      </c>
      <c r="AB183" s="148" t="n">
        <f aca="false">VALUE(IF($D183="půj",$C183,0))+VALUE(IF($H183="půj",$G183,0))</f>
        <v>0</v>
      </c>
      <c r="AC183" s="148" t="n">
        <f aca="false">VALUE(IF($D183="vst",$C183,0))+VALUE(IF($H183="vst",$G183,0))</f>
        <v>0</v>
      </c>
      <c r="AD183" s="148" t="n">
        <f aca="false">VALUE(IF($D183="kop",$C183,0))+VALUE(IF($H183="kop",$G183,0))</f>
        <v>0</v>
      </c>
      <c r="AE183" s="148" t="n">
        <f aca="false">VALUE(IF($D183="osl",$C183,0))+VALUE(IF($H183="osl",$G183,0))</f>
        <v>0</v>
      </c>
      <c r="AF183" s="148" t="n">
        <f aca="false">VALUE(IF($D183="vra",$C183,0))+VALUE(IF($H183="vra",$G183,0))</f>
        <v>0</v>
      </c>
      <c r="AG183" s="148" t="n">
        <f aca="false">VALUE(IF($D183="zho",$C183,0))+VALUE(IF($H183="zho",$G183,0))</f>
        <v>0</v>
      </c>
      <c r="AH183" s="148" t="n">
        <f aca="false">VALUE(IF($D183="zbú",$C183,0))+VALUE(IF($H183="zbú",$G183,0))</f>
        <v>0</v>
      </c>
      <c r="AI183" s="148" t="n">
        <f aca="false">VALUE(IF($D183="pří",$C183,0))+VALUE(IF($H183="pří",$G183,0))</f>
        <v>0</v>
      </c>
      <c r="AJ183" s="148" t="n">
        <f aca="false">VALUE(IF($D183="dot",$C183,0))+VALUE(IF($H183="dot",$G183,0))</f>
        <v>0</v>
      </c>
      <c r="AK183" s="148" t="n">
        <f aca="false">VALUE(IF($D183="opř",$C183,0))+VALUE(IF($H183="opř",$G183,0))</f>
        <v>0</v>
      </c>
      <c r="AL183" s="148" t="n">
        <f aca="false">SUM(P183:AK183)</f>
        <v>0</v>
      </c>
      <c r="AN183" s="180" t="str">
        <f aca="false">CONCATENATE('Přehled akce'!$K$4," / ",'Přehled akce'!$K$5)</f>
        <v> / </v>
      </c>
      <c r="AO183" s="181" t="n">
        <f aca="false">IF('Příjmy a výdaje'!$G183="ano",'Příjmy a výdaje'!$B183,0)</f>
        <v>0</v>
      </c>
      <c r="AP183" s="182" t="n">
        <f aca="false">IF('Příjmy a výdaje'!$G183="ano",'Příjmy a výdaje'!$C183,0)</f>
        <v>0</v>
      </c>
      <c r="AQ183" s="183" t="n">
        <f aca="false">'Příjmy a výdaje'!$AP183</f>
        <v>0</v>
      </c>
    </row>
    <row r="184" customFormat="false" ht="12.75" hidden="false" customHeight="false" outlineLevel="0" collapsed="false">
      <c r="A184" s="169" t="n">
        <v>164</v>
      </c>
      <c r="B184" s="222"/>
      <c r="C184" s="185"/>
      <c r="D184" s="186"/>
      <c r="E184" s="188"/>
      <c r="F184" s="223"/>
      <c r="G184" s="224"/>
      <c r="H184" s="190"/>
      <c r="I184" s="246"/>
      <c r="J184" s="178" t="str">
        <f aca="false">IF(AL184=C184,IF(AL184=0,"-","ok"),"chyba")</f>
        <v>-</v>
      </c>
      <c r="K184" s="179"/>
      <c r="L184" s="179"/>
      <c r="M184" s="179"/>
      <c r="N184" s="179"/>
      <c r="O184" s="239"/>
      <c r="P184" s="148" t="n">
        <f aca="false">VALUE(IF($D184="vyb",$C184,0))+VALUE(IF($H184="vyb",$G184,0))</f>
        <v>0</v>
      </c>
      <c r="Q184" s="148" t="n">
        <f aca="false">VALUE(IF($D184="mtv",$C184,0))+VALUE(IF($H184="mtv",$G184,0))</f>
        <v>0</v>
      </c>
      <c r="R184" s="148" t="n">
        <f aca="false">VALUE(IF($D184="mat",$C184,0))+VALUE(IF($H184="mat",$G184,0))</f>
        <v>0</v>
      </c>
      <c r="S184" s="148" t="n">
        <f aca="false">VALUE(IF($D184="pot",$C184,0))+VALUE(IF($H184="pot",$G184,0))</f>
        <v>0</v>
      </c>
      <c r="T184" s="148" t="n">
        <f aca="false">VALUE(IF($D184="táb",$C184,0))+VALUE(IF($H184="táb",$G184,0))</f>
        <v>0</v>
      </c>
      <c r="U184" s="148" t="n">
        <f aca="false">VALUE(IF($D184="oma",$C184,0))+VALUE(IF($H184="oma",$G184,0))</f>
        <v>0</v>
      </c>
      <c r="V184" s="148" t="n">
        <f aca="false">VALUE(IF($D184="ces",$C184,0))+VALUE(IF($H184="ces",$G184,0))</f>
        <v>0</v>
      </c>
      <c r="W184" s="148" t="n">
        <f aca="false">VALUE(IF($D184="poš",$C184,0))+VALUE(IF($H184="poš",$G184,0))</f>
        <v>0</v>
      </c>
      <c r="X184" s="148" t="n">
        <f aca="false">VALUE(IF($D184="tel",$C184,0))+VALUE(IF($H184="tel",$G184,0))</f>
        <v>0</v>
      </c>
      <c r="Y184" s="148" t="n">
        <f aca="false">VALUE(IF($D184="dop",$C184,0))+VALUE(IF($H184="dop",$G184,0))</f>
        <v>0</v>
      </c>
      <c r="Z184" s="148" t="n">
        <f aca="false">VALUE(IF($D184="nák",$C184,0))+VALUE(IF($H184="nák",$G184,0))</f>
        <v>0</v>
      </c>
      <c r="AA184" s="148" t="n">
        <f aca="false">VALUE(IF($D184="náj",$C184,0))+VALUE(IF($H184="náj",$G184,0))</f>
        <v>0</v>
      </c>
      <c r="AB184" s="148" t="n">
        <f aca="false">VALUE(IF($D184="půj",$C184,0))+VALUE(IF($H184="půj",$G184,0))</f>
        <v>0</v>
      </c>
      <c r="AC184" s="148" t="n">
        <f aca="false">VALUE(IF($D184="vst",$C184,0))+VALUE(IF($H184="vst",$G184,0))</f>
        <v>0</v>
      </c>
      <c r="AD184" s="148" t="n">
        <f aca="false">VALUE(IF($D184="kop",$C184,0))+VALUE(IF($H184="kop",$G184,0))</f>
        <v>0</v>
      </c>
      <c r="AE184" s="148" t="n">
        <f aca="false">VALUE(IF($D184="osl",$C184,0))+VALUE(IF($H184="osl",$G184,0))</f>
        <v>0</v>
      </c>
      <c r="AF184" s="148" t="n">
        <f aca="false">VALUE(IF($D184="vra",$C184,0))+VALUE(IF($H184="vra",$G184,0))</f>
        <v>0</v>
      </c>
      <c r="AG184" s="148" t="n">
        <f aca="false">VALUE(IF($D184="zho",$C184,0))+VALUE(IF($H184="zho",$G184,0))</f>
        <v>0</v>
      </c>
      <c r="AH184" s="148" t="n">
        <f aca="false">VALUE(IF($D184="zbú",$C184,0))+VALUE(IF($H184="zbú",$G184,0))</f>
        <v>0</v>
      </c>
      <c r="AI184" s="148" t="n">
        <f aca="false">VALUE(IF($D184="pří",$C184,0))+VALUE(IF($H184="pří",$G184,0))</f>
        <v>0</v>
      </c>
      <c r="AJ184" s="148" t="n">
        <f aca="false">VALUE(IF($D184="dot",$C184,0))+VALUE(IF($H184="dot",$G184,0))</f>
        <v>0</v>
      </c>
      <c r="AK184" s="148" t="n">
        <f aca="false">VALUE(IF($D184="opř",$C184,0))+VALUE(IF($H184="opř",$G184,0))</f>
        <v>0</v>
      </c>
      <c r="AL184" s="148" t="n">
        <f aca="false">SUM(P184:AK184)</f>
        <v>0</v>
      </c>
      <c r="AN184" s="180" t="str">
        <f aca="false">CONCATENATE('Přehled akce'!$K$4," / ",'Přehled akce'!$K$5)</f>
        <v> / </v>
      </c>
      <c r="AO184" s="181" t="n">
        <f aca="false">IF('Příjmy a výdaje'!$G184="ano",'Příjmy a výdaje'!$B184,0)</f>
        <v>0</v>
      </c>
      <c r="AP184" s="182" t="n">
        <f aca="false">IF('Příjmy a výdaje'!$G184="ano",'Příjmy a výdaje'!$C184,0)</f>
        <v>0</v>
      </c>
      <c r="AQ184" s="183" t="n">
        <f aca="false">'Příjmy a výdaje'!$AP184</f>
        <v>0</v>
      </c>
    </row>
    <row r="185" customFormat="false" ht="12.75" hidden="false" customHeight="false" outlineLevel="0" collapsed="false">
      <c r="A185" s="169" t="n">
        <v>165</v>
      </c>
      <c r="B185" s="222"/>
      <c r="C185" s="185"/>
      <c r="D185" s="186"/>
      <c r="E185" s="188"/>
      <c r="F185" s="223"/>
      <c r="G185" s="224"/>
      <c r="H185" s="190"/>
      <c r="I185" s="246"/>
      <c r="J185" s="178" t="str">
        <f aca="false">IF(AL185=C185,IF(AL185=0,"-","ok"),"chyba")</f>
        <v>-</v>
      </c>
      <c r="K185" s="179"/>
      <c r="L185" s="179"/>
      <c r="M185" s="179"/>
      <c r="N185" s="179"/>
      <c r="O185" s="239"/>
      <c r="P185" s="148" t="n">
        <f aca="false">VALUE(IF($D185="vyb",$C185,0))+VALUE(IF($H185="vyb",$G185,0))</f>
        <v>0</v>
      </c>
      <c r="Q185" s="148" t="n">
        <f aca="false">VALUE(IF($D185="mtv",$C185,0))+VALUE(IF($H185="mtv",$G185,0))</f>
        <v>0</v>
      </c>
      <c r="R185" s="148" t="n">
        <f aca="false">VALUE(IF($D185="mat",$C185,0))+VALUE(IF($H185="mat",$G185,0))</f>
        <v>0</v>
      </c>
      <c r="S185" s="148" t="n">
        <f aca="false">VALUE(IF($D185="pot",$C185,0))+VALUE(IF($H185="pot",$G185,0))</f>
        <v>0</v>
      </c>
      <c r="T185" s="148" t="n">
        <f aca="false">VALUE(IF($D185="táb",$C185,0))+VALUE(IF($H185="táb",$G185,0))</f>
        <v>0</v>
      </c>
      <c r="U185" s="148" t="n">
        <f aca="false">VALUE(IF($D185="oma",$C185,0))+VALUE(IF($H185="oma",$G185,0))</f>
        <v>0</v>
      </c>
      <c r="V185" s="148" t="n">
        <f aca="false">VALUE(IF($D185="ces",$C185,0))+VALUE(IF($H185="ces",$G185,0))</f>
        <v>0</v>
      </c>
      <c r="W185" s="148" t="n">
        <f aca="false">VALUE(IF($D185="poš",$C185,0))+VALUE(IF($H185="poš",$G185,0))</f>
        <v>0</v>
      </c>
      <c r="X185" s="148" t="n">
        <f aca="false">VALUE(IF($D185="tel",$C185,0))+VALUE(IF($H185="tel",$G185,0))</f>
        <v>0</v>
      </c>
      <c r="Y185" s="148" t="n">
        <f aca="false">VALUE(IF($D185="dop",$C185,0))+VALUE(IF($H185="dop",$G185,0))</f>
        <v>0</v>
      </c>
      <c r="Z185" s="148" t="n">
        <f aca="false">VALUE(IF($D185="nák",$C185,0))+VALUE(IF($H185="nák",$G185,0))</f>
        <v>0</v>
      </c>
      <c r="AA185" s="148" t="n">
        <f aca="false">VALUE(IF($D185="náj",$C185,0))+VALUE(IF($H185="náj",$G185,0))</f>
        <v>0</v>
      </c>
      <c r="AB185" s="148" t="n">
        <f aca="false">VALUE(IF($D185="půj",$C185,0))+VALUE(IF($H185="půj",$G185,0))</f>
        <v>0</v>
      </c>
      <c r="AC185" s="148" t="n">
        <f aca="false">VALUE(IF($D185="vst",$C185,0))+VALUE(IF($H185="vst",$G185,0))</f>
        <v>0</v>
      </c>
      <c r="AD185" s="148" t="n">
        <f aca="false">VALUE(IF($D185="kop",$C185,0))+VALUE(IF($H185="kop",$G185,0))</f>
        <v>0</v>
      </c>
      <c r="AE185" s="148" t="n">
        <f aca="false">VALUE(IF($D185="osl",$C185,0))+VALUE(IF($H185="osl",$G185,0))</f>
        <v>0</v>
      </c>
      <c r="AF185" s="148" t="n">
        <f aca="false">VALUE(IF($D185="vra",$C185,0))+VALUE(IF($H185="vra",$G185,0))</f>
        <v>0</v>
      </c>
      <c r="AG185" s="148" t="n">
        <f aca="false">VALUE(IF($D185="zho",$C185,0))+VALUE(IF($H185="zho",$G185,0))</f>
        <v>0</v>
      </c>
      <c r="AH185" s="148" t="n">
        <f aca="false">VALUE(IF($D185="zbú",$C185,0))+VALUE(IF($H185="zbú",$G185,0))</f>
        <v>0</v>
      </c>
      <c r="AI185" s="148" t="n">
        <f aca="false">VALUE(IF($D185="pří",$C185,0))+VALUE(IF($H185="pří",$G185,0))</f>
        <v>0</v>
      </c>
      <c r="AJ185" s="148" t="n">
        <f aca="false">VALUE(IF($D185="dot",$C185,0))+VALUE(IF($H185="dot",$G185,0))</f>
        <v>0</v>
      </c>
      <c r="AK185" s="148" t="n">
        <f aca="false">VALUE(IF($D185="opř",$C185,0))+VALUE(IF($H185="opř",$G185,0))</f>
        <v>0</v>
      </c>
      <c r="AL185" s="148" t="n">
        <f aca="false">SUM(P185:AK185)</f>
        <v>0</v>
      </c>
      <c r="AN185" s="180" t="str">
        <f aca="false">CONCATENATE('Přehled akce'!$K$4," / ",'Přehled akce'!$K$5)</f>
        <v> / </v>
      </c>
      <c r="AO185" s="181" t="n">
        <f aca="false">IF('Příjmy a výdaje'!$G185="ano",'Příjmy a výdaje'!$B185,0)</f>
        <v>0</v>
      </c>
      <c r="AP185" s="182" t="n">
        <f aca="false">IF('Příjmy a výdaje'!$G185="ano",'Příjmy a výdaje'!$C185,0)</f>
        <v>0</v>
      </c>
      <c r="AQ185" s="183" t="n">
        <f aca="false">'Příjmy a výdaje'!$AP185</f>
        <v>0</v>
      </c>
    </row>
    <row r="186" customFormat="false" ht="12.75" hidden="false" customHeight="false" outlineLevel="0" collapsed="false">
      <c r="A186" s="169" t="n">
        <v>166</v>
      </c>
      <c r="B186" s="222"/>
      <c r="C186" s="185"/>
      <c r="D186" s="186"/>
      <c r="E186" s="188"/>
      <c r="F186" s="223"/>
      <c r="G186" s="224"/>
      <c r="H186" s="190"/>
      <c r="I186" s="246"/>
      <c r="J186" s="178" t="str">
        <f aca="false">IF(AL186=C186,IF(AL186=0,"-","ok"),"chyba")</f>
        <v>-</v>
      </c>
      <c r="K186" s="179"/>
      <c r="L186" s="179"/>
      <c r="M186" s="179"/>
      <c r="N186" s="179"/>
      <c r="O186" s="239"/>
      <c r="P186" s="148" t="n">
        <f aca="false">VALUE(IF($D186="vyb",$C186,0))+VALUE(IF($H186="vyb",$G186,0))</f>
        <v>0</v>
      </c>
      <c r="Q186" s="148" t="n">
        <f aca="false">VALUE(IF($D186="mtv",$C186,0))+VALUE(IF($H186="mtv",$G186,0))</f>
        <v>0</v>
      </c>
      <c r="R186" s="148" t="n">
        <f aca="false">VALUE(IF($D186="mat",$C186,0))+VALUE(IF($H186="mat",$G186,0))</f>
        <v>0</v>
      </c>
      <c r="S186" s="148" t="n">
        <f aca="false">VALUE(IF($D186="pot",$C186,0))+VALUE(IF($H186="pot",$G186,0))</f>
        <v>0</v>
      </c>
      <c r="T186" s="148" t="n">
        <f aca="false">VALUE(IF($D186="táb",$C186,0))+VALUE(IF($H186="táb",$G186,0))</f>
        <v>0</v>
      </c>
      <c r="U186" s="148" t="n">
        <f aca="false">VALUE(IF($D186="oma",$C186,0))+VALUE(IF($H186="oma",$G186,0))</f>
        <v>0</v>
      </c>
      <c r="V186" s="148" t="n">
        <f aca="false">VALUE(IF($D186="ces",$C186,0))+VALUE(IF($H186="ces",$G186,0))</f>
        <v>0</v>
      </c>
      <c r="W186" s="148" t="n">
        <f aca="false">VALUE(IF($D186="poš",$C186,0))+VALUE(IF($H186="poš",$G186,0))</f>
        <v>0</v>
      </c>
      <c r="X186" s="148" t="n">
        <f aca="false">VALUE(IF($D186="tel",$C186,0))+VALUE(IF($H186="tel",$G186,0))</f>
        <v>0</v>
      </c>
      <c r="Y186" s="148" t="n">
        <f aca="false">VALUE(IF($D186="dop",$C186,0))+VALUE(IF($H186="dop",$G186,0))</f>
        <v>0</v>
      </c>
      <c r="Z186" s="148" t="n">
        <f aca="false">VALUE(IF($D186="nák",$C186,0))+VALUE(IF($H186="nák",$G186,0))</f>
        <v>0</v>
      </c>
      <c r="AA186" s="148" t="n">
        <f aca="false">VALUE(IF($D186="náj",$C186,0))+VALUE(IF($H186="náj",$G186,0))</f>
        <v>0</v>
      </c>
      <c r="AB186" s="148" t="n">
        <f aca="false">VALUE(IF($D186="půj",$C186,0))+VALUE(IF($H186="půj",$G186,0))</f>
        <v>0</v>
      </c>
      <c r="AC186" s="148" t="n">
        <f aca="false">VALUE(IF($D186="vst",$C186,0))+VALUE(IF($H186="vst",$G186,0))</f>
        <v>0</v>
      </c>
      <c r="AD186" s="148" t="n">
        <f aca="false">VALUE(IF($D186="kop",$C186,0))+VALUE(IF($H186="kop",$G186,0))</f>
        <v>0</v>
      </c>
      <c r="AE186" s="148" t="n">
        <f aca="false">VALUE(IF($D186="osl",$C186,0))+VALUE(IF($H186="osl",$G186,0))</f>
        <v>0</v>
      </c>
      <c r="AF186" s="148" t="n">
        <f aca="false">VALUE(IF($D186="vra",$C186,0))+VALUE(IF($H186="vra",$G186,0))</f>
        <v>0</v>
      </c>
      <c r="AG186" s="148" t="n">
        <f aca="false">VALUE(IF($D186="zho",$C186,0))+VALUE(IF($H186="zho",$G186,0))</f>
        <v>0</v>
      </c>
      <c r="AH186" s="148" t="n">
        <f aca="false">VALUE(IF($D186="zbú",$C186,0))+VALUE(IF($H186="zbú",$G186,0))</f>
        <v>0</v>
      </c>
      <c r="AI186" s="148" t="n">
        <f aca="false">VALUE(IF($D186="pří",$C186,0))+VALUE(IF($H186="pří",$G186,0))</f>
        <v>0</v>
      </c>
      <c r="AJ186" s="148" t="n">
        <f aca="false">VALUE(IF($D186="dot",$C186,0))+VALUE(IF($H186="dot",$G186,0))</f>
        <v>0</v>
      </c>
      <c r="AK186" s="148" t="n">
        <f aca="false">VALUE(IF($D186="opř",$C186,0))+VALUE(IF($H186="opř",$G186,0))</f>
        <v>0</v>
      </c>
      <c r="AL186" s="148" t="n">
        <f aca="false">SUM(P186:AK186)</f>
        <v>0</v>
      </c>
      <c r="AN186" s="180" t="str">
        <f aca="false">CONCATENATE('Přehled akce'!$K$4," / ",'Přehled akce'!$K$5)</f>
        <v> / </v>
      </c>
      <c r="AO186" s="181" t="n">
        <f aca="false">IF('Příjmy a výdaje'!$G186="ano",'Příjmy a výdaje'!$B186,0)</f>
        <v>0</v>
      </c>
      <c r="AP186" s="182" t="n">
        <f aca="false">IF('Příjmy a výdaje'!$G186="ano",'Příjmy a výdaje'!$C186,0)</f>
        <v>0</v>
      </c>
      <c r="AQ186" s="183" t="n">
        <f aca="false">'Příjmy a výdaje'!$AP186</f>
        <v>0</v>
      </c>
    </row>
    <row r="187" customFormat="false" ht="12.75" hidden="false" customHeight="false" outlineLevel="0" collapsed="false">
      <c r="A187" s="169" t="n">
        <v>167</v>
      </c>
      <c r="B187" s="222"/>
      <c r="C187" s="185"/>
      <c r="D187" s="186"/>
      <c r="E187" s="188"/>
      <c r="F187" s="223"/>
      <c r="G187" s="224"/>
      <c r="H187" s="190"/>
      <c r="I187" s="246"/>
      <c r="J187" s="178" t="str">
        <f aca="false">IF(AL187=C187,IF(AL187=0,"-","ok"),"chyba")</f>
        <v>-</v>
      </c>
      <c r="K187" s="179"/>
      <c r="L187" s="179"/>
      <c r="M187" s="179"/>
      <c r="N187" s="179"/>
      <c r="O187" s="239"/>
      <c r="P187" s="148" t="n">
        <f aca="false">VALUE(IF($D187="vyb",$C187,0))+VALUE(IF($H187="vyb",$G187,0))</f>
        <v>0</v>
      </c>
      <c r="Q187" s="148" t="n">
        <f aca="false">VALUE(IF($D187="mtv",$C187,0))+VALUE(IF($H187="mtv",$G187,0))</f>
        <v>0</v>
      </c>
      <c r="R187" s="148" t="n">
        <f aca="false">VALUE(IF($D187="mat",$C187,0))+VALUE(IF($H187="mat",$G187,0))</f>
        <v>0</v>
      </c>
      <c r="S187" s="148" t="n">
        <f aca="false">VALUE(IF($D187="pot",$C187,0))+VALUE(IF($H187="pot",$G187,0))</f>
        <v>0</v>
      </c>
      <c r="T187" s="148" t="n">
        <f aca="false">VALUE(IF($D187="táb",$C187,0))+VALUE(IF($H187="táb",$G187,0))</f>
        <v>0</v>
      </c>
      <c r="U187" s="148" t="n">
        <f aca="false">VALUE(IF($D187="oma",$C187,0))+VALUE(IF($H187="oma",$G187,0))</f>
        <v>0</v>
      </c>
      <c r="V187" s="148" t="n">
        <f aca="false">VALUE(IF($D187="ces",$C187,0))+VALUE(IF($H187="ces",$G187,0))</f>
        <v>0</v>
      </c>
      <c r="W187" s="148" t="n">
        <f aca="false">VALUE(IF($D187="poš",$C187,0))+VALUE(IF($H187="poš",$G187,0))</f>
        <v>0</v>
      </c>
      <c r="X187" s="148" t="n">
        <f aca="false">VALUE(IF($D187="tel",$C187,0))+VALUE(IF($H187="tel",$G187,0))</f>
        <v>0</v>
      </c>
      <c r="Y187" s="148" t="n">
        <f aca="false">VALUE(IF($D187="dop",$C187,0))+VALUE(IF($H187="dop",$G187,0))</f>
        <v>0</v>
      </c>
      <c r="Z187" s="148" t="n">
        <f aca="false">VALUE(IF($D187="nák",$C187,0))+VALUE(IF($H187="nák",$G187,0))</f>
        <v>0</v>
      </c>
      <c r="AA187" s="148" t="n">
        <f aca="false">VALUE(IF($D187="náj",$C187,0))+VALUE(IF($H187="náj",$G187,0))</f>
        <v>0</v>
      </c>
      <c r="AB187" s="148" t="n">
        <f aca="false">VALUE(IF($D187="půj",$C187,0))+VALUE(IF($H187="půj",$G187,0))</f>
        <v>0</v>
      </c>
      <c r="AC187" s="148" t="n">
        <f aca="false">VALUE(IF($D187="vst",$C187,0))+VALUE(IF($H187="vst",$G187,0))</f>
        <v>0</v>
      </c>
      <c r="AD187" s="148" t="n">
        <f aca="false">VALUE(IF($D187="kop",$C187,0))+VALUE(IF($H187="kop",$G187,0))</f>
        <v>0</v>
      </c>
      <c r="AE187" s="148" t="n">
        <f aca="false">VALUE(IF($D187="osl",$C187,0))+VALUE(IF($H187="osl",$G187,0))</f>
        <v>0</v>
      </c>
      <c r="AF187" s="148" t="n">
        <f aca="false">VALUE(IF($D187="vra",$C187,0))+VALUE(IF($H187="vra",$G187,0))</f>
        <v>0</v>
      </c>
      <c r="AG187" s="148" t="n">
        <f aca="false">VALUE(IF($D187="zho",$C187,0))+VALUE(IF($H187="zho",$G187,0))</f>
        <v>0</v>
      </c>
      <c r="AH187" s="148" t="n">
        <f aca="false">VALUE(IF($D187="zbú",$C187,0))+VALUE(IF($H187="zbú",$G187,0))</f>
        <v>0</v>
      </c>
      <c r="AI187" s="148" t="n">
        <f aca="false">VALUE(IF($D187="pří",$C187,0))+VALUE(IF($H187="pří",$G187,0))</f>
        <v>0</v>
      </c>
      <c r="AJ187" s="148" t="n">
        <f aca="false">VALUE(IF($D187="dot",$C187,0))+VALUE(IF($H187="dot",$G187,0))</f>
        <v>0</v>
      </c>
      <c r="AK187" s="148" t="n">
        <f aca="false">VALUE(IF($D187="opř",$C187,0))+VALUE(IF($H187="opř",$G187,0))</f>
        <v>0</v>
      </c>
      <c r="AL187" s="148" t="n">
        <f aca="false">SUM(P187:AK187)</f>
        <v>0</v>
      </c>
      <c r="AN187" s="180" t="str">
        <f aca="false">CONCATENATE('Přehled akce'!$K$4," / ",'Přehled akce'!$K$5)</f>
        <v> / </v>
      </c>
      <c r="AO187" s="181" t="n">
        <f aca="false">IF('Příjmy a výdaje'!$G187="ano",'Příjmy a výdaje'!$B187,0)</f>
        <v>0</v>
      </c>
      <c r="AP187" s="182" t="n">
        <f aca="false">IF('Příjmy a výdaje'!$G187="ano",'Příjmy a výdaje'!$C187,0)</f>
        <v>0</v>
      </c>
      <c r="AQ187" s="183" t="n">
        <f aca="false">'Příjmy a výdaje'!$AP187</f>
        <v>0</v>
      </c>
    </row>
    <row r="188" customFormat="false" ht="12.75" hidden="false" customHeight="false" outlineLevel="0" collapsed="false">
      <c r="A188" s="169" t="n">
        <v>168</v>
      </c>
      <c r="B188" s="222"/>
      <c r="C188" s="185"/>
      <c r="D188" s="186"/>
      <c r="E188" s="188"/>
      <c r="F188" s="223"/>
      <c r="G188" s="224"/>
      <c r="H188" s="190"/>
      <c r="I188" s="246"/>
      <c r="J188" s="178" t="str">
        <f aca="false">IF(AL188=C188,IF(AL188=0,"-","ok"),"chyba")</f>
        <v>-</v>
      </c>
      <c r="K188" s="179"/>
      <c r="L188" s="179"/>
      <c r="M188" s="179"/>
      <c r="N188" s="179"/>
      <c r="O188" s="248"/>
      <c r="P188" s="148" t="n">
        <f aca="false">VALUE(IF($D188="vyb",$C188,0))+VALUE(IF($H188="vyb",$G188,0))</f>
        <v>0</v>
      </c>
      <c r="Q188" s="148" t="n">
        <f aca="false">VALUE(IF($D188="mtv",$C188,0))+VALUE(IF($H188="mtv",$G188,0))</f>
        <v>0</v>
      </c>
      <c r="R188" s="148" t="n">
        <f aca="false">VALUE(IF($D188="mat",$C188,0))+VALUE(IF($H188="mat",$G188,0))</f>
        <v>0</v>
      </c>
      <c r="S188" s="148" t="n">
        <f aca="false">VALUE(IF($D188="pot",$C188,0))+VALUE(IF($H188="pot",$G188,0))</f>
        <v>0</v>
      </c>
      <c r="T188" s="148" t="n">
        <f aca="false">VALUE(IF($D188="táb",$C188,0))+VALUE(IF($H188="táb",$G188,0))</f>
        <v>0</v>
      </c>
      <c r="U188" s="148" t="n">
        <f aca="false">VALUE(IF($D188="oma",$C188,0))+VALUE(IF($H188="oma",$G188,0))</f>
        <v>0</v>
      </c>
      <c r="V188" s="148" t="n">
        <f aca="false">VALUE(IF($D188="ces",$C188,0))+VALUE(IF($H188="ces",$G188,0))</f>
        <v>0</v>
      </c>
      <c r="W188" s="148" t="n">
        <f aca="false">VALUE(IF($D188="poš",$C188,0))+VALUE(IF($H188="poš",$G188,0))</f>
        <v>0</v>
      </c>
      <c r="X188" s="148" t="n">
        <f aca="false">VALUE(IF($D188="tel",$C188,0))+VALUE(IF($H188="tel",$G188,0))</f>
        <v>0</v>
      </c>
      <c r="Y188" s="148" t="n">
        <f aca="false">VALUE(IF($D188="dop",$C188,0))+VALUE(IF($H188="dop",$G188,0))</f>
        <v>0</v>
      </c>
      <c r="Z188" s="148" t="n">
        <f aca="false">VALUE(IF($D188="nák",$C188,0))+VALUE(IF($H188="nák",$G188,0))</f>
        <v>0</v>
      </c>
      <c r="AA188" s="148" t="n">
        <f aca="false">VALUE(IF($D188="náj",$C188,0))+VALUE(IF($H188="náj",$G188,0))</f>
        <v>0</v>
      </c>
      <c r="AB188" s="148" t="n">
        <f aca="false">VALUE(IF($D188="půj",$C188,0))+VALUE(IF($H188="půj",$G188,0))</f>
        <v>0</v>
      </c>
      <c r="AC188" s="148" t="n">
        <f aca="false">VALUE(IF($D188="vst",$C188,0))+VALUE(IF($H188="vst",$G188,0))</f>
        <v>0</v>
      </c>
      <c r="AD188" s="148" t="n">
        <f aca="false">VALUE(IF($D188="kop",$C188,0))+VALUE(IF($H188="kop",$G188,0))</f>
        <v>0</v>
      </c>
      <c r="AE188" s="148" t="n">
        <f aca="false">VALUE(IF($D188="osl",$C188,0))+VALUE(IF($H188="osl",$G188,0))</f>
        <v>0</v>
      </c>
      <c r="AF188" s="148" t="n">
        <f aca="false">VALUE(IF($D188="vra",$C188,0))+VALUE(IF($H188="vra",$G188,0))</f>
        <v>0</v>
      </c>
      <c r="AG188" s="148" t="n">
        <f aca="false">VALUE(IF($D188="zho",$C188,0))+VALUE(IF($H188="zho",$G188,0))</f>
        <v>0</v>
      </c>
      <c r="AH188" s="148" t="n">
        <f aca="false">VALUE(IF($D188="zbú",$C188,0))+VALUE(IF($H188="zbú",$G188,0))</f>
        <v>0</v>
      </c>
      <c r="AI188" s="148" t="n">
        <f aca="false">VALUE(IF($D188="pří",$C188,0))+VALUE(IF($H188="pří",$G188,0))</f>
        <v>0</v>
      </c>
      <c r="AJ188" s="148" t="n">
        <f aca="false">VALUE(IF($D188="dot",$C188,0))+VALUE(IF($H188="dot",$G188,0))</f>
        <v>0</v>
      </c>
      <c r="AK188" s="148" t="n">
        <f aca="false">VALUE(IF($D188="opř",$C188,0))+VALUE(IF($H188="opř",$G188,0))</f>
        <v>0</v>
      </c>
      <c r="AL188" s="148" t="n">
        <f aca="false">SUM(P188:AK188)</f>
        <v>0</v>
      </c>
      <c r="AN188" s="180" t="str">
        <f aca="false">CONCATENATE('Přehled akce'!$K$4," / ",'Přehled akce'!$K$5)</f>
        <v> / </v>
      </c>
      <c r="AO188" s="181" t="n">
        <f aca="false">IF('Příjmy a výdaje'!$G188="ano",'Příjmy a výdaje'!$B188,0)</f>
        <v>0</v>
      </c>
      <c r="AP188" s="182" t="n">
        <f aca="false">IF('Příjmy a výdaje'!$G188="ano",'Příjmy a výdaje'!$C188,0)</f>
        <v>0</v>
      </c>
      <c r="AQ188" s="183" t="n">
        <f aca="false">'Příjmy a výdaje'!$AP188</f>
        <v>0</v>
      </c>
    </row>
    <row r="189" customFormat="false" ht="12.75" hidden="false" customHeight="false" outlineLevel="0" collapsed="false">
      <c r="A189" s="169" t="n">
        <v>169</v>
      </c>
      <c r="B189" s="222"/>
      <c r="C189" s="185"/>
      <c r="D189" s="186"/>
      <c r="E189" s="188"/>
      <c r="F189" s="223"/>
      <c r="G189" s="224"/>
      <c r="H189" s="190"/>
      <c r="I189" s="246"/>
      <c r="J189" s="178" t="str">
        <f aca="false">IF(AL189=C189,IF(AL189=0,"-","ok"),"chyba")</f>
        <v>-</v>
      </c>
      <c r="K189" s="179"/>
      <c r="L189" s="179"/>
      <c r="M189" s="179"/>
      <c r="N189" s="179"/>
      <c r="O189" s="239"/>
      <c r="P189" s="148" t="n">
        <f aca="false">VALUE(IF($D189="vyb",$C189,0))+VALUE(IF($H189="vyb",$G189,0))</f>
        <v>0</v>
      </c>
      <c r="Q189" s="148" t="n">
        <f aca="false">VALUE(IF($D189="mtv",$C189,0))+VALUE(IF($H189="mtv",$G189,0))</f>
        <v>0</v>
      </c>
      <c r="R189" s="148" t="n">
        <f aca="false">VALUE(IF($D189="mat",$C189,0))+VALUE(IF($H189="mat",$G189,0))</f>
        <v>0</v>
      </c>
      <c r="S189" s="148" t="n">
        <f aca="false">VALUE(IF($D189="pot",$C189,0))+VALUE(IF($H189="pot",$G189,0))</f>
        <v>0</v>
      </c>
      <c r="T189" s="148" t="n">
        <f aca="false">VALUE(IF($D189="táb",$C189,0))+VALUE(IF($H189="táb",$G189,0))</f>
        <v>0</v>
      </c>
      <c r="U189" s="148" t="n">
        <f aca="false">VALUE(IF($D189="oma",$C189,0))+VALUE(IF($H189="oma",$G189,0))</f>
        <v>0</v>
      </c>
      <c r="V189" s="148" t="n">
        <f aca="false">VALUE(IF($D189="ces",$C189,0))+VALUE(IF($H189="ces",$G189,0))</f>
        <v>0</v>
      </c>
      <c r="W189" s="148" t="n">
        <f aca="false">VALUE(IF($D189="poš",$C189,0))+VALUE(IF($H189="poš",$G189,0))</f>
        <v>0</v>
      </c>
      <c r="X189" s="148" t="n">
        <f aca="false">VALUE(IF($D189="tel",$C189,0))+VALUE(IF($H189="tel",$G189,0))</f>
        <v>0</v>
      </c>
      <c r="Y189" s="148" t="n">
        <f aca="false">VALUE(IF($D189="dop",$C189,0))+VALUE(IF($H189="dop",$G189,0))</f>
        <v>0</v>
      </c>
      <c r="Z189" s="148" t="n">
        <f aca="false">VALUE(IF($D189="nák",$C189,0))+VALUE(IF($H189="nák",$G189,0))</f>
        <v>0</v>
      </c>
      <c r="AA189" s="148" t="n">
        <f aca="false">VALUE(IF($D189="náj",$C189,0))+VALUE(IF($H189="náj",$G189,0))</f>
        <v>0</v>
      </c>
      <c r="AB189" s="148" t="n">
        <f aca="false">VALUE(IF($D189="půj",$C189,0))+VALUE(IF($H189="půj",$G189,0))</f>
        <v>0</v>
      </c>
      <c r="AC189" s="148" t="n">
        <f aca="false">VALUE(IF($D189="vst",$C189,0))+VALUE(IF($H189="vst",$G189,0))</f>
        <v>0</v>
      </c>
      <c r="AD189" s="148" t="n">
        <f aca="false">VALUE(IF($D189="kop",$C189,0))+VALUE(IF($H189="kop",$G189,0))</f>
        <v>0</v>
      </c>
      <c r="AE189" s="148" t="n">
        <f aca="false">VALUE(IF($D189="osl",$C189,0))+VALUE(IF($H189="osl",$G189,0))</f>
        <v>0</v>
      </c>
      <c r="AF189" s="148" t="n">
        <f aca="false">VALUE(IF($D189="vra",$C189,0))+VALUE(IF($H189="vra",$G189,0))</f>
        <v>0</v>
      </c>
      <c r="AG189" s="148" t="n">
        <f aca="false">VALUE(IF($D189="zho",$C189,0))+VALUE(IF($H189="zho",$G189,0))</f>
        <v>0</v>
      </c>
      <c r="AH189" s="148" t="n">
        <f aca="false">VALUE(IF($D189="zbú",$C189,0))+VALUE(IF($H189="zbú",$G189,0))</f>
        <v>0</v>
      </c>
      <c r="AI189" s="148" t="n">
        <f aca="false">VALUE(IF($D189="pří",$C189,0))+VALUE(IF($H189="pří",$G189,0))</f>
        <v>0</v>
      </c>
      <c r="AJ189" s="148" t="n">
        <f aca="false">VALUE(IF($D189="dot",$C189,0))+VALUE(IF($H189="dot",$G189,0))</f>
        <v>0</v>
      </c>
      <c r="AK189" s="148" t="n">
        <f aca="false">VALUE(IF($D189="opř",$C189,0))+VALUE(IF($H189="opř",$G189,0))</f>
        <v>0</v>
      </c>
      <c r="AL189" s="148" t="n">
        <f aca="false">SUM(P189:AK189)</f>
        <v>0</v>
      </c>
      <c r="AN189" s="180" t="str">
        <f aca="false">CONCATENATE('Přehled akce'!$K$4," / ",'Přehled akce'!$K$5)</f>
        <v> / </v>
      </c>
      <c r="AO189" s="181" t="n">
        <f aca="false">IF('Příjmy a výdaje'!$G189="ano",'Příjmy a výdaje'!$B189,0)</f>
        <v>0</v>
      </c>
      <c r="AP189" s="182" t="n">
        <f aca="false">IF('Příjmy a výdaje'!$G189="ano",'Příjmy a výdaje'!$C189,0)</f>
        <v>0</v>
      </c>
      <c r="AQ189" s="183" t="n">
        <f aca="false">'Příjmy a výdaje'!$AP189</f>
        <v>0</v>
      </c>
    </row>
    <row r="190" customFormat="false" ht="12.75" hidden="false" customHeight="false" outlineLevel="0" collapsed="false">
      <c r="A190" s="169" t="n">
        <v>170</v>
      </c>
      <c r="B190" s="222"/>
      <c r="C190" s="185"/>
      <c r="D190" s="186"/>
      <c r="E190" s="188"/>
      <c r="F190" s="223"/>
      <c r="G190" s="224"/>
      <c r="H190" s="190"/>
      <c r="I190" s="246"/>
      <c r="J190" s="178" t="str">
        <f aca="false">IF(AL190=C190,IF(AL190=0,"-","ok"),"chyba")</f>
        <v>-</v>
      </c>
      <c r="K190" s="179"/>
      <c r="L190" s="179"/>
      <c r="M190" s="179"/>
      <c r="N190" s="179"/>
      <c r="O190" s="239"/>
      <c r="P190" s="148" t="n">
        <f aca="false">VALUE(IF($D190="vyb",$C190,0))+VALUE(IF($H190="vyb",$G190,0))</f>
        <v>0</v>
      </c>
      <c r="Q190" s="148" t="n">
        <f aca="false">VALUE(IF($D190="mtv",$C190,0))+VALUE(IF($H190="mtv",$G190,0))</f>
        <v>0</v>
      </c>
      <c r="R190" s="148" t="n">
        <f aca="false">VALUE(IF($D190="mat",$C190,0))+VALUE(IF($H190="mat",$G190,0))</f>
        <v>0</v>
      </c>
      <c r="S190" s="148" t="n">
        <f aca="false">VALUE(IF($D190="pot",$C190,0))+VALUE(IF($H190="pot",$G190,0))</f>
        <v>0</v>
      </c>
      <c r="T190" s="148" t="n">
        <f aca="false">VALUE(IF($D190="táb",$C190,0))+VALUE(IF($H190="táb",$G190,0))</f>
        <v>0</v>
      </c>
      <c r="U190" s="148" t="n">
        <f aca="false">VALUE(IF($D190="oma",$C190,0))+VALUE(IF($H190="oma",$G190,0))</f>
        <v>0</v>
      </c>
      <c r="V190" s="148" t="n">
        <f aca="false">VALUE(IF($D190="ces",$C190,0))+VALUE(IF($H190="ces",$G190,0))</f>
        <v>0</v>
      </c>
      <c r="W190" s="148" t="n">
        <f aca="false">VALUE(IF($D190="poš",$C190,0))+VALUE(IF($H190="poš",$G190,0))</f>
        <v>0</v>
      </c>
      <c r="X190" s="148" t="n">
        <f aca="false">VALUE(IF($D190="tel",$C190,0))+VALUE(IF($H190="tel",$G190,0))</f>
        <v>0</v>
      </c>
      <c r="Y190" s="148" t="n">
        <f aca="false">VALUE(IF($D190="dop",$C190,0))+VALUE(IF($H190="dop",$G190,0))</f>
        <v>0</v>
      </c>
      <c r="Z190" s="148" t="n">
        <f aca="false">VALUE(IF($D190="nák",$C190,0))+VALUE(IF($H190="nák",$G190,0))</f>
        <v>0</v>
      </c>
      <c r="AA190" s="148" t="n">
        <f aca="false">VALUE(IF($D190="náj",$C190,0))+VALUE(IF($H190="náj",$G190,0))</f>
        <v>0</v>
      </c>
      <c r="AB190" s="148" t="n">
        <f aca="false">VALUE(IF($D190="půj",$C190,0))+VALUE(IF($H190="půj",$G190,0))</f>
        <v>0</v>
      </c>
      <c r="AC190" s="148" t="n">
        <f aca="false">VALUE(IF($D190="vst",$C190,0))+VALUE(IF($H190="vst",$G190,0))</f>
        <v>0</v>
      </c>
      <c r="AD190" s="148" t="n">
        <f aca="false">VALUE(IF($D190="kop",$C190,0))+VALUE(IF($H190="kop",$G190,0))</f>
        <v>0</v>
      </c>
      <c r="AE190" s="148" t="n">
        <f aca="false">VALUE(IF($D190="osl",$C190,0))+VALUE(IF($H190="osl",$G190,0))</f>
        <v>0</v>
      </c>
      <c r="AF190" s="148" t="n">
        <f aca="false">VALUE(IF($D190="vra",$C190,0))+VALUE(IF($H190="vra",$G190,0))</f>
        <v>0</v>
      </c>
      <c r="AG190" s="148" t="n">
        <f aca="false">VALUE(IF($D190="zho",$C190,0))+VALUE(IF($H190="zho",$G190,0))</f>
        <v>0</v>
      </c>
      <c r="AH190" s="148" t="n">
        <f aca="false">VALUE(IF($D190="zbú",$C190,0))+VALUE(IF($H190="zbú",$G190,0))</f>
        <v>0</v>
      </c>
      <c r="AI190" s="148" t="n">
        <f aca="false">VALUE(IF($D190="pří",$C190,0))+VALUE(IF($H190="pří",$G190,0))</f>
        <v>0</v>
      </c>
      <c r="AJ190" s="148" t="n">
        <f aca="false">VALUE(IF($D190="dot",$C190,0))+VALUE(IF($H190="dot",$G190,0))</f>
        <v>0</v>
      </c>
      <c r="AK190" s="148" t="n">
        <f aca="false">VALUE(IF($D190="opř",$C190,0))+VALUE(IF($H190="opř",$G190,0))</f>
        <v>0</v>
      </c>
      <c r="AL190" s="148" t="n">
        <f aca="false">SUM(P190:AK190)</f>
        <v>0</v>
      </c>
      <c r="AN190" s="180" t="str">
        <f aca="false">CONCATENATE('Přehled akce'!$K$4," / ",'Přehled akce'!$K$5)</f>
        <v> / </v>
      </c>
      <c r="AO190" s="181" t="n">
        <f aca="false">IF('Příjmy a výdaje'!$G190="ano",'Příjmy a výdaje'!$B190,0)</f>
        <v>0</v>
      </c>
      <c r="AP190" s="182" t="n">
        <f aca="false">IF('Příjmy a výdaje'!$G190="ano",'Příjmy a výdaje'!$C190,0)</f>
        <v>0</v>
      </c>
      <c r="AQ190" s="183" t="n">
        <f aca="false">'Příjmy a výdaje'!$AP190</f>
        <v>0</v>
      </c>
    </row>
    <row r="191" customFormat="false" ht="12.75" hidden="false" customHeight="false" outlineLevel="0" collapsed="false">
      <c r="A191" s="169" t="n">
        <v>171</v>
      </c>
      <c r="B191" s="222"/>
      <c r="C191" s="185"/>
      <c r="D191" s="186"/>
      <c r="E191" s="188"/>
      <c r="F191" s="223"/>
      <c r="G191" s="224"/>
      <c r="H191" s="190"/>
      <c r="I191" s="246"/>
      <c r="J191" s="178" t="str">
        <f aca="false">IF(AL191=C191,IF(AL191=0,"-","ok"),"chyba")</f>
        <v>-</v>
      </c>
      <c r="K191" s="179"/>
      <c r="L191" s="179"/>
      <c r="M191" s="179"/>
      <c r="N191" s="179"/>
      <c r="O191" s="239"/>
      <c r="P191" s="148" t="n">
        <f aca="false">VALUE(IF($D191="vyb",$C191,0))+VALUE(IF($H191="vyb",$G191,0))</f>
        <v>0</v>
      </c>
      <c r="Q191" s="148" t="n">
        <f aca="false">VALUE(IF($D191="mtv",$C191,0))+VALUE(IF($H191="mtv",$G191,0))</f>
        <v>0</v>
      </c>
      <c r="R191" s="148" t="n">
        <f aca="false">VALUE(IF($D191="mat",$C191,0))+VALUE(IF($H191="mat",$G191,0))</f>
        <v>0</v>
      </c>
      <c r="S191" s="148" t="n">
        <f aca="false">VALUE(IF($D191="pot",$C191,0))+VALUE(IF($H191="pot",$G191,0))</f>
        <v>0</v>
      </c>
      <c r="T191" s="148" t="n">
        <f aca="false">VALUE(IF($D191="táb",$C191,0))+VALUE(IF($H191="táb",$G191,0))</f>
        <v>0</v>
      </c>
      <c r="U191" s="148" t="n">
        <f aca="false">VALUE(IF($D191="oma",$C191,0))+VALUE(IF($H191="oma",$G191,0))</f>
        <v>0</v>
      </c>
      <c r="V191" s="148" t="n">
        <f aca="false">VALUE(IF($D191="ces",$C191,0))+VALUE(IF($H191="ces",$G191,0))</f>
        <v>0</v>
      </c>
      <c r="W191" s="148" t="n">
        <f aca="false">VALUE(IF($D191="poš",$C191,0))+VALUE(IF($H191="poš",$G191,0))</f>
        <v>0</v>
      </c>
      <c r="X191" s="148" t="n">
        <f aca="false">VALUE(IF($D191="tel",$C191,0))+VALUE(IF($H191="tel",$G191,0))</f>
        <v>0</v>
      </c>
      <c r="Y191" s="148" t="n">
        <f aca="false">VALUE(IF($D191="dop",$C191,0))+VALUE(IF($H191="dop",$G191,0))</f>
        <v>0</v>
      </c>
      <c r="Z191" s="148" t="n">
        <f aca="false">VALUE(IF($D191="nák",$C191,0))+VALUE(IF($H191="nák",$G191,0))</f>
        <v>0</v>
      </c>
      <c r="AA191" s="148" t="n">
        <f aca="false">VALUE(IF($D191="náj",$C191,0))+VALUE(IF($H191="náj",$G191,0))</f>
        <v>0</v>
      </c>
      <c r="AB191" s="148" t="n">
        <f aca="false">VALUE(IF($D191="půj",$C191,0))+VALUE(IF($H191="půj",$G191,0))</f>
        <v>0</v>
      </c>
      <c r="AC191" s="148" t="n">
        <f aca="false">VALUE(IF($D191="vst",$C191,0))+VALUE(IF($H191="vst",$G191,0))</f>
        <v>0</v>
      </c>
      <c r="AD191" s="148" t="n">
        <f aca="false">VALUE(IF($D191="kop",$C191,0))+VALUE(IF($H191="kop",$G191,0))</f>
        <v>0</v>
      </c>
      <c r="AE191" s="148" t="n">
        <f aca="false">VALUE(IF($D191="osl",$C191,0))+VALUE(IF($H191="osl",$G191,0))</f>
        <v>0</v>
      </c>
      <c r="AF191" s="148" t="n">
        <f aca="false">VALUE(IF($D191="vra",$C191,0))+VALUE(IF($H191="vra",$G191,0))</f>
        <v>0</v>
      </c>
      <c r="AG191" s="148" t="n">
        <f aca="false">VALUE(IF($D191="zho",$C191,0))+VALUE(IF($H191="zho",$G191,0))</f>
        <v>0</v>
      </c>
      <c r="AH191" s="148" t="n">
        <f aca="false">VALUE(IF($D191="zbú",$C191,0))+VALUE(IF($H191="zbú",$G191,0))</f>
        <v>0</v>
      </c>
      <c r="AI191" s="148" t="n">
        <f aca="false">VALUE(IF($D191="pří",$C191,0))+VALUE(IF($H191="pří",$G191,0))</f>
        <v>0</v>
      </c>
      <c r="AJ191" s="148" t="n">
        <f aca="false">VALUE(IF($D191="dot",$C191,0))+VALUE(IF($H191="dot",$G191,0))</f>
        <v>0</v>
      </c>
      <c r="AK191" s="148" t="n">
        <f aca="false">VALUE(IF($D191="opř",$C191,0))+VALUE(IF($H191="opř",$G191,0))</f>
        <v>0</v>
      </c>
      <c r="AL191" s="148" t="n">
        <f aca="false">SUM(P191:AK191)</f>
        <v>0</v>
      </c>
      <c r="AN191" s="180" t="str">
        <f aca="false">CONCATENATE('Přehled akce'!$K$4," / ",'Přehled akce'!$K$5)</f>
        <v> / </v>
      </c>
      <c r="AO191" s="181" t="n">
        <f aca="false">IF('Příjmy a výdaje'!$G191="ano",'Příjmy a výdaje'!$B191,0)</f>
        <v>0</v>
      </c>
      <c r="AP191" s="182" t="n">
        <f aca="false">IF('Příjmy a výdaje'!$G191="ano",'Příjmy a výdaje'!$C191,0)</f>
        <v>0</v>
      </c>
      <c r="AQ191" s="183" t="n">
        <f aca="false">'Příjmy a výdaje'!$AP191</f>
        <v>0</v>
      </c>
    </row>
    <row r="192" customFormat="false" ht="12.75" hidden="false" customHeight="false" outlineLevel="0" collapsed="false">
      <c r="A192" s="169" t="n">
        <v>172</v>
      </c>
      <c r="B192" s="222"/>
      <c r="C192" s="185"/>
      <c r="D192" s="186"/>
      <c r="E192" s="188"/>
      <c r="F192" s="223"/>
      <c r="G192" s="224"/>
      <c r="H192" s="190"/>
      <c r="I192" s="246"/>
      <c r="J192" s="178" t="str">
        <f aca="false">IF(AL192=C192,IF(AL192=0,"-","ok"),"chyba")</f>
        <v>-</v>
      </c>
      <c r="K192" s="179"/>
      <c r="L192" s="179"/>
      <c r="M192" s="179"/>
      <c r="N192" s="179"/>
      <c r="O192" s="239"/>
      <c r="P192" s="148" t="n">
        <f aca="false">VALUE(IF($D192="vyb",$C192,0))+VALUE(IF($H192="vyb",$G192,0))</f>
        <v>0</v>
      </c>
      <c r="Q192" s="148" t="n">
        <f aca="false">VALUE(IF($D192="mtv",$C192,0))+VALUE(IF($H192="mtv",$G192,0))</f>
        <v>0</v>
      </c>
      <c r="R192" s="148" t="n">
        <f aca="false">VALUE(IF($D192="mat",$C192,0))+VALUE(IF($H192="mat",$G192,0))</f>
        <v>0</v>
      </c>
      <c r="S192" s="148" t="n">
        <f aca="false">VALUE(IF($D192="pot",$C192,0))+VALUE(IF($H192="pot",$G192,0))</f>
        <v>0</v>
      </c>
      <c r="T192" s="148" t="n">
        <f aca="false">VALUE(IF($D192="táb",$C192,0))+VALUE(IF($H192="táb",$G192,0))</f>
        <v>0</v>
      </c>
      <c r="U192" s="148" t="n">
        <f aca="false">VALUE(IF($D192="oma",$C192,0))+VALUE(IF($H192="oma",$G192,0))</f>
        <v>0</v>
      </c>
      <c r="V192" s="148" t="n">
        <f aca="false">VALUE(IF($D192="ces",$C192,0))+VALUE(IF($H192="ces",$G192,0))</f>
        <v>0</v>
      </c>
      <c r="W192" s="148" t="n">
        <f aca="false">VALUE(IF($D192="poš",$C192,0))+VALUE(IF($H192="poš",$G192,0))</f>
        <v>0</v>
      </c>
      <c r="X192" s="148" t="n">
        <f aca="false">VALUE(IF($D192="tel",$C192,0))+VALUE(IF($H192="tel",$G192,0))</f>
        <v>0</v>
      </c>
      <c r="Y192" s="148" t="n">
        <f aca="false">VALUE(IF($D192="dop",$C192,0))+VALUE(IF($H192="dop",$G192,0))</f>
        <v>0</v>
      </c>
      <c r="Z192" s="148" t="n">
        <f aca="false">VALUE(IF($D192="nák",$C192,0))+VALUE(IF($H192="nák",$G192,0))</f>
        <v>0</v>
      </c>
      <c r="AA192" s="148" t="n">
        <f aca="false">VALUE(IF($D192="náj",$C192,0))+VALUE(IF($H192="náj",$G192,0))</f>
        <v>0</v>
      </c>
      <c r="AB192" s="148" t="n">
        <f aca="false">VALUE(IF($D192="půj",$C192,0))+VALUE(IF($H192="půj",$G192,0))</f>
        <v>0</v>
      </c>
      <c r="AC192" s="148" t="n">
        <f aca="false">VALUE(IF($D192="vst",$C192,0))+VALUE(IF($H192="vst",$G192,0))</f>
        <v>0</v>
      </c>
      <c r="AD192" s="148" t="n">
        <f aca="false">VALUE(IF($D192="kop",$C192,0))+VALUE(IF($H192="kop",$G192,0))</f>
        <v>0</v>
      </c>
      <c r="AE192" s="148" t="n">
        <f aca="false">VALUE(IF($D192="osl",$C192,0))+VALUE(IF($H192="osl",$G192,0))</f>
        <v>0</v>
      </c>
      <c r="AF192" s="148" t="n">
        <f aca="false">VALUE(IF($D192="vra",$C192,0))+VALUE(IF($H192="vra",$G192,0))</f>
        <v>0</v>
      </c>
      <c r="AG192" s="148" t="n">
        <f aca="false">VALUE(IF($D192="zho",$C192,0))+VALUE(IF($H192="zho",$G192,0))</f>
        <v>0</v>
      </c>
      <c r="AH192" s="148" t="n">
        <f aca="false">VALUE(IF($D192="zbú",$C192,0))+VALUE(IF($H192="zbú",$G192,0))</f>
        <v>0</v>
      </c>
      <c r="AI192" s="148" t="n">
        <f aca="false">VALUE(IF($D192="pří",$C192,0))+VALUE(IF($H192="pří",$G192,0))</f>
        <v>0</v>
      </c>
      <c r="AJ192" s="148" t="n">
        <f aca="false">VALUE(IF($D192="dot",$C192,0))+VALUE(IF($H192="dot",$G192,0))</f>
        <v>0</v>
      </c>
      <c r="AK192" s="148" t="n">
        <f aca="false">VALUE(IF($D192="opř",$C192,0))+VALUE(IF($H192="opř",$G192,0))</f>
        <v>0</v>
      </c>
      <c r="AL192" s="148" t="n">
        <f aca="false">SUM(P192:AK192)</f>
        <v>0</v>
      </c>
      <c r="AN192" s="180" t="str">
        <f aca="false">CONCATENATE('Přehled akce'!$K$4," / ",'Přehled akce'!$K$5)</f>
        <v> / </v>
      </c>
      <c r="AO192" s="181" t="n">
        <f aca="false">IF('Příjmy a výdaje'!$G192="ano",'Příjmy a výdaje'!$B192,0)</f>
        <v>0</v>
      </c>
      <c r="AP192" s="182" t="n">
        <f aca="false">IF('Příjmy a výdaje'!$G192="ano",'Příjmy a výdaje'!$C192,0)</f>
        <v>0</v>
      </c>
      <c r="AQ192" s="183" t="n">
        <f aca="false">'Příjmy a výdaje'!$AP192</f>
        <v>0</v>
      </c>
    </row>
    <row r="193" customFormat="false" ht="12.75" hidden="false" customHeight="false" outlineLevel="0" collapsed="false">
      <c r="A193" s="169" t="n">
        <v>173</v>
      </c>
      <c r="B193" s="222"/>
      <c r="C193" s="185"/>
      <c r="D193" s="186"/>
      <c r="E193" s="188"/>
      <c r="F193" s="223"/>
      <c r="G193" s="224"/>
      <c r="H193" s="190"/>
      <c r="I193" s="246"/>
      <c r="J193" s="178" t="str">
        <f aca="false">IF(AL193=C193,IF(AL193=0,"-","ok"),"chyba")</f>
        <v>-</v>
      </c>
      <c r="K193" s="179"/>
      <c r="L193" s="179"/>
      <c r="M193" s="179"/>
      <c r="N193" s="179"/>
      <c r="O193" s="239"/>
      <c r="P193" s="148" t="n">
        <f aca="false">VALUE(IF($D193="vyb",$C193,0))+VALUE(IF($H193="vyb",$G193,0))</f>
        <v>0</v>
      </c>
      <c r="Q193" s="148" t="n">
        <f aca="false">VALUE(IF($D193="mtv",$C193,0))+VALUE(IF($H193="mtv",$G193,0))</f>
        <v>0</v>
      </c>
      <c r="R193" s="148" t="n">
        <f aca="false">VALUE(IF($D193="mat",$C193,0))+VALUE(IF($H193="mat",$G193,0))</f>
        <v>0</v>
      </c>
      <c r="S193" s="148" t="n">
        <f aca="false">VALUE(IF($D193="pot",$C193,0))+VALUE(IF($H193="pot",$G193,0))</f>
        <v>0</v>
      </c>
      <c r="T193" s="148" t="n">
        <f aca="false">VALUE(IF($D193="táb",$C193,0))+VALUE(IF($H193="táb",$G193,0))</f>
        <v>0</v>
      </c>
      <c r="U193" s="148" t="n">
        <f aca="false">VALUE(IF($D193="oma",$C193,0))+VALUE(IF($H193="oma",$G193,0))</f>
        <v>0</v>
      </c>
      <c r="V193" s="148" t="n">
        <f aca="false">VALUE(IF($D193="ces",$C193,0))+VALUE(IF($H193="ces",$G193,0))</f>
        <v>0</v>
      </c>
      <c r="W193" s="148" t="n">
        <f aca="false">VALUE(IF($D193="poš",$C193,0))+VALUE(IF($H193="poš",$G193,0))</f>
        <v>0</v>
      </c>
      <c r="X193" s="148" t="n">
        <f aca="false">VALUE(IF($D193="tel",$C193,0))+VALUE(IF($H193="tel",$G193,0))</f>
        <v>0</v>
      </c>
      <c r="Y193" s="148" t="n">
        <f aca="false">VALUE(IF($D193="dop",$C193,0))+VALUE(IF($H193="dop",$G193,0))</f>
        <v>0</v>
      </c>
      <c r="Z193" s="148" t="n">
        <f aca="false">VALUE(IF($D193="nák",$C193,0))+VALUE(IF($H193="nák",$G193,0))</f>
        <v>0</v>
      </c>
      <c r="AA193" s="148" t="n">
        <f aca="false">VALUE(IF($D193="náj",$C193,0))+VALUE(IF($H193="náj",$G193,0))</f>
        <v>0</v>
      </c>
      <c r="AB193" s="148" t="n">
        <f aca="false">VALUE(IF($D193="půj",$C193,0))+VALUE(IF($H193="půj",$G193,0))</f>
        <v>0</v>
      </c>
      <c r="AC193" s="148" t="n">
        <f aca="false">VALUE(IF($D193="vst",$C193,0))+VALUE(IF($H193="vst",$G193,0))</f>
        <v>0</v>
      </c>
      <c r="AD193" s="148" t="n">
        <f aca="false">VALUE(IF($D193="kop",$C193,0))+VALUE(IF($H193="kop",$G193,0))</f>
        <v>0</v>
      </c>
      <c r="AE193" s="148" t="n">
        <f aca="false">VALUE(IF($D193="osl",$C193,0))+VALUE(IF($H193="osl",$G193,0))</f>
        <v>0</v>
      </c>
      <c r="AF193" s="148" t="n">
        <f aca="false">VALUE(IF($D193="vra",$C193,0))+VALUE(IF($H193="vra",$G193,0))</f>
        <v>0</v>
      </c>
      <c r="AG193" s="148" t="n">
        <f aca="false">VALUE(IF($D193="zho",$C193,0))+VALUE(IF($H193="zho",$G193,0))</f>
        <v>0</v>
      </c>
      <c r="AH193" s="148" t="n">
        <f aca="false">VALUE(IF($D193="zbú",$C193,0))+VALUE(IF($H193="zbú",$G193,0))</f>
        <v>0</v>
      </c>
      <c r="AI193" s="148" t="n">
        <f aca="false">VALUE(IF($D193="pří",$C193,0))+VALUE(IF($H193="pří",$G193,0))</f>
        <v>0</v>
      </c>
      <c r="AJ193" s="148" t="n">
        <f aca="false">VALUE(IF($D193="dot",$C193,0))+VALUE(IF($H193="dot",$G193,0))</f>
        <v>0</v>
      </c>
      <c r="AK193" s="148" t="n">
        <f aca="false">VALUE(IF($D193="opř",$C193,0))+VALUE(IF($H193="opř",$G193,0))</f>
        <v>0</v>
      </c>
      <c r="AL193" s="148" t="n">
        <f aca="false">SUM(P193:AK193)</f>
        <v>0</v>
      </c>
      <c r="AN193" s="180" t="str">
        <f aca="false">CONCATENATE('Přehled akce'!$K$4," / ",'Přehled akce'!$K$5)</f>
        <v> / </v>
      </c>
      <c r="AO193" s="181" t="n">
        <f aca="false">IF('Příjmy a výdaje'!$G193="ano",'Příjmy a výdaje'!$B193,0)</f>
        <v>0</v>
      </c>
      <c r="AP193" s="182" t="n">
        <f aca="false">IF('Příjmy a výdaje'!$G193="ano",'Příjmy a výdaje'!$C193,0)</f>
        <v>0</v>
      </c>
      <c r="AQ193" s="183" t="n">
        <f aca="false">'Příjmy a výdaje'!$AP193</f>
        <v>0</v>
      </c>
    </row>
    <row r="194" customFormat="false" ht="12.75" hidden="false" customHeight="false" outlineLevel="0" collapsed="false">
      <c r="A194" s="169" t="n">
        <v>174</v>
      </c>
      <c r="B194" s="222"/>
      <c r="C194" s="185"/>
      <c r="D194" s="186"/>
      <c r="E194" s="188"/>
      <c r="F194" s="223"/>
      <c r="G194" s="224"/>
      <c r="H194" s="190"/>
      <c r="I194" s="246"/>
      <c r="J194" s="178" t="str">
        <f aca="false">IF(AL194=C194,IF(AL194=0,"-","ok"),"chyba")</f>
        <v>-</v>
      </c>
      <c r="K194" s="179"/>
      <c r="L194" s="179"/>
      <c r="M194" s="179"/>
      <c r="N194" s="179"/>
      <c r="P194" s="148" t="n">
        <f aca="false">VALUE(IF($D194="vyb",$C194,0))+VALUE(IF($H194="vyb",$G194,0))</f>
        <v>0</v>
      </c>
      <c r="Q194" s="148" t="n">
        <f aca="false">VALUE(IF($D194="mtv",$C194,0))+VALUE(IF($H194="mtv",$G194,0))</f>
        <v>0</v>
      </c>
      <c r="R194" s="148" t="n">
        <f aca="false">VALUE(IF($D194="mat",$C194,0))+VALUE(IF($H194="mat",$G194,0))</f>
        <v>0</v>
      </c>
      <c r="S194" s="148" t="n">
        <f aca="false">VALUE(IF($D194="pot",$C194,0))+VALUE(IF($H194="pot",$G194,0))</f>
        <v>0</v>
      </c>
      <c r="T194" s="148" t="n">
        <f aca="false">VALUE(IF($D194="táb",$C194,0))+VALUE(IF($H194="táb",$G194,0))</f>
        <v>0</v>
      </c>
      <c r="U194" s="148" t="n">
        <f aca="false">VALUE(IF($D194="oma",$C194,0))+VALUE(IF($H194="oma",$G194,0))</f>
        <v>0</v>
      </c>
      <c r="V194" s="148" t="n">
        <f aca="false">VALUE(IF($D194="ces",$C194,0))+VALUE(IF($H194="ces",$G194,0))</f>
        <v>0</v>
      </c>
      <c r="W194" s="148" t="n">
        <f aca="false">VALUE(IF($D194="poš",$C194,0))+VALUE(IF($H194="poš",$G194,0))</f>
        <v>0</v>
      </c>
      <c r="X194" s="148" t="n">
        <f aca="false">VALUE(IF($D194="tel",$C194,0))+VALUE(IF($H194="tel",$G194,0))</f>
        <v>0</v>
      </c>
      <c r="Y194" s="148" t="n">
        <f aca="false">VALUE(IF($D194="dop",$C194,0))+VALUE(IF($H194="dop",$G194,0))</f>
        <v>0</v>
      </c>
      <c r="Z194" s="148" t="n">
        <f aca="false">VALUE(IF($D194="nák",$C194,0))+VALUE(IF($H194="nák",$G194,0))</f>
        <v>0</v>
      </c>
      <c r="AA194" s="148" t="n">
        <f aca="false">VALUE(IF($D194="náj",$C194,0))+VALUE(IF($H194="náj",$G194,0))</f>
        <v>0</v>
      </c>
      <c r="AB194" s="148" t="n">
        <f aca="false">VALUE(IF($D194="půj",$C194,0))+VALUE(IF($H194="půj",$G194,0))</f>
        <v>0</v>
      </c>
      <c r="AC194" s="148" t="n">
        <f aca="false">VALUE(IF($D194="vst",$C194,0))+VALUE(IF($H194="vst",$G194,0))</f>
        <v>0</v>
      </c>
      <c r="AD194" s="148" t="n">
        <f aca="false">VALUE(IF($D194="kop",$C194,0))+VALUE(IF($H194="kop",$G194,0))</f>
        <v>0</v>
      </c>
      <c r="AE194" s="148" t="n">
        <f aca="false">VALUE(IF($D194="osl",$C194,0))+VALUE(IF($H194="osl",$G194,0))</f>
        <v>0</v>
      </c>
      <c r="AF194" s="148" t="n">
        <f aca="false">VALUE(IF($D194="vra",$C194,0))+VALUE(IF($H194="vra",$G194,0))</f>
        <v>0</v>
      </c>
      <c r="AG194" s="148" t="n">
        <f aca="false">VALUE(IF($D194="zho",$C194,0))+VALUE(IF($H194="zho",$G194,0))</f>
        <v>0</v>
      </c>
      <c r="AH194" s="148" t="n">
        <f aca="false">VALUE(IF($D194="zbú",$C194,0))+VALUE(IF($H194="zbú",$G194,0))</f>
        <v>0</v>
      </c>
      <c r="AI194" s="148" t="n">
        <f aca="false">VALUE(IF($D194="pří",$C194,0))+VALUE(IF($H194="pří",$G194,0))</f>
        <v>0</v>
      </c>
      <c r="AJ194" s="148" t="n">
        <f aca="false">VALUE(IF($D194="dot",$C194,0))+VALUE(IF($H194="dot",$G194,0))</f>
        <v>0</v>
      </c>
      <c r="AK194" s="148" t="n">
        <f aca="false">VALUE(IF($D194="opř",$C194,0))+VALUE(IF($H194="opř",$G194,0))</f>
        <v>0</v>
      </c>
      <c r="AL194" s="148" t="n">
        <f aca="false">SUM(P194:AK194)</f>
        <v>0</v>
      </c>
      <c r="AN194" s="180" t="str">
        <f aca="false">CONCATENATE('Přehled akce'!$K$4," / ",'Přehled akce'!$K$5)</f>
        <v> / </v>
      </c>
      <c r="AO194" s="181" t="n">
        <f aca="false">IF('Příjmy a výdaje'!$G194="ano",'Příjmy a výdaje'!$B194,0)</f>
        <v>0</v>
      </c>
      <c r="AP194" s="182" t="n">
        <f aca="false">IF('Příjmy a výdaje'!$G194="ano",'Příjmy a výdaje'!$C194,0)</f>
        <v>0</v>
      </c>
      <c r="AQ194" s="183" t="n">
        <f aca="false">'Příjmy a výdaje'!$AP194</f>
        <v>0</v>
      </c>
    </row>
    <row r="195" customFormat="false" ht="12.75" hidden="false" customHeight="false" outlineLevel="0" collapsed="false">
      <c r="A195" s="169" t="n">
        <v>175</v>
      </c>
      <c r="B195" s="222"/>
      <c r="C195" s="185"/>
      <c r="D195" s="186"/>
      <c r="E195" s="188"/>
      <c r="F195" s="223"/>
      <c r="G195" s="224"/>
      <c r="H195" s="190"/>
      <c r="I195" s="246"/>
      <c r="J195" s="178" t="str">
        <f aca="false">IF(AL195=C195,IF(AL195=0,"-","ok"),"chyba")</f>
        <v>-</v>
      </c>
      <c r="K195" s="179"/>
      <c r="L195" s="179"/>
      <c r="M195" s="179"/>
      <c r="N195" s="179"/>
      <c r="P195" s="148" t="n">
        <f aca="false">VALUE(IF($D195="vyb",$C195,0))+VALUE(IF($H195="vyb",$G195,0))</f>
        <v>0</v>
      </c>
      <c r="Q195" s="148" t="n">
        <f aca="false">VALUE(IF($D195="mtv",$C195,0))+VALUE(IF($H195="mtv",$G195,0))</f>
        <v>0</v>
      </c>
      <c r="R195" s="148" t="n">
        <f aca="false">VALUE(IF($D195="mat",$C195,0))+VALUE(IF($H195="mat",$G195,0))</f>
        <v>0</v>
      </c>
      <c r="S195" s="148" t="n">
        <f aca="false">VALUE(IF($D195="pot",$C195,0))+VALUE(IF($H195="pot",$G195,0))</f>
        <v>0</v>
      </c>
      <c r="T195" s="148" t="n">
        <f aca="false">VALUE(IF($D195="táb",$C195,0))+VALUE(IF($H195="táb",$G195,0))</f>
        <v>0</v>
      </c>
      <c r="U195" s="148" t="n">
        <f aca="false">VALUE(IF($D195="oma",$C195,0))+VALUE(IF($H195="oma",$G195,0))</f>
        <v>0</v>
      </c>
      <c r="V195" s="148" t="n">
        <f aca="false">VALUE(IF($D195="ces",$C195,0))+VALUE(IF($H195="ces",$G195,0))</f>
        <v>0</v>
      </c>
      <c r="W195" s="148" t="n">
        <f aca="false">VALUE(IF($D195="poš",$C195,0))+VALUE(IF($H195="poš",$G195,0))</f>
        <v>0</v>
      </c>
      <c r="X195" s="148" t="n">
        <f aca="false">VALUE(IF($D195="tel",$C195,0))+VALUE(IF($H195="tel",$G195,0))</f>
        <v>0</v>
      </c>
      <c r="Y195" s="148" t="n">
        <f aca="false">VALUE(IF($D195="dop",$C195,0))+VALUE(IF($H195="dop",$G195,0))</f>
        <v>0</v>
      </c>
      <c r="Z195" s="148" t="n">
        <f aca="false">VALUE(IF($D195="nák",$C195,0))+VALUE(IF($H195="nák",$G195,0))</f>
        <v>0</v>
      </c>
      <c r="AA195" s="148" t="n">
        <f aca="false">VALUE(IF($D195="náj",$C195,0))+VALUE(IF($H195="náj",$G195,0))</f>
        <v>0</v>
      </c>
      <c r="AB195" s="148" t="n">
        <f aca="false">VALUE(IF($D195="půj",$C195,0))+VALUE(IF($H195="půj",$G195,0))</f>
        <v>0</v>
      </c>
      <c r="AC195" s="148" t="n">
        <f aca="false">VALUE(IF($D195="vst",$C195,0))+VALUE(IF($H195="vst",$G195,0))</f>
        <v>0</v>
      </c>
      <c r="AD195" s="148" t="n">
        <f aca="false">VALUE(IF($D195="kop",$C195,0))+VALUE(IF($H195="kop",$G195,0))</f>
        <v>0</v>
      </c>
      <c r="AE195" s="148" t="n">
        <f aca="false">VALUE(IF($D195="osl",$C195,0))+VALUE(IF($H195="osl",$G195,0))</f>
        <v>0</v>
      </c>
      <c r="AF195" s="148" t="n">
        <f aca="false">VALUE(IF($D195="vra",$C195,0))+VALUE(IF($H195="vra",$G195,0))</f>
        <v>0</v>
      </c>
      <c r="AG195" s="148" t="n">
        <f aca="false">VALUE(IF($D195="zho",$C195,0))+VALUE(IF($H195="zho",$G195,0))</f>
        <v>0</v>
      </c>
      <c r="AH195" s="148" t="n">
        <f aca="false">VALUE(IF($D195="zbú",$C195,0))+VALUE(IF($H195="zbú",$G195,0))</f>
        <v>0</v>
      </c>
      <c r="AI195" s="148" t="n">
        <f aca="false">VALUE(IF($D195="pří",$C195,0))+VALUE(IF($H195="pří",$G195,0))</f>
        <v>0</v>
      </c>
      <c r="AJ195" s="148" t="n">
        <f aca="false">VALUE(IF($D195="dot",$C195,0))+VALUE(IF($H195="dot",$G195,0))</f>
        <v>0</v>
      </c>
      <c r="AK195" s="148" t="n">
        <f aca="false">VALUE(IF($D195="opř",$C195,0))+VALUE(IF($H195="opř",$G195,0))</f>
        <v>0</v>
      </c>
      <c r="AL195" s="148" t="n">
        <f aca="false">SUM(P195:AK195)</f>
        <v>0</v>
      </c>
      <c r="AN195" s="180" t="str">
        <f aca="false">CONCATENATE('Přehled akce'!$K$4," / ",'Přehled akce'!$K$5)</f>
        <v> / </v>
      </c>
      <c r="AO195" s="181" t="n">
        <f aca="false">IF('Příjmy a výdaje'!$G195="ano",'Příjmy a výdaje'!$B195,0)</f>
        <v>0</v>
      </c>
      <c r="AP195" s="182" t="n">
        <f aca="false">IF('Příjmy a výdaje'!$G195="ano",'Příjmy a výdaje'!$C195,0)</f>
        <v>0</v>
      </c>
      <c r="AQ195" s="183" t="n">
        <f aca="false">'Příjmy a výdaje'!$AP195</f>
        <v>0</v>
      </c>
    </row>
    <row r="196" customFormat="false" ht="12.75" hidden="false" customHeight="false" outlineLevel="0" collapsed="false">
      <c r="A196" s="169" t="n">
        <v>176</v>
      </c>
      <c r="B196" s="222"/>
      <c r="C196" s="185"/>
      <c r="D196" s="186"/>
      <c r="E196" s="188"/>
      <c r="F196" s="223"/>
      <c r="G196" s="224"/>
      <c r="H196" s="190"/>
      <c r="I196" s="246"/>
      <c r="J196" s="178" t="str">
        <f aca="false">IF(AL196=C196,IF(AL196=0,"-","ok"),"chyba")</f>
        <v>-</v>
      </c>
      <c r="K196" s="179"/>
      <c r="L196" s="179"/>
      <c r="M196" s="179"/>
      <c r="N196" s="179"/>
      <c r="P196" s="148" t="n">
        <f aca="false">VALUE(IF($D196="vyb",$C196,0))+VALUE(IF($H196="vyb",$G196,0))</f>
        <v>0</v>
      </c>
      <c r="Q196" s="148" t="n">
        <f aca="false">VALUE(IF($D196="mtv",$C196,0))+VALUE(IF($H196="mtv",$G196,0))</f>
        <v>0</v>
      </c>
      <c r="R196" s="148" t="n">
        <f aca="false">VALUE(IF($D196="mat",$C196,0))+VALUE(IF($H196="mat",$G196,0))</f>
        <v>0</v>
      </c>
      <c r="S196" s="148" t="n">
        <f aca="false">VALUE(IF($D196="pot",$C196,0))+VALUE(IF($H196="pot",$G196,0))</f>
        <v>0</v>
      </c>
      <c r="T196" s="148" t="n">
        <f aca="false">VALUE(IF($D196="táb",$C196,0))+VALUE(IF($H196="táb",$G196,0))</f>
        <v>0</v>
      </c>
      <c r="U196" s="148" t="n">
        <f aca="false">VALUE(IF($D196="oma",$C196,0))+VALUE(IF($H196="oma",$G196,0))</f>
        <v>0</v>
      </c>
      <c r="V196" s="148" t="n">
        <f aca="false">VALUE(IF($D196="ces",$C196,0))+VALUE(IF($H196="ces",$G196,0))</f>
        <v>0</v>
      </c>
      <c r="W196" s="148" t="n">
        <f aca="false">VALUE(IF($D196="poš",$C196,0))+VALUE(IF($H196="poš",$G196,0))</f>
        <v>0</v>
      </c>
      <c r="X196" s="148" t="n">
        <f aca="false">VALUE(IF($D196="tel",$C196,0))+VALUE(IF($H196="tel",$G196,0))</f>
        <v>0</v>
      </c>
      <c r="Y196" s="148" t="n">
        <f aca="false">VALUE(IF($D196="dop",$C196,0))+VALUE(IF($H196="dop",$G196,0))</f>
        <v>0</v>
      </c>
      <c r="Z196" s="148" t="n">
        <f aca="false">VALUE(IF($D196="nák",$C196,0))+VALUE(IF($H196="nák",$G196,0))</f>
        <v>0</v>
      </c>
      <c r="AA196" s="148" t="n">
        <f aca="false">VALUE(IF($D196="náj",$C196,0))+VALUE(IF($H196="náj",$G196,0))</f>
        <v>0</v>
      </c>
      <c r="AB196" s="148" t="n">
        <f aca="false">VALUE(IF($D196="půj",$C196,0))+VALUE(IF($H196="půj",$G196,0))</f>
        <v>0</v>
      </c>
      <c r="AC196" s="148" t="n">
        <f aca="false">VALUE(IF($D196="vst",$C196,0))+VALUE(IF($H196="vst",$G196,0))</f>
        <v>0</v>
      </c>
      <c r="AD196" s="148" t="n">
        <f aca="false">VALUE(IF($D196="kop",$C196,0))+VALUE(IF($H196="kop",$G196,0))</f>
        <v>0</v>
      </c>
      <c r="AE196" s="148" t="n">
        <f aca="false">VALUE(IF($D196="osl",$C196,0))+VALUE(IF($H196="osl",$G196,0))</f>
        <v>0</v>
      </c>
      <c r="AF196" s="148" t="n">
        <f aca="false">VALUE(IF($D196="vra",$C196,0))+VALUE(IF($H196="vra",$G196,0))</f>
        <v>0</v>
      </c>
      <c r="AG196" s="148" t="n">
        <f aca="false">VALUE(IF($D196="zho",$C196,0))+VALUE(IF($H196="zho",$G196,0))</f>
        <v>0</v>
      </c>
      <c r="AH196" s="148" t="n">
        <f aca="false">VALUE(IF($D196="zbú",$C196,0))+VALUE(IF($H196="zbú",$G196,0))</f>
        <v>0</v>
      </c>
      <c r="AI196" s="148" t="n">
        <f aca="false">VALUE(IF($D196="pří",$C196,0))+VALUE(IF($H196="pří",$G196,0))</f>
        <v>0</v>
      </c>
      <c r="AJ196" s="148" t="n">
        <f aca="false">VALUE(IF($D196="dot",$C196,0))+VALUE(IF($H196="dot",$G196,0))</f>
        <v>0</v>
      </c>
      <c r="AK196" s="148" t="n">
        <f aca="false">VALUE(IF($D196="opř",$C196,0))+VALUE(IF($H196="opř",$G196,0))</f>
        <v>0</v>
      </c>
      <c r="AL196" s="148" t="n">
        <f aca="false">SUM(P196:AK196)</f>
        <v>0</v>
      </c>
      <c r="AN196" s="180" t="str">
        <f aca="false">CONCATENATE('Přehled akce'!$K$4," / ",'Přehled akce'!$K$5)</f>
        <v> / </v>
      </c>
      <c r="AO196" s="181" t="n">
        <f aca="false">IF('Příjmy a výdaje'!$G196="ano",'Příjmy a výdaje'!$B196,0)</f>
        <v>0</v>
      </c>
      <c r="AP196" s="182" t="n">
        <f aca="false">IF('Příjmy a výdaje'!$G196="ano",'Příjmy a výdaje'!$C196,0)</f>
        <v>0</v>
      </c>
      <c r="AQ196" s="183" t="n">
        <f aca="false">'Příjmy a výdaje'!$AP196</f>
        <v>0</v>
      </c>
    </row>
    <row r="197" customFormat="false" ht="12.75" hidden="false" customHeight="false" outlineLevel="0" collapsed="false">
      <c r="A197" s="169" t="n">
        <v>177</v>
      </c>
      <c r="B197" s="222"/>
      <c r="C197" s="185"/>
      <c r="D197" s="186"/>
      <c r="E197" s="188"/>
      <c r="F197" s="223"/>
      <c r="G197" s="224"/>
      <c r="H197" s="190"/>
      <c r="I197" s="246"/>
      <c r="J197" s="178" t="str">
        <f aca="false">IF(AL197=C197,IF(AL197=0,"-","ok"),"chyba")</f>
        <v>-</v>
      </c>
      <c r="K197" s="179"/>
      <c r="L197" s="179"/>
      <c r="M197" s="179"/>
      <c r="N197" s="179"/>
      <c r="P197" s="148" t="n">
        <f aca="false">VALUE(IF($D197="vyb",$C197,0))+VALUE(IF($H197="vyb",$G197,0))</f>
        <v>0</v>
      </c>
      <c r="Q197" s="148" t="n">
        <f aca="false">VALUE(IF($D197="mtv",$C197,0))+VALUE(IF($H197="mtv",$G197,0))</f>
        <v>0</v>
      </c>
      <c r="R197" s="148" t="n">
        <f aca="false">VALUE(IF($D197="mat",$C197,0))+VALUE(IF($H197="mat",$G197,0))</f>
        <v>0</v>
      </c>
      <c r="S197" s="148" t="n">
        <f aca="false">VALUE(IF($D197="pot",$C197,0))+VALUE(IF($H197="pot",$G197,0))</f>
        <v>0</v>
      </c>
      <c r="T197" s="148" t="n">
        <f aca="false">VALUE(IF($D197="táb",$C197,0))+VALUE(IF($H197="táb",$G197,0))</f>
        <v>0</v>
      </c>
      <c r="U197" s="148" t="n">
        <f aca="false">VALUE(IF($D197="oma",$C197,0))+VALUE(IF($H197="oma",$G197,0))</f>
        <v>0</v>
      </c>
      <c r="V197" s="148" t="n">
        <f aca="false">VALUE(IF($D197="ces",$C197,0))+VALUE(IF($H197="ces",$G197,0))</f>
        <v>0</v>
      </c>
      <c r="W197" s="148" t="n">
        <f aca="false">VALUE(IF($D197="poš",$C197,0))+VALUE(IF($H197="poš",$G197,0))</f>
        <v>0</v>
      </c>
      <c r="X197" s="148" t="n">
        <f aca="false">VALUE(IF($D197="tel",$C197,0))+VALUE(IF($H197="tel",$G197,0))</f>
        <v>0</v>
      </c>
      <c r="Y197" s="148" t="n">
        <f aca="false">VALUE(IF($D197="dop",$C197,0))+VALUE(IF($H197="dop",$G197,0))</f>
        <v>0</v>
      </c>
      <c r="Z197" s="148" t="n">
        <f aca="false">VALUE(IF($D197="nák",$C197,0))+VALUE(IF($H197="nák",$G197,0))</f>
        <v>0</v>
      </c>
      <c r="AA197" s="148" t="n">
        <f aca="false">VALUE(IF($D197="náj",$C197,0))+VALUE(IF($H197="náj",$G197,0))</f>
        <v>0</v>
      </c>
      <c r="AB197" s="148" t="n">
        <f aca="false">VALUE(IF($D197="půj",$C197,0))+VALUE(IF($H197="půj",$G197,0))</f>
        <v>0</v>
      </c>
      <c r="AC197" s="148" t="n">
        <f aca="false">VALUE(IF($D197="vst",$C197,0))+VALUE(IF($H197="vst",$G197,0))</f>
        <v>0</v>
      </c>
      <c r="AD197" s="148" t="n">
        <f aca="false">VALUE(IF($D197="kop",$C197,0))+VALUE(IF($H197="kop",$G197,0))</f>
        <v>0</v>
      </c>
      <c r="AE197" s="148" t="n">
        <f aca="false">VALUE(IF($D197="osl",$C197,0))+VALUE(IF($H197="osl",$G197,0))</f>
        <v>0</v>
      </c>
      <c r="AF197" s="148" t="n">
        <f aca="false">VALUE(IF($D197="vra",$C197,0))+VALUE(IF($H197="vra",$G197,0))</f>
        <v>0</v>
      </c>
      <c r="AG197" s="148" t="n">
        <f aca="false">VALUE(IF($D197="zho",$C197,0))+VALUE(IF($H197="zho",$G197,0))</f>
        <v>0</v>
      </c>
      <c r="AH197" s="148" t="n">
        <f aca="false">VALUE(IF($D197="zbú",$C197,0))+VALUE(IF($H197="zbú",$G197,0))</f>
        <v>0</v>
      </c>
      <c r="AI197" s="148" t="n">
        <f aca="false">VALUE(IF($D197="pří",$C197,0))+VALUE(IF($H197="pří",$G197,0))</f>
        <v>0</v>
      </c>
      <c r="AJ197" s="148" t="n">
        <f aca="false">VALUE(IF($D197="dot",$C197,0))+VALUE(IF($H197="dot",$G197,0))</f>
        <v>0</v>
      </c>
      <c r="AK197" s="148" t="n">
        <f aca="false">VALUE(IF($D197="opř",$C197,0))+VALUE(IF($H197="opř",$G197,0))</f>
        <v>0</v>
      </c>
      <c r="AL197" s="148" t="n">
        <f aca="false">SUM(P197:AK197)</f>
        <v>0</v>
      </c>
      <c r="AN197" s="180" t="str">
        <f aca="false">CONCATENATE('Přehled akce'!$K$4," / ",'Přehled akce'!$K$5)</f>
        <v> / </v>
      </c>
      <c r="AO197" s="181" t="n">
        <f aca="false">IF('Příjmy a výdaje'!$G197="ano",'Příjmy a výdaje'!$B197,0)</f>
        <v>0</v>
      </c>
      <c r="AP197" s="182" t="n">
        <f aca="false">IF('Příjmy a výdaje'!$G197="ano",'Příjmy a výdaje'!$C197,0)</f>
        <v>0</v>
      </c>
      <c r="AQ197" s="183" t="n">
        <f aca="false">'Příjmy a výdaje'!$AP197</f>
        <v>0</v>
      </c>
    </row>
    <row r="198" customFormat="false" ht="12.75" hidden="false" customHeight="false" outlineLevel="0" collapsed="false">
      <c r="A198" s="169" t="n">
        <v>178</v>
      </c>
      <c r="B198" s="222"/>
      <c r="C198" s="185"/>
      <c r="D198" s="186"/>
      <c r="E198" s="188"/>
      <c r="F198" s="223"/>
      <c r="G198" s="224"/>
      <c r="H198" s="190"/>
      <c r="I198" s="246"/>
      <c r="J198" s="178" t="str">
        <f aca="false">IF(AL198=C198,IF(AL198=0,"-","ok"),"chyba")</f>
        <v>-</v>
      </c>
      <c r="K198" s="179"/>
      <c r="L198" s="179"/>
      <c r="M198" s="179"/>
      <c r="N198" s="179"/>
      <c r="P198" s="148" t="n">
        <f aca="false">VALUE(IF($D198="vyb",$C198,0))+VALUE(IF($H198="vyb",$G198,0))</f>
        <v>0</v>
      </c>
      <c r="Q198" s="148" t="n">
        <f aca="false">VALUE(IF($D198="mtv",$C198,0))+VALUE(IF($H198="mtv",$G198,0))</f>
        <v>0</v>
      </c>
      <c r="R198" s="148" t="n">
        <f aca="false">VALUE(IF($D198="mat",$C198,0))+VALUE(IF($H198="mat",$G198,0))</f>
        <v>0</v>
      </c>
      <c r="S198" s="148" t="n">
        <f aca="false">VALUE(IF($D198="pot",$C198,0))+VALUE(IF($H198="pot",$G198,0))</f>
        <v>0</v>
      </c>
      <c r="T198" s="148" t="n">
        <f aca="false">VALUE(IF($D198="táb",$C198,0))+VALUE(IF($H198="táb",$G198,0))</f>
        <v>0</v>
      </c>
      <c r="U198" s="148" t="n">
        <f aca="false">VALUE(IF($D198="oma",$C198,0))+VALUE(IF($H198="oma",$G198,0))</f>
        <v>0</v>
      </c>
      <c r="V198" s="148" t="n">
        <f aca="false">VALUE(IF($D198="ces",$C198,0))+VALUE(IF($H198="ces",$G198,0))</f>
        <v>0</v>
      </c>
      <c r="W198" s="148" t="n">
        <f aca="false">VALUE(IF($D198="poš",$C198,0))+VALUE(IF($H198="poš",$G198,0))</f>
        <v>0</v>
      </c>
      <c r="X198" s="148" t="n">
        <f aca="false">VALUE(IF($D198="tel",$C198,0))+VALUE(IF($H198="tel",$G198,0))</f>
        <v>0</v>
      </c>
      <c r="Y198" s="148" t="n">
        <f aca="false">VALUE(IF($D198="dop",$C198,0))+VALUE(IF($H198="dop",$G198,0))</f>
        <v>0</v>
      </c>
      <c r="Z198" s="148" t="n">
        <f aca="false">VALUE(IF($D198="nák",$C198,0))+VALUE(IF($H198="nák",$G198,0))</f>
        <v>0</v>
      </c>
      <c r="AA198" s="148" t="n">
        <f aca="false">VALUE(IF($D198="náj",$C198,0))+VALUE(IF($H198="náj",$G198,0))</f>
        <v>0</v>
      </c>
      <c r="AB198" s="148" t="n">
        <f aca="false">VALUE(IF($D198="půj",$C198,0))+VALUE(IF($H198="půj",$G198,0))</f>
        <v>0</v>
      </c>
      <c r="AC198" s="148" t="n">
        <f aca="false">VALUE(IF($D198="vst",$C198,0))+VALUE(IF($H198="vst",$G198,0))</f>
        <v>0</v>
      </c>
      <c r="AD198" s="148" t="n">
        <f aca="false">VALUE(IF($D198="kop",$C198,0))+VALUE(IF($H198="kop",$G198,0))</f>
        <v>0</v>
      </c>
      <c r="AE198" s="148" t="n">
        <f aca="false">VALUE(IF($D198="osl",$C198,0))+VALUE(IF($H198="osl",$G198,0))</f>
        <v>0</v>
      </c>
      <c r="AF198" s="148" t="n">
        <f aca="false">VALUE(IF($D198="vra",$C198,0))+VALUE(IF($H198="vra",$G198,0))</f>
        <v>0</v>
      </c>
      <c r="AG198" s="148" t="n">
        <f aca="false">VALUE(IF($D198="zho",$C198,0))+VALUE(IF($H198="zho",$G198,0))</f>
        <v>0</v>
      </c>
      <c r="AH198" s="148" t="n">
        <f aca="false">VALUE(IF($D198="zbú",$C198,0))+VALUE(IF($H198="zbú",$G198,0))</f>
        <v>0</v>
      </c>
      <c r="AI198" s="148" t="n">
        <f aca="false">VALUE(IF($D198="pří",$C198,0))+VALUE(IF($H198="pří",$G198,0))</f>
        <v>0</v>
      </c>
      <c r="AJ198" s="148" t="n">
        <f aca="false">VALUE(IF($D198="dot",$C198,0))+VALUE(IF($H198="dot",$G198,0))</f>
        <v>0</v>
      </c>
      <c r="AK198" s="148" t="n">
        <f aca="false">VALUE(IF($D198="opř",$C198,0))+VALUE(IF($H198="opř",$G198,0))</f>
        <v>0</v>
      </c>
      <c r="AL198" s="148" t="n">
        <f aca="false">SUM(P198:AK198)</f>
        <v>0</v>
      </c>
      <c r="AN198" s="180" t="str">
        <f aca="false">CONCATENATE('Přehled akce'!$K$4," / ",'Přehled akce'!$K$5)</f>
        <v> / </v>
      </c>
      <c r="AO198" s="181" t="n">
        <f aca="false">IF('Příjmy a výdaje'!$G198="ano",'Příjmy a výdaje'!$B198,0)</f>
        <v>0</v>
      </c>
      <c r="AP198" s="182" t="n">
        <f aca="false">IF('Příjmy a výdaje'!$G198="ano",'Příjmy a výdaje'!$C198,0)</f>
        <v>0</v>
      </c>
      <c r="AQ198" s="183" t="n">
        <f aca="false">'Příjmy a výdaje'!$AP198</f>
        <v>0</v>
      </c>
    </row>
    <row r="199" customFormat="false" ht="12.75" hidden="false" customHeight="false" outlineLevel="0" collapsed="false">
      <c r="A199" s="169" t="n">
        <v>179</v>
      </c>
      <c r="B199" s="222"/>
      <c r="C199" s="185"/>
      <c r="D199" s="186"/>
      <c r="E199" s="188"/>
      <c r="F199" s="223"/>
      <c r="G199" s="224"/>
      <c r="H199" s="190"/>
      <c r="I199" s="246"/>
      <c r="J199" s="178" t="str">
        <f aca="false">IF(AL199=C199,IF(AL199=0,"-","ok"),"chyba")</f>
        <v>-</v>
      </c>
      <c r="K199" s="179"/>
      <c r="L199" s="179"/>
      <c r="M199" s="179"/>
      <c r="N199" s="179"/>
      <c r="P199" s="148" t="n">
        <f aca="false">VALUE(IF($D199="vyb",$C199,0))+VALUE(IF($H199="vyb",$G199,0))</f>
        <v>0</v>
      </c>
      <c r="Q199" s="148" t="n">
        <f aca="false">VALUE(IF($D199="mtv",$C199,0))+VALUE(IF($H199="mtv",$G199,0))</f>
        <v>0</v>
      </c>
      <c r="R199" s="148" t="n">
        <f aca="false">VALUE(IF($D199="mat",$C199,0))+VALUE(IF($H199="mat",$G199,0))</f>
        <v>0</v>
      </c>
      <c r="S199" s="148" t="n">
        <f aca="false">VALUE(IF($D199="pot",$C199,0))+VALUE(IF($H199="pot",$G199,0))</f>
        <v>0</v>
      </c>
      <c r="T199" s="148" t="n">
        <f aca="false">VALUE(IF($D199="táb",$C199,0))+VALUE(IF($H199="táb",$G199,0))</f>
        <v>0</v>
      </c>
      <c r="U199" s="148" t="n">
        <f aca="false">VALUE(IF($D199="oma",$C199,0))+VALUE(IF($H199="oma",$G199,0))</f>
        <v>0</v>
      </c>
      <c r="V199" s="148" t="n">
        <f aca="false">VALUE(IF($D199="ces",$C199,0))+VALUE(IF($H199="ces",$G199,0))</f>
        <v>0</v>
      </c>
      <c r="W199" s="148" t="n">
        <f aca="false">VALUE(IF($D199="poš",$C199,0))+VALUE(IF($H199="poš",$G199,0))</f>
        <v>0</v>
      </c>
      <c r="X199" s="148" t="n">
        <f aca="false">VALUE(IF($D199="tel",$C199,0))+VALUE(IF($H199="tel",$G199,0))</f>
        <v>0</v>
      </c>
      <c r="Y199" s="148" t="n">
        <f aca="false">VALUE(IF($D199="dop",$C199,0))+VALUE(IF($H199="dop",$G199,0))</f>
        <v>0</v>
      </c>
      <c r="Z199" s="148" t="n">
        <f aca="false">VALUE(IF($D199="nák",$C199,0))+VALUE(IF($H199="nák",$G199,0))</f>
        <v>0</v>
      </c>
      <c r="AA199" s="148" t="n">
        <f aca="false">VALUE(IF($D199="náj",$C199,0))+VALUE(IF($H199="náj",$G199,0))</f>
        <v>0</v>
      </c>
      <c r="AB199" s="148" t="n">
        <f aca="false">VALUE(IF($D199="půj",$C199,0))+VALUE(IF($H199="půj",$G199,0))</f>
        <v>0</v>
      </c>
      <c r="AC199" s="148" t="n">
        <f aca="false">VALUE(IF($D199="vst",$C199,0))+VALUE(IF($H199="vst",$G199,0))</f>
        <v>0</v>
      </c>
      <c r="AD199" s="148" t="n">
        <f aca="false">VALUE(IF($D199="kop",$C199,0))+VALUE(IF($H199="kop",$G199,0))</f>
        <v>0</v>
      </c>
      <c r="AE199" s="148" t="n">
        <f aca="false">VALUE(IF($D199="osl",$C199,0))+VALUE(IF($H199="osl",$G199,0))</f>
        <v>0</v>
      </c>
      <c r="AF199" s="148" t="n">
        <f aca="false">VALUE(IF($D199="vra",$C199,0))+VALUE(IF($H199="vra",$G199,0))</f>
        <v>0</v>
      </c>
      <c r="AG199" s="148" t="n">
        <f aca="false">VALUE(IF($D199="zho",$C199,0))+VALUE(IF($H199="zho",$G199,0))</f>
        <v>0</v>
      </c>
      <c r="AH199" s="148" t="n">
        <f aca="false">VALUE(IF($D199="zbú",$C199,0))+VALUE(IF($H199="zbú",$G199,0))</f>
        <v>0</v>
      </c>
      <c r="AI199" s="148" t="n">
        <f aca="false">VALUE(IF($D199="pří",$C199,0))+VALUE(IF($H199="pří",$G199,0))</f>
        <v>0</v>
      </c>
      <c r="AJ199" s="148" t="n">
        <f aca="false">VALUE(IF($D199="dot",$C199,0))+VALUE(IF($H199="dot",$G199,0))</f>
        <v>0</v>
      </c>
      <c r="AK199" s="148" t="n">
        <f aca="false">VALUE(IF($D199="opř",$C199,0))+VALUE(IF($H199="opř",$G199,0))</f>
        <v>0</v>
      </c>
      <c r="AL199" s="148" t="n">
        <f aca="false">SUM(P199:AK199)</f>
        <v>0</v>
      </c>
      <c r="AN199" s="180" t="str">
        <f aca="false">CONCATENATE('Přehled akce'!$K$4," / ",'Přehled akce'!$K$5)</f>
        <v> / </v>
      </c>
      <c r="AO199" s="181" t="n">
        <f aca="false">IF('Příjmy a výdaje'!$G199="ano",'Příjmy a výdaje'!$B199,0)</f>
        <v>0</v>
      </c>
      <c r="AP199" s="182" t="n">
        <f aca="false">IF('Příjmy a výdaje'!$G199="ano",'Příjmy a výdaje'!$C199,0)</f>
        <v>0</v>
      </c>
      <c r="AQ199" s="183" t="n">
        <f aca="false">'Příjmy a výdaje'!$AP199</f>
        <v>0</v>
      </c>
    </row>
    <row r="200" customFormat="false" ht="12.75" hidden="false" customHeight="false" outlineLevel="0" collapsed="false">
      <c r="A200" s="169" t="n">
        <v>180</v>
      </c>
      <c r="B200" s="222"/>
      <c r="C200" s="185"/>
      <c r="D200" s="186"/>
      <c r="E200" s="188"/>
      <c r="F200" s="223"/>
      <c r="G200" s="224"/>
      <c r="H200" s="190"/>
      <c r="I200" s="249"/>
      <c r="J200" s="178" t="str">
        <f aca="false">IF(AL200=C200,IF(AL200=0,"-","ok"),"chyba")</f>
        <v>-</v>
      </c>
      <c r="K200" s="179"/>
      <c r="L200" s="179"/>
      <c r="M200" s="179"/>
      <c r="N200" s="179"/>
      <c r="P200" s="148" t="n">
        <f aca="false">VALUE(IF($D200="vyb",$C200,0))+VALUE(IF($H200="vyb",$G200,0))</f>
        <v>0</v>
      </c>
      <c r="Q200" s="148" t="n">
        <f aca="false">VALUE(IF($D200="mtv",$C200,0))+VALUE(IF($H200="mtv",$G200,0))</f>
        <v>0</v>
      </c>
      <c r="R200" s="148" t="n">
        <f aca="false">VALUE(IF($D200="mat",$C200,0))+VALUE(IF($H200="mat",$G200,0))</f>
        <v>0</v>
      </c>
      <c r="S200" s="148" t="n">
        <f aca="false">VALUE(IF($D200="pot",$C200,0))+VALUE(IF($H200="pot",$G200,0))</f>
        <v>0</v>
      </c>
      <c r="T200" s="148" t="n">
        <f aca="false">VALUE(IF($D200="táb",$C200,0))+VALUE(IF($H200="táb",$G200,0))</f>
        <v>0</v>
      </c>
      <c r="U200" s="148" t="n">
        <f aca="false">VALUE(IF($D200="oma",$C200,0))+VALUE(IF($H200="oma",$G200,0))</f>
        <v>0</v>
      </c>
      <c r="V200" s="148" t="n">
        <f aca="false">VALUE(IF($D200="ces",$C200,0))+VALUE(IF($H200="ces",$G200,0))</f>
        <v>0</v>
      </c>
      <c r="W200" s="148" t="n">
        <f aca="false">VALUE(IF($D200="poš",$C200,0))+VALUE(IF($H200="poš",$G200,0))</f>
        <v>0</v>
      </c>
      <c r="X200" s="148" t="n">
        <f aca="false">VALUE(IF($D200="tel",$C200,0))+VALUE(IF($H200="tel",$G200,0))</f>
        <v>0</v>
      </c>
      <c r="Y200" s="148" t="n">
        <f aca="false">VALUE(IF($D200="dop",$C200,0))+VALUE(IF($H200="dop",$G200,0))</f>
        <v>0</v>
      </c>
      <c r="Z200" s="148" t="n">
        <f aca="false">VALUE(IF($D200="nák",$C200,0))+VALUE(IF($H200="nák",$G200,0))</f>
        <v>0</v>
      </c>
      <c r="AA200" s="148" t="n">
        <f aca="false">VALUE(IF($D200="náj",$C200,0))+VALUE(IF($H200="náj",$G200,0))</f>
        <v>0</v>
      </c>
      <c r="AB200" s="148" t="n">
        <f aca="false">VALUE(IF($D200="půj",$C200,0))+VALUE(IF($H200="půj",$G200,0))</f>
        <v>0</v>
      </c>
      <c r="AC200" s="148" t="n">
        <f aca="false">VALUE(IF($D200="vst",$C200,0))+VALUE(IF($H200="vst",$G200,0))</f>
        <v>0</v>
      </c>
      <c r="AD200" s="148" t="n">
        <f aca="false">VALUE(IF($D200="kop",$C200,0))+VALUE(IF($H200="kop",$G200,0))</f>
        <v>0</v>
      </c>
      <c r="AE200" s="148" t="n">
        <f aca="false">VALUE(IF($D200="osl",$C200,0))+VALUE(IF($H200="osl",$G200,0))</f>
        <v>0</v>
      </c>
      <c r="AF200" s="148" t="n">
        <f aca="false">VALUE(IF($D200="vra",$C200,0))+VALUE(IF($H200="vra",$G200,0))</f>
        <v>0</v>
      </c>
      <c r="AG200" s="148" t="n">
        <f aca="false">VALUE(IF($D200="zho",$C200,0))+VALUE(IF($H200="zho",$G200,0))</f>
        <v>0</v>
      </c>
      <c r="AH200" s="148" t="n">
        <f aca="false">VALUE(IF($D200="zbú",$C200,0))+VALUE(IF($H200="zbú",$G200,0))</f>
        <v>0</v>
      </c>
      <c r="AI200" s="148" t="n">
        <f aca="false">VALUE(IF($D200="pří",$C200,0))+VALUE(IF($H200="pří",$G200,0))</f>
        <v>0</v>
      </c>
      <c r="AJ200" s="148" t="n">
        <f aca="false">VALUE(IF($D200="dot",$C200,0))+VALUE(IF($H200="dot",$G200,0))</f>
        <v>0</v>
      </c>
      <c r="AK200" s="148" t="n">
        <f aca="false">VALUE(IF($D200="opř",$C200,0))+VALUE(IF($H200="opř",$G200,0))</f>
        <v>0</v>
      </c>
      <c r="AL200" s="148" t="n">
        <f aca="false">SUM(P200:AK200)</f>
        <v>0</v>
      </c>
      <c r="AN200" s="180" t="str">
        <f aca="false">CONCATENATE('Přehled akce'!$K$4," / ",'Přehled akce'!$K$5)</f>
        <v> / </v>
      </c>
      <c r="AO200" s="181" t="n">
        <f aca="false">IF('Příjmy a výdaje'!$G200="ano",'Příjmy a výdaje'!$B200,0)</f>
        <v>0</v>
      </c>
      <c r="AP200" s="182" t="n">
        <f aca="false">IF('Příjmy a výdaje'!$G200="ano",'Příjmy a výdaje'!$C200,0)</f>
        <v>0</v>
      </c>
      <c r="AQ200" s="183" t="n">
        <f aca="false">'Příjmy a výdaje'!$AP200</f>
        <v>0</v>
      </c>
    </row>
    <row r="201" customFormat="false" ht="12.75" hidden="false" customHeight="false" outlineLevel="0" collapsed="false">
      <c r="A201" s="169" t="n">
        <v>181</v>
      </c>
      <c r="B201" s="222"/>
      <c r="C201" s="185"/>
      <c r="D201" s="186"/>
      <c r="E201" s="188"/>
      <c r="F201" s="223"/>
      <c r="G201" s="224"/>
      <c r="H201" s="190"/>
      <c r="I201" s="249"/>
      <c r="J201" s="178" t="str">
        <f aca="false">IF(AL201=C201,IF(AL201=0,"-","ok"),"chyba")</f>
        <v>-</v>
      </c>
      <c r="K201" s="179"/>
      <c r="L201" s="179"/>
      <c r="M201" s="179"/>
      <c r="N201" s="179"/>
      <c r="P201" s="148" t="n">
        <f aca="false">VALUE(IF($D201="vyb",$C201,0))+VALUE(IF($H201="vyb",$G201,0))</f>
        <v>0</v>
      </c>
      <c r="Q201" s="148" t="n">
        <f aca="false">VALUE(IF($D201="mtv",$C201,0))+VALUE(IF($H201="mtv",$G201,0))</f>
        <v>0</v>
      </c>
      <c r="R201" s="148" t="n">
        <f aca="false">VALUE(IF($D201="mat",$C201,0))+VALUE(IF($H201="mat",$G201,0))</f>
        <v>0</v>
      </c>
      <c r="S201" s="148" t="n">
        <f aca="false">VALUE(IF($D201="pot",$C201,0))+VALUE(IF($H201="pot",$G201,0))</f>
        <v>0</v>
      </c>
      <c r="T201" s="148" t="n">
        <f aca="false">VALUE(IF($D201="táb",$C201,0))+VALUE(IF($H201="táb",$G201,0))</f>
        <v>0</v>
      </c>
      <c r="U201" s="148" t="n">
        <f aca="false">VALUE(IF($D201="oma",$C201,0))+VALUE(IF($H201="oma",$G201,0))</f>
        <v>0</v>
      </c>
      <c r="V201" s="148" t="n">
        <f aca="false">VALUE(IF($D201="ces",$C201,0))+VALUE(IF($H201="ces",$G201,0))</f>
        <v>0</v>
      </c>
      <c r="W201" s="148" t="n">
        <f aca="false">VALUE(IF($D201="poš",$C201,0))+VALUE(IF($H201="poš",$G201,0))</f>
        <v>0</v>
      </c>
      <c r="X201" s="148" t="n">
        <f aca="false">VALUE(IF($D201="tel",$C201,0))+VALUE(IF($H201="tel",$G201,0))</f>
        <v>0</v>
      </c>
      <c r="Y201" s="148" t="n">
        <f aca="false">VALUE(IF($D201="dop",$C201,0))+VALUE(IF($H201="dop",$G201,0))</f>
        <v>0</v>
      </c>
      <c r="Z201" s="148" t="n">
        <f aca="false">VALUE(IF($D201="nák",$C201,0))+VALUE(IF($H201="nák",$G201,0))</f>
        <v>0</v>
      </c>
      <c r="AA201" s="148" t="n">
        <f aca="false">VALUE(IF($D201="náj",$C201,0))+VALUE(IF($H201="náj",$G201,0))</f>
        <v>0</v>
      </c>
      <c r="AB201" s="148" t="n">
        <f aca="false">VALUE(IF($D201="půj",$C201,0))+VALUE(IF($H201="půj",$G201,0))</f>
        <v>0</v>
      </c>
      <c r="AC201" s="148" t="n">
        <f aca="false">VALUE(IF($D201="vst",$C201,0))+VALUE(IF($H201="vst",$G201,0))</f>
        <v>0</v>
      </c>
      <c r="AD201" s="148" t="n">
        <f aca="false">VALUE(IF($D201="kop",$C201,0))+VALUE(IF($H201="kop",$G201,0))</f>
        <v>0</v>
      </c>
      <c r="AE201" s="148" t="n">
        <f aca="false">VALUE(IF($D201="osl",$C201,0))+VALUE(IF($H201="osl",$G201,0))</f>
        <v>0</v>
      </c>
      <c r="AF201" s="148" t="n">
        <f aca="false">VALUE(IF($D201="vra",$C201,0))+VALUE(IF($H201="vra",$G201,0))</f>
        <v>0</v>
      </c>
      <c r="AG201" s="148" t="n">
        <f aca="false">VALUE(IF($D201="zho",$C201,0))+VALUE(IF($H201="zho",$G201,0))</f>
        <v>0</v>
      </c>
      <c r="AH201" s="148" t="n">
        <f aca="false">VALUE(IF($D201="zbú",$C201,0))+VALUE(IF($H201="zbú",$G201,0))</f>
        <v>0</v>
      </c>
      <c r="AI201" s="148" t="n">
        <f aca="false">VALUE(IF($D201="pří",$C201,0))+VALUE(IF($H201="pří",$G201,0))</f>
        <v>0</v>
      </c>
      <c r="AJ201" s="148" t="n">
        <f aca="false">VALUE(IF($D201="dot",$C201,0))+VALUE(IF($H201="dot",$G201,0))</f>
        <v>0</v>
      </c>
      <c r="AK201" s="148" t="n">
        <f aca="false">VALUE(IF($D201="opř",$C201,0))+VALUE(IF($H201="opř",$G201,0))</f>
        <v>0</v>
      </c>
      <c r="AL201" s="148" t="n">
        <f aca="false">SUM(P201:AK201)</f>
        <v>0</v>
      </c>
      <c r="AN201" s="180" t="str">
        <f aca="false">CONCATENATE('Přehled akce'!$K$4," / ",'Přehled akce'!$K$5)</f>
        <v> / </v>
      </c>
      <c r="AO201" s="181" t="n">
        <f aca="false">IF('Příjmy a výdaje'!$G201="ano",'Příjmy a výdaje'!$B201,0)</f>
        <v>0</v>
      </c>
      <c r="AP201" s="182" t="n">
        <f aca="false">IF('Příjmy a výdaje'!$G201="ano",'Příjmy a výdaje'!$C201,0)</f>
        <v>0</v>
      </c>
      <c r="AQ201" s="183" t="n">
        <f aca="false">'Příjmy a výdaje'!$AP201</f>
        <v>0</v>
      </c>
    </row>
    <row r="202" customFormat="false" ht="12.75" hidden="false" customHeight="false" outlineLevel="0" collapsed="false">
      <c r="A202" s="169" t="n">
        <v>182</v>
      </c>
      <c r="B202" s="222"/>
      <c r="C202" s="185"/>
      <c r="D202" s="186"/>
      <c r="E202" s="188"/>
      <c r="F202" s="223"/>
      <c r="G202" s="224"/>
      <c r="H202" s="190"/>
      <c r="I202" s="249"/>
      <c r="J202" s="178" t="str">
        <f aca="false">IF(AL202=C202,IF(AL202=0,"-","ok"),"chyba")</f>
        <v>-</v>
      </c>
      <c r="K202" s="179"/>
      <c r="L202" s="179"/>
      <c r="M202" s="179"/>
      <c r="N202" s="179"/>
      <c r="P202" s="148" t="n">
        <f aca="false">VALUE(IF($D202="vyb",$C202,0))+VALUE(IF($H202="vyb",$G202,0))</f>
        <v>0</v>
      </c>
      <c r="Q202" s="148" t="n">
        <f aca="false">VALUE(IF($D202="mtv",$C202,0))+VALUE(IF($H202="mtv",$G202,0))</f>
        <v>0</v>
      </c>
      <c r="R202" s="148" t="n">
        <f aca="false">VALUE(IF($D202="mat",$C202,0))+VALUE(IF($H202="mat",$G202,0))</f>
        <v>0</v>
      </c>
      <c r="S202" s="148" t="n">
        <f aca="false">VALUE(IF($D202="pot",$C202,0))+VALUE(IF($H202="pot",$G202,0))</f>
        <v>0</v>
      </c>
      <c r="T202" s="148" t="n">
        <f aca="false">VALUE(IF($D202="táb",$C202,0))+VALUE(IF($H202="táb",$G202,0))</f>
        <v>0</v>
      </c>
      <c r="U202" s="148" t="n">
        <f aca="false">VALUE(IF($D202="oma",$C202,0))+VALUE(IF($H202="oma",$G202,0))</f>
        <v>0</v>
      </c>
      <c r="V202" s="148" t="n">
        <f aca="false">VALUE(IF($D202="ces",$C202,0))+VALUE(IF($H202="ces",$G202,0))</f>
        <v>0</v>
      </c>
      <c r="W202" s="148" t="n">
        <f aca="false">VALUE(IF($D202="poš",$C202,0))+VALUE(IF($H202="poš",$G202,0))</f>
        <v>0</v>
      </c>
      <c r="X202" s="148" t="n">
        <f aca="false">VALUE(IF($D202="tel",$C202,0))+VALUE(IF($H202="tel",$G202,0))</f>
        <v>0</v>
      </c>
      <c r="Y202" s="148" t="n">
        <f aca="false">VALUE(IF($D202="dop",$C202,0))+VALUE(IF($H202="dop",$G202,0))</f>
        <v>0</v>
      </c>
      <c r="Z202" s="148" t="n">
        <f aca="false">VALUE(IF($D202="nák",$C202,0))+VALUE(IF($H202="nák",$G202,0))</f>
        <v>0</v>
      </c>
      <c r="AA202" s="148" t="n">
        <f aca="false">VALUE(IF($D202="náj",$C202,0))+VALUE(IF($H202="náj",$G202,0))</f>
        <v>0</v>
      </c>
      <c r="AB202" s="148" t="n">
        <f aca="false">VALUE(IF($D202="půj",$C202,0))+VALUE(IF($H202="půj",$G202,0))</f>
        <v>0</v>
      </c>
      <c r="AC202" s="148" t="n">
        <f aca="false">VALUE(IF($D202="vst",$C202,0))+VALUE(IF($H202="vst",$G202,0))</f>
        <v>0</v>
      </c>
      <c r="AD202" s="148" t="n">
        <f aca="false">VALUE(IF($D202="kop",$C202,0))+VALUE(IF($H202="kop",$G202,0))</f>
        <v>0</v>
      </c>
      <c r="AE202" s="148" t="n">
        <f aca="false">VALUE(IF($D202="osl",$C202,0))+VALUE(IF($H202="osl",$G202,0))</f>
        <v>0</v>
      </c>
      <c r="AF202" s="148" t="n">
        <f aca="false">VALUE(IF($D202="vra",$C202,0))+VALUE(IF($H202="vra",$G202,0))</f>
        <v>0</v>
      </c>
      <c r="AG202" s="148" t="n">
        <f aca="false">VALUE(IF($D202="zho",$C202,0))+VALUE(IF($H202="zho",$G202,0))</f>
        <v>0</v>
      </c>
      <c r="AH202" s="148" t="n">
        <f aca="false">VALUE(IF($D202="zbú",$C202,0))+VALUE(IF($H202="zbú",$G202,0))</f>
        <v>0</v>
      </c>
      <c r="AI202" s="148" t="n">
        <f aca="false">VALUE(IF($D202="pří",$C202,0))+VALUE(IF($H202="pří",$G202,0))</f>
        <v>0</v>
      </c>
      <c r="AJ202" s="148" t="n">
        <f aca="false">VALUE(IF($D202="dot",$C202,0))+VALUE(IF($H202="dot",$G202,0))</f>
        <v>0</v>
      </c>
      <c r="AK202" s="148" t="n">
        <f aca="false">VALUE(IF($D202="opř",$C202,0))+VALUE(IF($H202="opř",$G202,0))</f>
        <v>0</v>
      </c>
      <c r="AL202" s="148" t="n">
        <f aca="false">SUM(P202:AK202)</f>
        <v>0</v>
      </c>
      <c r="AN202" s="180" t="str">
        <f aca="false">CONCATENATE('Přehled akce'!$K$4," / ",'Přehled akce'!$K$5)</f>
        <v> / </v>
      </c>
      <c r="AO202" s="181" t="n">
        <f aca="false">IF('Příjmy a výdaje'!$G202="ano",'Příjmy a výdaje'!$B202,0)</f>
        <v>0</v>
      </c>
      <c r="AP202" s="182" t="n">
        <f aca="false">IF('Příjmy a výdaje'!$G202="ano",'Příjmy a výdaje'!$C202,0)</f>
        <v>0</v>
      </c>
      <c r="AQ202" s="183" t="n">
        <f aca="false">'Příjmy a výdaje'!$AP202</f>
        <v>0</v>
      </c>
    </row>
    <row r="203" customFormat="false" ht="12.75" hidden="false" customHeight="false" outlineLevel="0" collapsed="false">
      <c r="A203" s="169" t="n">
        <v>183</v>
      </c>
      <c r="B203" s="222"/>
      <c r="C203" s="185"/>
      <c r="D203" s="186"/>
      <c r="E203" s="188"/>
      <c r="F203" s="223"/>
      <c r="G203" s="224"/>
      <c r="H203" s="190"/>
      <c r="I203" s="249"/>
      <c r="J203" s="178" t="str">
        <f aca="false">IF(AL203=C203,IF(AL203=0,"-","ok"),"chyba")</f>
        <v>-</v>
      </c>
      <c r="K203" s="179"/>
      <c r="L203" s="179"/>
      <c r="M203" s="179"/>
      <c r="N203" s="179"/>
      <c r="P203" s="148" t="n">
        <f aca="false">VALUE(IF($D203="vyb",$C203,0))+VALUE(IF($H203="vyb",$G203,0))</f>
        <v>0</v>
      </c>
      <c r="Q203" s="148" t="n">
        <f aca="false">VALUE(IF($D203="mtv",$C203,0))+VALUE(IF($H203="mtv",$G203,0))</f>
        <v>0</v>
      </c>
      <c r="R203" s="148" t="n">
        <f aca="false">VALUE(IF($D203="mat",$C203,0))+VALUE(IF($H203="mat",$G203,0))</f>
        <v>0</v>
      </c>
      <c r="S203" s="148" t="n">
        <f aca="false">VALUE(IF($D203="pot",$C203,0))+VALUE(IF($H203="pot",$G203,0))</f>
        <v>0</v>
      </c>
      <c r="T203" s="148" t="n">
        <f aca="false">VALUE(IF($D203="táb",$C203,0))+VALUE(IF($H203="táb",$G203,0))</f>
        <v>0</v>
      </c>
      <c r="U203" s="148" t="n">
        <f aca="false">VALUE(IF($D203="oma",$C203,0))+VALUE(IF($H203="oma",$G203,0))</f>
        <v>0</v>
      </c>
      <c r="V203" s="148" t="n">
        <f aca="false">VALUE(IF($D203="ces",$C203,0))+VALUE(IF($H203="ces",$G203,0))</f>
        <v>0</v>
      </c>
      <c r="W203" s="148" t="n">
        <f aca="false">VALUE(IF($D203="poš",$C203,0))+VALUE(IF($H203="poš",$G203,0))</f>
        <v>0</v>
      </c>
      <c r="X203" s="148" t="n">
        <f aca="false">VALUE(IF($D203="tel",$C203,0))+VALUE(IF($H203="tel",$G203,0))</f>
        <v>0</v>
      </c>
      <c r="Y203" s="148" t="n">
        <f aca="false">VALUE(IF($D203="dop",$C203,0))+VALUE(IF($H203="dop",$G203,0))</f>
        <v>0</v>
      </c>
      <c r="Z203" s="148" t="n">
        <f aca="false">VALUE(IF($D203="nák",$C203,0))+VALUE(IF($H203="nák",$G203,0))</f>
        <v>0</v>
      </c>
      <c r="AA203" s="148" t="n">
        <f aca="false">VALUE(IF($D203="náj",$C203,0))+VALUE(IF($H203="náj",$G203,0))</f>
        <v>0</v>
      </c>
      <c r="AB203" s="148" t="n">
        <f aca="false">VALUE(IF($D203="půj",$C203,0))+VALUE(IF($H203="půj",$G203,0))</f>
        <v>0</v>
      </c>
      <c r="AC203" s="148" t="n">
        <f aca="false">VALUE(IF($D203="vst",$C203,0))+VALUE(IF($H203="vst",$G203,0))</f>
        <v>0</v>
      </c>
      <c r="AD203" s="148" t="n">
        <f aca="false">VALUE(IF($D203="kop",$C203,0))+VALUE(IF($H203="kop",$G203,0))</f>
        <v>0</v>
      </c>
      <c r="AE203" s="148" t="n">
        <f aca="false">VALUE(IF($D203="osl",$C203,0))+VALUE(IF($H203="osl",$G203,0))</f>
        <v>0</v>
      </c>
      <c r="AF203" s="148" t="n">
        <f aca="false">VALUE(IF($D203="vra",$C203,0))+VALUE(IF($H203="vra",$G203,0))</f>
        <v>0</v>
      </c>
      <c r="AG203" s="148" t="n">
        <f aca="false">VALUE(IF($D203="zho",$C203,0))+VALUE(IF($H203="zho",$G203,0))</f>
        <v>0</v>
      </c>
      <c r="AH203" s="148" t="n">
        <f aca="false">VALUE(IF($D203="zbú",$C203,0))+VALUE(IF($H203="zbú",$G203,0))</f>
        <v>0</v>
      </c>
      <c r="AI203" s="148" t="n">
        <f aca="false">VALUE(IF($D203="pří",$C203,0))+VALUE(IF($H203="pří",$G203,0))</f>
        <v>0</v>
      </c>
      <c r="AJ203" s="148" t="n">
        <f aca="false">VALUE(IF($D203="dot",$C203,0))+VALUE(IF($H203="dot",$G203,0))</f>
        <v>0</v>
      </c>
      <c r="AK203" s="148" t="n">
        <f aca="false">VALUE(IF($D203="opř",$C203,0))+VALUE(IF($H203="opř",$G203,0))</f>
        <v>0</v>
      </c>
      <c r="AL203" s="148" t="n">
        <f aca="false">SUM(P203:AK203)</f>
        <v>0</v>
      </c>
      <c r="AN203" s="180" t="str">
        <f aca="false">CONCATENATE('Přehled akce'!$K$4," / ",'Přehled akce'!$K$5)</f>
        <v> / </v>
      </c>
      <c r="AO203" s="181" t="n">
        <f aca="false">IF('Příjmy a výdaje'!$G203="ano",'Příjmy a výdaje'!$B203,0)</f>
        <v>0</v>
      </c>
      <c r="AP203" s="182" t="n">
        <f aca="false">IF('Příjmy a výdaje'!$G203="ano",'Příjmy a výdaje'!$C203,0)</f>
        <v>0</v>
      </c>
      <c r="AQ203" s="183" t="n">
        <f aca="false">'Příjmy a výdaje'!$AP203</f>
        <v>0</v>
      </c>
    </row>
    <row r="204" customFormat="false" ht="12.75" hidden="false" customHeight="false" outlineLevel="0" collapsed="false">
      <c r="A204" s="169" t="n">
        <v>184</v>
      </c>
      <c r="B204" s="222"/>
      <c r="C204" s="185"/>
      <c r="D204" s="186"/>
      <c r="E204" s="188"/>
      <c r="F204" s="223"/>
      <c r="G204" s="224"/>
      <c r="H204" s="190"/>
      <c r="I204" s="249"/>
      <c r="J204" s="178" t="str">
        <f aca="false">IF(AL204=C204,IF(AL204=0,"-","ok"),"chyba")</f>
        <v>-</v>
      </c>
      <c r="K204" s="179"/>
      <c r="L204" s="179"/>
      <c r="M204" s="179"/>
      <c r="N204" s="179"/>
      <c r="P204" s="148" t="n">
        <f aca="false">VALUE(IF($D204="vyb",$C204,0))+VALUE(IF($H204="vyb",$G204,0))</f>
        <v>0</v>
      </c>
      <c r="Q204" s="148" t="n">
        <f aca="false">VALUE(IF($D204="mtv",$C204,0))+VALUE(IF($H204="mtv",$G204,0))</f>
        <v>0</v>
      </c>
      <c r="R204" s="148" t="n">
        <f aca="false">VALUE(IF($D204="mat",$C204,0))+VALUE(IF($H204="mat",$G204,0))</f>
        <v>0</v>
      </c>
      <c r="S204" s="148" t="n">
        <f aca="false">VALUE(IF($D204="pot",$C204,0))+VALUE(IF($H204="pot",$G204,0))</f>
        <v>0</v>
      </c>
      <c r="T204" s="148" t="n">
        <f aca="false">VALUE(IF($D204="táb",$C204,0))+VALUE(IF($H204="táb",$G204,0))</f>
        <v>0</v>
      </c>
      <c r="U204" s="148" t="n">
        <f aca="false">VALUE(IF($D204="oma",$C204,0))+VALUE(IF($H204="oma",$G204,0))</f>
        <v>0</v>
      </c>
      <c r="V204" s="148" t="n">
        <f aca="false">VALUE(IF($D204="ces",$C204,0))+VALUE(IF($H204="ces",$G204,0))</f>
        <v>0</v>
      </c>
      <c r="W204" s="148" t="n">
        <f aca="false">VALUE(IF($D204="poš",$C204,0))+VALUE(IF($H204="poš",$G204,0))</f>
        <v>0</v>
      </c>
      <c r="X204" s="148" t="n">
        <f aca="false">VALUE(IF($D204="tel",$C204,0))+VALUE(IF($H204="tel",$G204,0))</f>
        <v>0</v>
      </c>
      <c r="Y204" s="148" t="n">
        <f aca="false">VALUE(IF($D204="dop",$C204,0))+VALUE(IF($H204="dop",$G204,0))</f>
        <v>0</v>
      </c>
      <c r="Z204" s="148" t="n">
        <f aca="false">VALUE(IF($D204="nák",$C204,0))+VALUE(IF($H204="nák",$G204,0))</f>
        <v>0</v>
      </c>
      <c r="AA204" s="148" t="n">
        <f aca="false">VALUE(IF($D204="náj",$C204,0))+VALUE(IF($H204="náj",$G204,0))</f>
        <v>0</v>
      </c>
      <c r="AB204" s="148" t="n">
        <f aca="false">VALUE(IF($D204="půj",$C204,0))+VALUE(IF($H204="půj",$G204,0))</f>
        <v>0</v>
      </c>
      <c r="AC204" s="148" t="n">
        <f aca="false">VALUE(IF($D204="vst",$C204,0))+VALUE(IF($H204="vst",$G204,0))</f>
        <v>0</v>
      </c>
      <c r="AD204" s="148" t="n">
        <f aca="false">VALUE(IF($D204="kop",$C204,0))+VALUE(IF($H204="kop",$G204,0))</f>
        <v>0</v>
      </c>
      <c r="AE204" s="148" t="n">
        <f aca="false">VALUE(IF($D204="osl",$C204,0))+VALUE(IF($H204="osl",$G204,0))</f>
        <v>0</v>
      </c>
      <c r="AF204" s="148" t="n">
        <f aca="false">VALUE(IF($D204="vra",$C204,0))+VALUE(IF($H204="vra",$G204,0))</f>
        <v>0</v>
      </c>
      <c r="AG204" s="148" t="n">
        <f aca="false">VALUE(IF($D204="zho",$C204,0))+VALUE(IF($H204="zho",$G204,0))</f>
        <v>0</v>
      </c>
      <c r="AH204" s="148" t="n">
        <f aca="false">VALUE(IF($D204="zbú",$C204,0))+VALUE(IF($H204="zbú",$G204,0))</f>
        <v>0</v>
      </c>
      <c r="AI204" s="148" t="n">
        <f aca="false">VALUE(IF($D204="pří",$C204,0))+VALUE(IF($H204="pří",$G204,0))</f>
        <v>0</v>
      </c>
      <c r="AJ204" s="148" t="n">
        <f aca="false">VALUE(IF($D204="dot",$C204,0))+VALUE(IF($H204="dot",$G204,0))</f>
        <v>0</v>
      </c>
      <c r="AK204" s="148" t="n">
        <f aca="false">VALUE(IF($D204="opř",$C204,0))+VALUE(IF($H204="opř",$G204,0))</f>
        <v>0</v>
      </c>
      <c r="AL204" s="148" t="n">
        <f aca="false">SUM(P204:AK204)</f>
        <v>0</v>
      </c>
      <c r="AN204" s="180" t="str">
        <f aca="false">CONCATENATE('Přehled akce'!$K$4," / ",'Přehled akce'!$K$5)</f>
        <v> / </v>
      </c>
      <c r="AO204" s="181" t="n">
        <f aca="false">IF('Příjmy a výdaje'!$G204="ano",'Příjmy a výdaje'!$B204,0)</f>
        <v>0</v>
      </c>
      <c r="AP204" s="182" t="n">
        <f aca="false">IF('Příjmy a výdaje'!$G204="ano",'Příjmy a výdaje'!$C204,0)</f>
        <v>0</v>
      </c>
      <c r="AQ204" s="183" t="n">
        <f aca="false">'Příjmy a výdaje'!$AP204</f>
        <v>0</v>
      </c>
    </row>
    <row r="205" customFormat="false" ht="12.75" hidden="false" customHeight="false" outlineLevel="0" collapsed="false">
      <c r="A205" s="169" t="n">
        <v>185</v>
      </c>
      <c r="B205" s="184"/>
      <c r="C205" s="194"/>
      <c r="D205" s="186"/>
      <c r="E205" s="188"/>
      <c r="F205" s="223"/>
      <c r="G205" s="224"/>
      <c r="H205" s="190"/>
      <c r="I205" s="249"/>
      <c r="J205" s="178" t="str">
        <f aca="false">IF(AL205=C205,IF(AL205=0,"-","ok"),"chyba")</f>
        <v>-</v>
      </c>
      <c r="K205" s="179"/>
      <c r="L205" s="179"/>
      <c r="M205" s="179"/>
      <c r="N205" s="179"/>
      <c r="P205" s="148" t="n">
        <f aca="false">VALUE(IF($D205="vyb",$C205,0))+VALUE(IF($H205="vyb",$G205,0))</f>
        <v>0</v>
      </c>
      <c r="Q205" s="148" t="n">
        <f aca="false">VALUE(IF($D205="mtv",$C205,0))+VALUE(IF($H205="mtv",$G205,0))</f>
        <v>0</v>
      </c>
      <c r="R205" s="148" t="n">
        <f aca="false">VALUE(IF($D205="mat",$C205,0))+VALUE(IF($H205="mat",$G205,0))</f>
        <v>0</v>
      </c>
      <c r="S205" s="148" t="n">
        <f aca="false">VALUE(IF($D205="pot",$C205,0))+VALUE(IF($H205="pot",$G205,0))</f>
        <v>0</v>
      </c>
      <c r="T205" s="148" t="n">
        <f aca="false">VALUE(IF($D205="táb",$C205,0))+VALUE(IF($H205="táb",$G205,0))</f>
        <v>0</v>
      </c>
      <c r="U205" s="148" t="n">
        <f aca="false">VALUE(IF($D205="oma",$C205,0))+VALUE(IF($H205="oma",$G205,0))</f>
        <v>0</v>
      </c>
      <c r="V205" s="148" t="n">
        <f aca="false">VALUE(IF($D205="ces",$C205,0))+VALUE(IF($H205="ces",$G205,0))</f>
        <v>0</v>
      </c>
      <c r="W205" s="148" t="n">
        <f aca="false">VALUE(IF($D205="poš",$C205,0))+VALUE(IF($H205="poš",$G205,0))</f>
        <v>0</v>
      </c>
      <c r="X205" s="148" t="n">
        <f aca="false">VALUE(IF($D205="tel",$C205,0))+VALUE(IF($H205="tel",$G205,0))</f>
        <v>0</v>
      </c>
      <c r="Y205" s="148" t="n">
        <f aca="false">VALUE(IF($D205="dop",$C205,0))+VALUE(IF($H205="dop",$G205,0))</f>
        <v>0</v>
      </c>
      <c r="Z205" s="148" t="n">
        <f aca="false">VALUE(IF($D205="nák",$C205,0))+VALUE(IF($H205="nák",$G205,0))</f>
        <v>0</v>
      </c>
      <c r="AA205" s="148" t="n">
        <f aca="false">VALUE(IF($D205="náj",$C205,0))+VALUE(IF($H205="náj",$G205,0))</f>
        <v>0</v>
      </c>
      <c r="AB205" s="148" t="n">
        <f aca="false">VALUE(IF($D205="půj",$C205,0))+VALUE(IF($H205="půj",$G205,0))</f>
        <v>0</v>
      </c>
      <c r="AC205" s="148" t="n">
        <f aca="false">VALUE(IF($D205="vst",$C205,0))+VALUE(IF($H205="vst",$G205,0))</f>
        <v>0</v>
      </c>
      <c r="AD205" s="148" t="n">
        <f aca="false">VALUE(IF($D205="kop",$C205,0))+VALUE(IF($H205="kop",$G205,0))</f>
        <v>0</v>
      </c>
      <c r="AE205" s="148" t="n">
        <f aca="false">VALUE(IF($D205="osl",$C205,0))+VALUE(IF($H205="osl",$G205,0))</f>
        <v>0</v>
      </c>
      <c r="AF205" s="148" t="n">
        <f aca="false">VALUE(IF($D205="vra",$C205,0))+VALUE(IF($H205="vra",$G205,0))</f>
        <v>0</v>
      </c>
      <c r="AG205" s="148" t="n">
        <f aca="false">VALUE(IF($D205="zho",$C205,0))+VALUE(IF($H205="zho",$G205,0))</f>
        <v>0</v>
      </c>
      <c r="AH205" s="148" t="n">
        <f aca="false">VALUE(IF($D205="zbú",$C205,0))+VALUE(IF($H205="zbú",$G205,0))</f>
        <v>0</v>
      </c>
      <c r="AI205" s="148" t="n">
        <f aca="false">VALUE(IF($D205="pří",$C205,0))+VALUE(IF($H205="pří",$G205,0))</f>
        <v>0</v>
      </c>
      <c r="AJ205" s="148" t="n">
        <f aca="false">VALUE(IF($D205="dot",$C205,0))+VALUE(IF($H205="dot",$G205,0))</f>
        <v>0</v>
      </c>
      <c r="AK205" s="148" t="n">
        <f aca="false">VALUE(IF($D205="opř",$C205,0))+VALUE(IF($H205="opř",$G205,0))</f>
        <v>0</v>
      </c>
      <c r="AL205" s="148" t="n">
        <f aca="false">SUM(P205:AK205)</f>
        <v>0</v>
      </c>
      <c r="AN205" s="180" t="str">
        <f aca="false">CONCATENATE('Přehled akce'!$K$4," / ",'Přehled akce'!$K$5)</f>
        <v> / </v>
      </c>
      <c r="AO205" s="181" t="n">
        <f aca="false">IF('Příjmy a výdaje'!$G205="ano",'Příjmy a výdaje'!$B205,0)</f>
        <v>0</v>
      </c>
      <c r="AP205" s="182" t="n">
        <f aca="false">IF('Příjmy a výdaje'!$G205="ano",'Příjmy a výdaje'!$C205,0)</f>
        <v>0</v>
      </c>
      <c r="AQ205" s="183" t="n">
        <f aca="false">'Příjmy a výdaje'!$AP205</f>
        <v>0</v>
      </c>
    </row>
    <row r="206" customFormat="false" ht="12.75" hidden="false" customHeight="false" outlineLevel="0" collapsed="false">
      <c r="A206" s="169" t="n">
        <v>186</v>
      </c>
      <c r="B206" s="184"/>
      <c r="C206" s="194"/>
      <c r="D206" s="186"/>
      <c r="E206" s="188"/>
      <c r="F206" s="223"/>
      <c r="G206" s="224"/>
      <c r="H206" s="190"/>
      <c r="I206" s="249"/>
      <c r="J206" s="178" t="str">
        <f aca="false">IF(AL206=C206,IF(AL206=0,"-","ok"),"chyba")</f>
        <v>-</v>
      </c>
      <c r="K206" s="179"/>
      <c r="L206" s="179"/>
      <c r="M206" s="179"/>
      <c r="N206" s="179"/>
      <c r="P206" s="148" t="n">
        <f aca="false">VALUE(IF($D206="vyb",$C206,0))+VALUE(IF($H206="vyb",$G206,0))</f>
        <v>0</v>
      </c>
      <c r="Q206" s="148" t="n">
        <f aca="false">VALUE(IF($D206="mtv",$C206,0))+VALUE(IF($H206="mtv",$G206,0))</f>
        <v>0</v>
      </c>
      <c r="R206" s="148" t="n">
        <f aca="false">VALUE(IF($D206="mat",$C206,0))+VALUE(IF($H206="mat",$G206,0))</f>
        <v>0</v>
      </c>
      <c r="S206" s="148" t="n">
        <f aca="false">VALUE(IF($D206="pot",$C206,0))+VALUE(IF($H206="pot",$G206,0))</f>
        <v>0</v>
      </c>
      <c r="T206" s="148" t="n">
        <f aca="false">VALUE(IF($D206="táb",$C206,0))+VALUE(IF($H206="táb",$G206,0))</f>
        <v>0</v>
      </c>
      <c r="U206" s="148" t="n">
        <f aca="false">VALUE(IF($D206="oma",$C206,0))+VALUE(IF($H206="oma",$G206,0))</f>
        <v>0</v>
      </c>
      <c r="V206" s="148" t="n">
        <f aca="false">VALUE(IF($D206="ces",$C206,0))+VALUE(IF($H206="ces",$G206,0))</f>
        <v>0</v>
      </c>
      <c r="W206" s="148" t="n">
        <f aca="false">VALUE(IF($D206="poš",$C206,0))+VALUE(IF($H206="poš",$G206,0))</f>
        <v>0</v>
      </c>
      <c r="X206" s="148" t="n">
        <f aca="false">VALUE(IF($D206="tel",$C206,0))+VALUE(IF($H206="tel",$G206,0))</f>
        <v>0</v>
      </c>
      <c r="Y206" s="148" t="n">
        <f aca="false">VALUE(IF($D206="dop",$C206,0))+VALUE(IF($H206="dop",$G206,0))</f>
        <v>0</v>
      </c>
      <c r="Z206" s="148" t="n">
        <f aca="false">VALUE(IF($D206="nák",$C206,0))+VALUE(IF($H206="nák",$G206,0))</f>
        <v>0</v>
      </c>
      <c r="AA206" s="148" t="n">
        <f aca="false">VALUE(IF($D206="náj",$C206,0))+VALUE(IF($H206="náj",$G206,0))</f>
        <v>0</v>
      </c>
      <c r="AB206" s="148" t="n">
        <f aca="false">VALUE(IF($D206="půj",$C206,0))+VALUE(IF($H206="půj",$G206,0))</f>
        <v>0</v>
      </c>
      <c r="AC206" s="148" t="n">
        <f aca="false">VALUE(IF($D206="vst",$C206,0))+VALUE(IF($H206="vst",$G206,0))</f>
        <v>0</v>
      </c>
      <c r="AD206" s="148" t="n">
        <f aca="false">VALUE(IF($D206="kop",$C206,0))+VALUE(IF($H206="kop",$G206,0))</f>
        <v>0</v>
      </c>
      <c r="AE206" s="148" t="n">
        <f aca="false">VALUE(IF($D206="osl",$C206,0))+VALUE(IF($H206="osl",$G206,0))</f>
        <v>0</v>
      </c>
      <c r="AF206" s="148" t="n">
        <f aca="false">VALUE(IF($D206="vra",$C206,0))+VALUE(IF($H206="vra",$G206,0))</f>
        <v>0</v>
      </c>
      <c r="AG206" s="148" t="n">
        <f aca="false">VALUE(IF($D206="zho",$C206,0))+VALUE(IF($H206="zho",$G206,0))</f>
        <v>0</v>
      </c>
      <c r="AH206" s="148" t="n">
        <f aca="false">VALUE(IF($D206="zbú",$C206,0))+VALUE(IF($H206="zbú",$G206,0))</f>
        <v>0</v>
      </c>
      <c r="AI206" s="148" t="n">
        <f aca="false">VALUE(IF($D206="pří",$C206,0))+VALUE(IF($H206="pří",$G206,0))</f>
        <v>0</v>
      </c>
      <c r="AJ206" s="148" t="n">
        <f aca="false">VALUE(IF($D206="dot",$C206,0))+VALUE(IF($H206="dot",$G206,0))</f>
        <v>0</v>
      </c>
      <c r="AK206" s="148" t="n">
        <f aca="false">VALUE(IF($D206="opř",$C206,0))+VALUE(IF($H206="opř",$G206,0))</f>
        <v>0</v>
      </c>
      <c r="AL206" s="148" t="n">
        <f aca="false">SUM(P206:AK206)</f>
        <v>0</v>
      </c>
      <c r="AN206" s="180" t="str">
        <f aca="false">CONCATENATE('Přehled akce'!$K$4," / ",'Přehled akce'!$K$5)</f>
        <v> / </v>
      </c>
      <c r="AO206" s="181" t="n">
        <f aca="false">IF('Příjmy a výdaje'!$G206="ano",'Příjmy a výdaje'!$B206,0)</f>
        <v>0</v>
      </c>
      <c r="AP206" s="182" t="n">
        <f aca="false">IF('Příjmy a výdaje'!$G206="ano",'Příjmy a výdaje'!$C206,0)</f>
        <v>0</v>
      </c>
      <c r="AQ206" s="183" t="n">
        <f aca="false">'Příjmy a výdaje'!$AP206</f>
        <v>0</v>
      </c>
    </row>
    <row r="207" customFormat="false" ht="12.75" hidden="false" customHeight="false" outlineLevel="0" collapsed="false">
      <c r="A207" s="169" t="n">
        <v>187</v>
      </c>
      <c r="B207" s="184"/>
      <c r="C207" s="194"/>
      <c r="D207" s="186"/>
      <c r="E207" s="188"/>
      <c r="F207" s="223"/>
      <c r="G207" s="224"/>
      <c r="H207" s="190"/>
      <c r="I207" s="249"/>
      <c r="J207" s="178" t="str">
        <f aca="false">IF(AL207=C207,IF(AL207=0,"-","ok"),"chyba")</f>
        <v>-</v>
      </c>
      <c r="K207" s="179"/>
      <c r="L207" s="179"/>
      <c r="M207" s="179"/>
      <c r="N207" s="179"/>
      <c r="P207" s="148" t="n">
        <f aca="false">VALUE(IF($D207="vyb",$C207,0))+VALUE(IF($H207="vyb",$G207,0))</f>
        <v>0</v>
      </c>
      <c r="Q207" s="148" t="n">
        <f aca="false">VALUE(IF($D207="mtv",$C207,0))+VALUE(IF($H207="mtv",$G207,0))</f>
        <v>0</v>
      </c>
      <c r="R207" s="148" t="n">
        <f aca="false">VALUE(IF($D207="mat",$C207,0))+VALUE(IF($H207="mat",$G207,0))</f>
        <v>0</v>
      </c>
      <c r="S207" s="148" t="n">
        <f aca="false">VALUE(IF($D207="pot",$C207,0))+VALUE(IF($H207="pot",$G207,0))</f>
        <v>0</v>
      </c>
      <c r="T207" s="148" t="n">
        <f aca="false">VALUE(IF($D207="táb",$C207,0))+VALUE(IF($H207="táb",$G207,0))</f>
        <v>0</v>
      </c>
      <c r="U207" s="148" t="n">
        <f aca="false">VALUE(IF($D207="oma",$C207,0))+VALUE(IF($H207="oma",$G207,0))</f>
        <v>0</v>
      </c>
      <c r="V207" s="148" t="n">
        <f aca="false">VALUE(IF($D207="ces",$C207,0))+VALUE(IF($H207="ces",$G207,0))</f>
        <v>0</v>
      </c>
      <c r="W207" s="148" t="n">
        <f aca="false">VALUE(IF($D207="poš",$C207,0))+VALUE(IF($H207="poš",$G207,0))</f>
        <v>0</v>
      </c>
      <c r="X207" s="148" t="n">
        <f aca="false">VALUE(IF($D207="tel",$C207,0))+VALUE(IF($H207="tel",$G207,0))</f>
        <v>0</v>
      </c>
      <c r="Y207" s="148" t="n">
        <f aca="false">VALUE(IF($D207="dop",$C207,0))+VALUE(IF($H207="dop",$G207,0))</f>
        <v>0</v>
      </c>
      <c r="Z207" s="148" t="n">
        <f aca="false">VALUE(IF($D207="nák",$C207,0))+VALUE(IF($H207="nák",$G207,0))</f>
        <v>0</v>
      </c>
      <c r="AA207" s="148" t="n">
        <f aca="false">VALUE(IF($D207="náj",$C207,0))+VALUE(IF($H207="náj",$G207,0))</f>
        <v>0</v>
      </c>
      <c r="AB207" s="148" t="n">
        <f aca="false">VALUE(IF($D207="půj",$C207,0))+VALUE(IF($H207="půj",$G207,0))</f>
        <v>0</v>
      </c>
      <c r="AC207" s="148" t="n">
        <f aca="false">VALUE(IF($D207="vst",$C207,0))+VALUE(IF($H207="vst",$G207,0))</f>
        <v>0</v>
      </c>
      <c r="AD207" s="148" t="n">
        <f aca="false">VALUE(IF($D207="kop",$C207,0))+VALUE(IF($H207="kop",$G207,0))</f>
        <v>0</v>
      </c>
      <c r="AE207" s="148" t="n">
        <f aca="false">VALUE(IF($D207="osl",$C207,0))+VALUE(IF($H207="osl",$G207,0))</f>
        <v>0</v>
      </c>
      <c r="AF207" s="148" t="n">
        <f aca="false">VALUE(IF($D207="vra",$C207,0))+VALUE(IF($H207="vra",$G207,0))</f>
        <v>0</v>
      </c>
      <c r="AG207" s="148" t="n">
        <f aca="false">VALUE(IF($D207="zho",$C207,0))+VALUE(IF($H207="zho",$G207,0))</f>
        <v>0</v>
      </c>
      <c r="AH207" s="148" t="n">
        <f aca="false">VALUE(IF($D207="zbú",$C207,0))+VALUE(IF($H207="zbú",$G207,0))</f>
        <v>0</v>
      </c>
      <c r="AI207" s="148" t="n">
        <f aca="false">VALUE(IF($D207="pří",$C207,0))+VALUE(IF($H207="pří",$G207,0))</f>
        <v>0</v>
      </c>
      <c r="AJ207" s="148" t="n">
        <f aca="false">VALUE(IF($D207="dot",$C207,0))+VALUE(IF($H207="dot",$G207,0))</f>
        <v>0</v>
      </c>
      <c r="AK207" s="148" t="n">
        <f aca="false">VALUE(IF($D207="opř",$C207,0))+VALUE(IF($H207="opř",$G207,0))</f>
        <v>0</v>
      </c>
      <c r="AL207" s="148" t="n">
        <f aca="false">SUM(P207:AK207)</f>
        <v>0</v>
      </c>
      <c r="AN207" s="180" t="str">
        <f aca="false">CONCATENATE('Přehled akce'!$K$4," / ",'Přehled akce'!$K$5)</f>
        <v> / </v>
      </c>
      <c r="AO207" s="181" t="n">
        <f aca="false">IF('Příjmy a výdaje'!$G207="ano",'Příjmy a výdaje'!$B207,0)</f>
        <v>0</v>
      </c>
      <c r="AP207" s="182" t="n">
        <f aca="false">IF('Příjmy a výdaje'!$G207="ano",'Příjmy a výdaje'!$C207,0)</f>
        <v>0</v>
      </c>
      <c r="AQ207" s="183" t="n">
        <f aca="false">'Příjmy a výdaje'!$AP207</f>
        <v>0</v>
      </c>
    </row>
    <row r="208" customFormat="false" ht="12.75" hidden="false" customHeight="false" outlineLevel="0" collapsed="false">
      <c r="A208" s="169" t="n">
        <v>188</v>
      </c>
      <c r="B208" s="184"/>
      <c r="C208" s="194"/>
      <c r="D208" s="186"/>
      <c r="E208" s="188"/>
      <c r="F208" s="223"/>
      <c r="G208" s="224"/>
      <c r="H208" s="190"/>
      <c r="I208" s="249"/>
      <c r="J208" s="178" t="str">
        <f aca="false">IF(AL208=C208,IF(AL208=0,"-","ok"),"chyba")</f>
        <v>-</v>
      </c>
      <c r="K208" s="179"/>
      <c r="L208" s="179"/>
      <c r="M208" s="179"/>
      <c r="N208" s="179"/>
      <c r="P208" s="148" t="n">
        <f aca="false">VALUE(IF($D208="vyb",$C208,0))+VALUE(IF($H208="vyb",$G208,0))</f>
        <v>0</v>
      </c>
      <c r="Q208" s="148" t="n">
        <f aca="false">VALUE(IF($D208="mtv",$C208,0))+VALUE(IF($H208="mtv",$G208,0))</f>
        <v>0</v>
      </c>
      <c r="R208" s="148" t="n">
        <f aca="false">VALUE(IF($D208="mat",$C208,0))+VALUE(IF($H208="mat",$G208,0))</f>
        <v>0</v>
      </c>
      <c r="S208" s="148" t="n">
        <f aca="false">VALUE(IF($D208="pot",$C208,0))+VALUE(IF($H208="pot",$G208,0))</f>
        <v>0</v>
      </c>
      <c r="T208" s="148" t="n">
        <f aca="false">VALUE(IF($D208="táb",$C208,0))+VALUE(IF($H208="táb",$G208,0))</f>
        <v>0</v>
      </c>
      <c r="U208" s="148" t="n">
        <f aca="false">VALUE(IF($D208="oma",$C208,0))+VALUE(IF($H208="oma",$G208,0))</f>
        <v>0</v>
      </c>
      <c r="V208" s="148" t="n">
        <f aca="false">VALUE(IF($D208="ces",$C208,0))+VALUE(IF($H208="ces",$G208,0))</f>
        <v>0</v>
      </c>
      <c r="W208" s="148" t="n">
        <f aca="false">VALUE(IF($D208="poš",$C208,0))+VALUE(IF($H208="poš",$G208,0))</f>
        <v>0</v>
      </c>
      <c r="X208" s="148" t="n">
        <f aca="false">VALUE(IF($D208="tel",$C208,0))+VALUE(IF($H208="tel",$G208,0))</f>
        <v>0</v>
      </c>
      <c r="Y208" s="148" t="n">
        <f aca="false">VALUE(IF($D208="dop",$C208,0))+VALUE(IF($H208="dop",$G208,0))</f>
        <v>0</v>
      </c>
      <c r="Z208" s="148" t="n">
        <f aca="false">VALUE(IF($D208="nák",$C208,0))+VALUE(IF($H208="nák",$G208,0))</f>
        <v>0</v>
      </c>
      <c r="AA208" s="148" t="n">
        <f aca="false">VALUE(IF($D208="náj",$C208,0))+VALUE(IF($H208="náj",$G208,0))</f>
        <v>0</v>
      </c>
      <c r="AB208" s="148" t="n">
        <f aca="false">VALUE(IF($D208="půj",$C208,0))+VALUE(IF($H208="půj",$G208,0))</f>
        <v>0</v>
      </c>
      <c r="AC208" s="148" t="n">
        <f aca="false">VALUE(IF($D208="vst",$C208,0))+VALUE(IF($H208="vst",$G208,0))</f>
        <v>0</v>
      </c>
      <c r="AD208" s="148" t="n">
        <f aca="false">VALUE(IF($D208="kop",$C208,0))+VALUE(IF($H208="kop",$G208,0))</f>
        <v>0</v>
      </c>
      <c r="AE208" s="148" t="n">
        <f aca="false">VALUE(IF($D208="osl",$C208,0))+VALUE(IF($H208="osl",$G208,0))</f>
        <v>0</v>
      </c>
      <c r="AF208" s="148" t="n">
        <f aca="false">VALUE(IF($D208="vra",$C208,0))+VALUE(IF($H208="vra",$G208,0))</f>
        <v>0</v>
      </c>
      <c r="AG208" s="148" t="n">
        <f aca="false">VALUE(IF($D208="zho",$C208,0))+VALUE(IF($H208="zho",$G208,0))</f>
        <v>0</v>
      </c>
      <c r="AH208" s="148" t="n">
        <f aca="false">VALUE(IF($D208="zbú",$C208,0))+VALUE(IF($H208="zbú",$G208,0))</f>
        <v>0</v>
      </c>
      <c r="AI208" s="148" t="n">
        <f aca="false">VALUE(IF($D208="pří",$C208,0))+VALUE(IF($H208="pří",$G208,0))</f>
        <v>0</v>
      </c>
      <c r="AJ208" s="148" t="n">
        <f aca="false">VALUE(IF($D208="dot",$C208,0))+VALUE(IF($H208="dot",$G208,0))</f>
        <v>0</v>
      </c>
      <c r="AK208" s="148" t="n">
        <f aca="false">VALUE(IF($D208="opř",$C208,0))+VALUE(IF($H208="opř",$G208,0))</f>
        <v>0</v>
      </c>
      <c r="AL208" s="148" t="n">
        <f aca="false">SUM(P208:AK208)</f>
        <v>0</v>
      </c>
      <c r="AN208" s="180" t="str">
        <f aca="false">CONCATENATE('Přehled akce'!$K$4," / ",'Přehled akce'!$K$5)</f>
        <v> / </v>
      </c>
      <c r="AO208" s="181" t="n">
        <f aca="false">IF('Příjmy a výdaje'!$G208="ano",'Příjmy a výdaje'!$B208,0)</f>
        <v>0</v>
      </c>
      <c r="AP208" s="182" t="n">
        <f aca="false">IF('Příjmy a výdaje'!$G208="ano",'Příjmy a výdaje'!$C208,0)</f>
        <v>0</v>
      </c>
      <c r="AQ208" s="183" t="n">
        <f aca="false">'Příjmy a výdaje'!$AP208</f>
        <v>0</v>
      </c>
    </row>
    <row r="209" customFormat="false" ht="12.75" hidden="false" customHeight="false" outlineLevel="0" collapsed="false">
      <c r="A209" s="169" t="n">
        <v>189</v>
      </c>
      <c r="B209" s="250"/>
      <c r="C209" s="194"/>
      <c r="D209" s="174"/>
      <c r="E209" s="188"/>
      <c r="F209" s="223"/>
      <c r="G209" s="224"/>
      <c r="H209" s="190"/>
      <c r="I209" s="249"/>
      <c r="J209" s="178" t="str">
        <f aca="false">IF(AL209=C209,IF(AL209=0,"-","ok"),"chyba")</f>
        <v>-</v>
      </c>
      <c r="K209" s="179"/>
      <c r="L209" s="179"/>
      <c r="M209" s="179"/>
      <c r="N209" s="179"/>
      <c r="P209" s="148" t="n">
        <f aca="false">VALUE(IF($D209="vyb",$C209,0))+VALUE(IF($H209="vyb",$G209,0))</f>
        <v>0</v>
      </c>
      <c r="Q209" s="148" t="n">
        <f aca="false">VALUE(IF($D209="mtv",$C209,0))+VALUE(IF($H209="mtv",$G209,0))</f>
        <v>0</v>
      </c>
      <c r="R209" s="148" t="n">
        <f aca="false">VALUE(IF($D209="mat",$C209,0))+VALUE(IF($H209="mat",$G209,0))</f>
        <v>0</v>
      </c>
      <c r="S209" s="148" t="n">
        <f aca="false">VALUE(IF($D209="pot",$C209,0))+VALUE(IF($H209="pot",$G209,0))</f>
        <v>0</v>
      </c>
      <c r="T209" s="148" t="n">
        <f aca="false">VALUE(IF($D209="táb",$C209,0))+VALUE(IF($H209="táb",$G209,0))</f>
        <v>0</v>
      </c>
      <c r="U209" s="148" t="n">
        <f aca="false">VALUE(IF($D209="oma",$C209,0))+VALUE(IF($H209="oma",$G209,0))</f>
        <v>0</v>
      </c>
      <c r="V209" s="148" t="n">
        <f aca="false">VALUE(IF($D209="ces",$C209,0))+VALUE(IF($H209="ces",$G209,0))</f>
        <v>0</v>
      </c>
      <c r="W209" s="148" t="n">
        <f aca="false">VALUE(IF($D209="poš",$C209,0))+VALUE(IF($H209="poš",$G209,0))</f>
        <v>0</v>
      </c>
      <c r="X209" s="148" t="n">
        <f aca="false">VALUE(IF($D209="tel",$C209,0))+VALUE(IF($H209="tel",$G209,0))</f>
        <v>0</v>
      </c>
      <c r="Y209" s="148" t="n">
        <f aca="false">VALUE(IF($D209="dop",$C209,0))+VALUE(IF($H209="dop",$G209,0))</f>
        <v>0</v>
      </c>
      <c r="Z209" s="148" t="n">
        <f aca="false">VALUE(IF($D209="nák",$C209,0))+VALUE(IF($H209="nák",$G209,0))</f>
        <v>0</v>
      </c>
      <c r="AA209" s="148" t="n">
        <f aca="false">VALUE(IF($D209="náj",$C209,0))+VALUE(IF($H209="náj",$G209,0))</f>
        <v>0</v>
      </c>
      <c r="AB209" s="148" t="n">
        <f aca="false">VALUE(IF($D209="půj",$C209,0))+VALUE(IF($H209="půj",$G209,0))</f>
        <v>0</v>
      </c>
      <c r="AC209" s="148" t="n">
        <f aca="false">VALUE(IF($D209="vst",$C209,0))+VALUE(IF($H209="vst",$G209,0))</f>
        <v>0</v>
      </c>
      <c r="AD209" s="148" t="n">
        <f aca="false">VALUE(IF($D209="kop",$C209,0))+VALUE(IF($H209="kop",$G209,0))</f>
        <v>0</v>
      </c>
      <c r="AE209" s="148" t="n">
        <f aca="false">VALUE(IF($D209="osl",$C209,0))+VALUE(IF($H209="osl",$G209,0))</f>
        <v>0</v>
      </c>
      <c r="AF209" s="148" t="n">
        <f aca="false">VALUE(IF($D209="vra",$C209,0))+VALUE(IF($H209="vra",$G209,0))</f>
        <v>0</v>
      </c>
      <c r="AG209" s="148" t="n">
        <f aca="false">VALUE(IF($D209="zho",$C209,0))+VALUE(IF($H209="zho",$G209,0))</f>
        <v>0</v>
      </c>
      <c r="AH209" s="148" t="n">
        <f aca="false">VALUE(IF($D209="zbú",$C209,0))+VALUE(IF($H209="zbú",$G209,0))</f>
        <v>0</v>
      </c>
      <c r="AI209" s="148" t="n">
        <f aca="false">VALUE(IF($D209="pří",$C209,0))+VALUE(IF($H209="pří",$G209,0))</f>
        <v>0</v>
      </c>
      <c r="AJ209" s="148" t="n">
        <f aca="false">VALUE(IF($D209="dot",$C209,0))+VALUE(IF($H209="dot",$G209,0))</f>
        <v>0</v>
      </c>
      <c r="AK209" s="148" t="n">
        <f aca="false">VALUE(IF($D209="opř",$C209,0))+VALUE(IF($H209="opř",$G209,0))</f>
        <v>0</v>
      </c>
      <c r="AL209" s="148" t="n">
        <f aca="false">SUM(P209:AK209)</f>
        <v>0</v>
      </c>
      <c r="AN209" s="180" t="str">
        <f aca="false">CONCATENATE('Přehled akce'!$K$4," / ",'Přehled akce'!$K$5)</f>
        <v> / </v>
      </c>
      <c r="AO209" s="181" t="n">
        <f aca="false">IF('Příjmy a výdaje'!$G209="ano",'Příjmy a výdaje'!$B209,0)</f>
        <v>0</v>
      </c>
      <c r="AP209" s="182" t="n">
        <f aca="false">IF('Příjmy a výdaje'!$G209="ano",'Příjmy a výdaje'!$C209,0)</f>
        <v>0</v>
      </c>
      <c r="AQ209" s="183" t="n">
        <f aca="false">'Příjmy a výdaje'!$AP209</f>
        <v>0</v>
      </c>
    </row>
    <row r="210" customFormat="false" ht="12.75" hidden="false" customHeight="false" outlineLevel="0" collapsed="false">
      <c r="A210" s="169" t="n">
        <v>190</v>
      </c>
      <c r="B210" s="250"/>
      <c r="C210" s="194"/>
      <c r="D210" s="174"/>
      <c r="E210" s="188"/>
      <c r="F210" s="223"/>
      <c r="G210" s="224"/>
      <c r="H210" s="190"/>
      <c r="I210" s="249"/>
      <c r="J210" s="178" t="str">
        <f aca="false">IF(AL210=C210,IF(AL210=0,"-","ok"),"chyba")</f>
        <v>-</v>
      </c>
      <c r="K210" s="179"/>
      <c r="L210" s="179"/>
      <c r="M210" s="179"/>
      <c r="N210" s="179"/>
      <c r="P210" s="148" t="n">
        <f aca="false">VALUE(IF($D210="vyb",$C210,0))+VALUE(IF($H210="vyb",$G210,0))</f>
        <v>0</v>
      </c>
      <c r="Q210" s="148" t="n">
        <f aca="false">VALUE(IF($D210="mtv",$C210,0))+VALUE(IF($H210="mtv",$G210,0))</f>
        <v>0</v>
      </c>
      <c r="R210" s="148" t="n">
        <f aca="false">VALUE(IF($D210="mat",$C210,0))+VALUE(IF($H210="mat",$G210,0))</f>
        <v>0</v>
      </c>
      <c r="S210" s="148" t="n">
        <f aca="false">VALUE(IF($D210="pot",$C210,0))+VALUE(IF($H210="pot",$G210,0))</f>
        <v>0</v>
      </c>
      <c r="T210" s="148" t="n">
        <f aca="false">VALUE(IF($D210="táb",$C210,0))+VALUE(IF($H210="táb",$G210,0))</f>
        <v>0</v>
      </c>
      <c r="U210" s="148" t="n">
        <f aca="false">VALUE(IF($D210="oma",$C210,0))+VALUE(IF($H210="oma",$G210,0))</f>
        <v>0</v>
      </c>
      <c r="V210" s="148" t="n">
        <f aca="false">VALUE(IF($D210="ces",$C210,0))+VALUE(IF($H210="ces",$G210,0))</f>
        <v>0</v>
      </c>
      <c r="W210" s="148" t="n">
        <f aca="false">VALUE(IF($D210="poš",$C210,0))+VALUE(IF($H210="poš",$G210,0))</f>
        <v>0</v>
      </c>
      <c r="X210" s="148" t="n">
        <f aca="false">VALUE(IF($D210="tel",$C210,0))+VALUE(IF($H210="tel",$G210,0))</f>
        <v>0</v>
      </c>
      <c r="Y210" s="148" t="n">
        <f aca="false">VALUE(IF($D210="dop",$C210,0))+VALUE(IF($H210="dop",$G210,0))</f>
        <v>0</v>
      </c>
      <c r="Z210" s="148" t="n">
        <f aca="false">VALUE(IF($D210="nák",$C210,0))+VALUE(IF($H210="nák",$G210,0))</f>
        <v>0</v>
      </c>
      <c r="AA210" s="148" t="n">
        <f aca="false">VALUE(IF($D210="náj",$C210,0))+VALUE(IF($H210="náj",$G210,0))</f>
        <v>0</v>
      </c>
      <c r="AB210" s="148" t="n">
        <f aca="false">VALUE(IF($D210="půj",$C210,0))+VALUE(IF($H210="půj",$G210,0))</f>
        <v>0</v>
      </c>
      <c r="AC210" s="148" t="n">
        <f aca="false">VALUE(IF($D210="vst",$C210,0))+VALUE(IF($H210="vst",$G210,0))</f>
        <v>0</v>
      </c>
      <c r="AD210" s="148" t="n">
        <f aca="false">VALUE(IF($D210="kop",$C210,0))+VALUE(IF($H210="kop",$G210,0))</f>
        <v>0</v>
      </c>
      <c r="AE210" s="148" t="n">
        <f aca="false">VALUE(IF($D210="osl",$C210,0))+VALUE(IF($H210="osl",$G210,0))</f>
        <v>0</v>
      </c>
      <c r="AF210" s="148" t="n">
        <f aca="false">VALUE(IF($D210="vra",$C210,0))+VALUE(IF($H210="vra",$G210,0))</f>
        <v>0</v>
      </c>
      <c r="AG210" s="148" t="n">
        <f aca="false">VALUE(IF($D210="zho",$C210,0))+VALUE(IF($H210="zho",$G210,0))</f>
        <v>0</v>
      </c>
      <c r="AH210" s="148" t="n">
        <f aca="false">VALUE(IF($D210="zbú",$C210,0))+VALUE(IF($H210="zbú",$G210,0))</f>
        <v>0</v>
      </c>
      <c r="AI210" s="148" t="n">
        <f aca="false">VALUE(IF($D210="pří",$C210,0))+VALUE(IF($H210="pří",$G210,0))</f>
        <v>0</v>
      </c>
      <c r="AJ210" s="148" t="n">
        <f aca="false">VALUE(IF($D210="dot",$C210,0))+VALUE(IF($H210="dot",$G210,0))</f>
        <v>0</v>
      </c>
      <c r="AK210" s="148" t="n">
        <f aca="false">VALUE(IF($D210="opř",$C210,0))+VALUE(IF($H210="opř",$G210,0))</f>
        <v>0</v>
      </c>
      <c r="AL210" s="148" t="n">
        <f aca="false">SUM(P210:AK210)</f>
        <v>0</v>
      </c>
      <c r="AN210" s="180" t="str">
        <f aca="false">CONCATENATE('Přehled akce'!$K$4," / ",'Přehled akce'!$K$5)</f>
        <v> / </v>
      </c>
      <c r="AO210" s="181" t="n">
        <f aca="false">IF('Příjmy a výdaje'!$G210="ano",'Příjmy a výdaje'!$B210,0)</f>
        <v>0</v>
      </c>
      <c r="AP210" s="182" t="n">
        <f aca="false">IF('Příjmy a výdaje'!$G210="ano",'Příjmy a výdaje'!$C210,0)</f>
        <v>0</v>
      </c>
      <c r="AQ210" s="183" t="n">
        <f aca="false">'Příjmy a výdaje'!$AP210</f>
        <v>0</v>
      </c>
    </row>
    <row r="211" customFormat="false" ht="12.75" hidden="false" customHeight="false" outlineLevel="0" collapsed="false">
      <c r="A211" s="169" t="n">
        <v>191</v>
      </c>
      <c r="B211" s="250"/>
      <c r="C211" s="194"/>
      <c r="D211" s="174"/>
      <c r="E211" s="188"/>
      <c r="F211" s="223"/>
      <c r="G211" s="224"/>
      <c r="H211" s="190"/>
      <c r="I211" s="249"/>
      <c r="J211" s="178" t="str">
        <f aca="false">IF(AL211=C211,IF(AL211=0,"-","ok"),"chyba")</f>
        <v>-</v>
      </c>
      <c r="K211" s="179"/>
      <c r="L211" s="179"/>
      <c r="M211" s="179"/>
      <c r="N211" s="179"/>
      <c r="P211" s="148" t="n">
        <f aca="false">VALUE(IF($D211="vyb",$C211,0))+VALUE(IF($H211="vyb",$G211,0))</f>
        <v>0</v>
      </c>
      <c r="Q211" s="148" t="n">
        <f aca="false">VALUE(IF($D211="mtv",$C211,0))+VALUE(IF($H211="mtv",$G211,0))</f>
        <v>0</v>
      </c>
      <c r="R211" s="148" t="n">
        <f aca="false">VALUE(IF($D211="mat",$C211,0))+VALUE(IF($H211="mat",$G211,0))</f>
        <v>0</v>
      </c>
      <c r="S211" s="148" t="n">
        <f aca="false">VALUE(IF($D211="pot",$C211,0))+VALUE(IF($H211="pot",$G211,0))</f>
        <v>0</v>
      </c>
      <c r="T211" s="148" t="n">
        <f aca="false">VALUE(IF($D211="táb",$C211,0))+VALUE(IF($H211="táb",$G211,0))</f>
        <v>0</v>
      </c>
      <c r="U211" s="148" t="n">
        <f aca="false">VALUE(IF($D211="oma",$C211,0))+VALUE(IF($H211="oma",$G211,0))</f>
        <v>0</v>
      </c>
      <c r="V211" s="148" t="n">
        <f aca="false">VALUE(IF($D211="ces",$C211,0))+VALUE(IF($H211="ces",$G211,0))</f>
        <v>0</v>
      </c>
      <c r="W211" s="148" t="n">
        <f aca="false">VALUE(IF($D211="poš",$C211,0))+VALUE(IF($H211="poš",$G211,0))</f>
        <v>0</v>
      </c>
      <c r="X211" s="148" t="n">
        <f aca="false">VALUE(IF($D211="tel",$C211,0))+VALUE(IF($H211="tel",$G211,0))</f>
        <v>0</v>
      </c>
      <c r="Y211" s="148" t="n">
        <f aca="false">VALUE(IF($D211="dop",$C211,0))+VALUE(IF($H211="dop",$G211,0))</f>
        <v>0</v>
      </c>
      <c r="Z211" s="148" t="n">
        <f aca="false">VALUE(IF($D211="nák",$C211,0))+VALUE(IF($H211="nák",$G211,0))</f>
        <v>0</v>
      </c>
      <c r="AA211" s="148" t="n">
        <f aca="false">VALUE(IF($D211="náj",$C211,0))+VALUE(IF($H211="náj",$G211,0))</f>
        <v>0</v>
      </c>
      <c r="AB211" s="148" t="n">
        <f aca="false">VALUE(IF($D211="půj",$C211,0))+VALUE(IF($H211="půj",$G211,0))</f>
        <v>0</v>
      </c>
      <c r="AC211" s="148" t="n">
        <f aca="false">VALUE(IF($D211="vst",$C211,0))+VALUE(IF($H211="vst",$G211,0))</f>
        <v>0</v>
      </c>
      <c r="AD211" s="148" t="n">
        <f aca="false">VALUE(IF($D211="kop",$C211,0))+VALUE(IF($H211="kop",$G211,0))</f>
        <v>0</v>
      </c>
      <c r="AE211" s="148" t="n">
        <f aca="false">VALUE(IF($D211="osl",$C211,0))+VALUE(IF($H211="osl",$G211,0))</f>
        <v>0</v>
      </c>
      <c r="AF211" s="148" t="n">
        <f aca="false">VALUE(IF($D211="vra",$C211,0))+VALUE(IF($H211="vra",$G211,0))</f>
        <v>0</v>
      </c>
      <c r="AG211" s="148" t="n">
        <f aca="false">VALUE(IF($D211="zho",$C211,0))+VALUE(IF($H211="zho",$G211,0))</f>
        <v>0</v>
      </c>
      <c r="AH211" s="148" t="n">
        <f aca="false">VALUE(IF($D211="zbú",$C211,0))+VALUE(IF($H211="zbú",$G211,0))</f>
        <v>0</v>
      </c>
      <c r="AI211" s="148" t="n">
        <f aca="false">VALUE(IF($D211="pří",$C211,0))+VALUE(IF($H211="pří",$G211,0))</f>
        <v>0</v>
      </c>
      <c r="AJ211" s="148" t="n">
        <f aca="false">VALUE(IF($D211="dot",$C211,0))+VALUE(IF($H211="dot",$G211,0))</f>
        <v>0</v>
      </c>
      <c r="AK211" s="148" t="n">
        <f aca="false">VALUE(IF($D211="opř",$C211,0))+VALUE(IF($H211="opř",$G211,0))</f>
        <v>0</v>
      </c>
      <c r="AL211" s="148" t="n">
        <f aca="false">SUM(P211:AK211)</f>
        <v>0</v>
      </c>
      <c r="AN211" s="180" t="str">
        <f aca="false">CONCATENATE('Přehled akce'!$K$4," / ",'Přehled akce'!$K$5)</f>
        <v> / </v>
      </c>
      <c r="AO211" s="181" t="n">
        <f aca="false">IF('Příjmy a výdaje'!$G211="ano",'Příjmy a výdaje'!$B211,0)</f>
        <v>0</v>
      </c>
      <c r="AP211" s="182" t="n">
        <f aca="false">IF('Příjmy a výdaje'!$G211="ano",'Příjmy a výdaje'!$C211,0)</f>
        <v>0</v>
      </c>
      <c r="AQ211" s="183" t="n">
        <f aca="false">'Příjmy a výdaje'!$AP211</f>
        <v>0</v>
      </c>
    </row>
    <row r="212" customFormat="false" ht="12.75" hidden="false" customHeight="false" outlineLevel="0" collapsed="false">
      <c r="A212" s="169" t="n">
        <v>192</v>
      </c>
      <c r="B212" s="250"/>
      <c r="C212" s="194"/>
      <c r="D212" s="174"/>
      <c r="E212" s="188"/>
      <c r="F212" s="223"/>
      <c r="G212" s="224"/>
      <c r="H212" s="190"/>
      <c r="I212" s="249"/>
      <c r="J212" s="178" t="str">
        <f aca="false">IF(AL212=C212,IF(AL212=0,"-","ok"),"chyba")</f>
        <v>-</v>
      </c>
      <c r="K212" s="179"/>
      <c r="L212" s="179"/>
      <c r="M212" s="179"/>
      <c r="N212" s="179"/>
      <c r="P212" s="148" t="n">
        <f aca="false">VALUE(IF($D212="vyb",$C212,0))+VALUE(IF($H212="vyb",$G212,0))</f>
        <v>0</v>
      </c>
      <c r="Q212" s="148" t="n">
        <f aca="false">VALUE(IF($D212="mtv",$C212,0))+VALUE(IF($H212="mtv",$G212,0))</f>
        <v>0</v>
      </c>
      <c r="R212" s="148" t="n">
        <f aca="false">VALUE(IF($D212="mat",$C212,0))+VALUE(IF($H212="mat",$G212,0))</f>
        <v>0</v>
      </c>
      <c r="S212" s="148" t="n">
        <f aca="false">VALUE(IF($D212="pot",$C212,0))+VALUE(IF($H212="pot",$G212,0))</f>
        <v>0</v>
      </c>
      <c r="T212" s="148" t="n">
        <f aca="false">VALUE(IF($D212="táb",$C212,0))+VALUE(IF($H212="táb",$G212,0))</f>
        <v>0</v>
      </c>
      <c r="U212" s="148" t="n">
        <f aca="false">VALUE(IF($D212="oma",$C212,0))+VALUE(IF($H212="oma",$G212,0))</f>
        <v>0</v>
      </c>
      <c r="V212" s="148" t="n">
        <f aca="false">VALUE(IF($D212="ces",$C212,0))+VALUE(IF($H212="ces",$G212,0))</f>
        <v>0</v>
      </c>
      <c r="W212" s="148" t="n">
        <f aca="false">VALUE(IF($D212="poš",$C212,0))+VALUE(IF($H212="poš",$G212,0))</f>
        <v>0</v>
      </c>
      <c r="X212" s="148" t="n">
        <f aca="false">VALUE(IF($D212="tel",$C212,0))+VALUE(IF($H212="tel",$G212,0))</f>
        <v>0</v>
      </c>
      <c r="Y212" s="148" t="n">
        <f aca="false">VALUE(IF($D212="dop",$C212,0))+VALUE(IF($H212="dop",$G212,0))</f>
        <v>0</v>
      </c>
      <c r="Z212" s="148" t="n">
        <f aca="false">VALUE(IF($D212="nák",$C212,0))+VALUE(IF($H212="nák",$G212,0))</f>
        <v>0</v>
      </c>
      <c r="AA212" s="148" t="n">
        <f aca="false">VALUE(IF($D212="náj",$C212,0))+VALUE(IF($H212="náj",$G212,0))</f>
        <v>0</v>
      </c>
      <c r="AB212" s="148" t="n">
        <f aca="false">VALUE(IF($D212="půj",$C212,0))+VALUE(IF($H212="půj",$G212,0))</f>
        <v>0</v>
      </c>
      <c r="AC212" s="148" t="n">
        <f aca="false">VALUE(IF($D212="vst",$C212,0))+VALUE(IF($H212="vst",$G212,0))</f>
        <v>0</v>
      </c>
      <c r="AD212" s="148" t="n">
        <f aca="false">VALUE(IF($D212="kop",$C212,0))+VALUE(IF($H212="kop",$G212,0))</f>
        <v>0</v>
      </c>
      <c r="AE212" s="148" t="n">
        <f aca="false">VALUE(IF($D212="osl",$C212,0))+VALUE(IF($H212="osl",$G212,0))</f>
        <v>0</v>
      </c>
      <c r="AF212" s="148" t="n">
        <f aca="false">VALUE(IF($D212="vra",$C212,0))+VALUE(IF($H212="vra",$G212,0))</f>
        <v>0</v>
      </c>
      <c r="AG212" s="148" t="n">
        <f aca="false">VALUE(IF($D212="zho",$C212,0))+VALUE(IF($H212="zho",$G212,0))</f>
        <v>0</v>
      </c>
      <c r="AH212" s="148" t="n">
        <f aca="false">VALUE(IF($D212="zbú",$C212,0))+VALUE(IF($H212="zbú",$G212,0))</f>
        <v>0</v>
      </c>
      <c r="AI212" s="148" t="n">
        <f aca="false">VALUE(IF($D212="pří",$C212,0))+VALUE(IF($H212="pří",$G212,0))</f>
        <v>0</v>
      </c>
      <c r="AJ212" s="148" t="n">
        <f aca="false">VALUE(IF($D212="dot",$C212,0))+VALUE(IF($H212="dot",$G212,0))</f>
        <v>0</v>
      </c>
      <c r="AK212" s="148" t="n">
        <f aca="false">VALUE(IF($D212="opř",$C212,0))+VALUE(IF($H212="opř",$G212,0))</f>
        <v>0</v>
      </c>
      <c r="AL212" s="148" t="n">
        <f aca="false">SUM(P212:AK212)</f>
        <v>0</v>
      </c>
      <c r="AN212" s="180" t="str">
        <f aca="false">CONCATENATE('Přehled akce'!$K$4," / ",'Přehled akce'!$K$5)</f>
        <v> / </v>
      </c>
      <c r="AO212" s="181" t="n">
        <f aca="false">IF('Příjmy a výdaje'!$G212="ano",'Příjmy a výdaje'!$B212,0)</f>
        <v>0</v>
      </c>
      <c r="AP212" s="182" t="n">
        <f aca="false">IF('Příjmy a výdaje'!$G212="ano",'Příjmy a výdaje'!$C212,0)</f>
        <v>0</v>
      </c>
      <c r="AQ212" s="183" t="n">
        <f aca="false">'Příjmy a výdaje'!$AP212</f>
        <v>0</v>
      </c>
    </row>
    <row r="213" customFormat="false" ht="12.75" hidden="false" customHeight="false" outlineLevel="0" collapsed="false">
      <c r="A213" s="169" t="n">
        <v>193</v>
      </c>
      <c r="B213" s="250"/>
      <c r="C213" s="194"/>
      <c r="D213" s="174"/>
      <c r="E213" s="188"/>
      <c r="F213" s="223"/>
      <c r="G213" s="224"/>
      <c r="H213" s="190"/>
      <c r="I213" s="195"/>
      <c r="J213" s="178" t="str">
        <f aca="false">IF(AL213=C213,IF(AL213=0,"-","ok"),"chyba")</f>
        <v>-</v>
      </c>
      <c r="K213" s="179"/>
      <c r="L213" s="179"/>
      <c r="M213" s="179"/>
      <c r="N213" s="179"/>
      <c r="P213" s="148" t="n">
        <f aca="false">VALUE(IF($D213="vyb",$C213,0))+VALUE(IF($H213="vyb",$G213,0))</f>
        <v>0</v>
      </c>
      <c r="Q213" s="148" t="n">
        <f aca="false">VALUE(IF($D213="mtv",$C213,0))+VALUE(IF($H213="mtv",$G213,0))</f>
        <v>0</v>
      </c>
      <c r="R213" s="148" t="n">
        <f aca="false">VALUE(IF($D213="mat",$C213,0))+VALUE(IF($H213="mat",$G213,0))</f>
        <v>0</v>
      </c>
      <c r="S213" s="148" t="n">
        <f aca="false">VALUE(IF($D213="pot",$C213,0))+VALUE(IF($H213="pot",$G213,0))</f>
        <v>0</v>
      </c>
      <c r="T213" s="148" t="n">
        <f aca="false">VALUE(IF($D213="táb",$C213,0))+VALUE(IF($H213="táb",$G213,0))</f>
        <v>0</v>
      </c>
      <c r="U213" s="148" t="n">
        <f aca="false">VALUE(IF($D213="oma",$C213,0))+VALUE(IF($H213="oma",$G213,0))</f>
        <v>0</v>
      </c>
      <c r="V213" s="148" t="n">
        <f aca="false">VALUE(IF($D213="ces",$C213,0))+VALUE(IF($H213="ces",$G213,0))</f>
        <v>0</v>
      </c>
      <c r="W213" s="148" t="n">
        <f aca="false">VALUE(IF($D213="poš",$C213,0))+VALUE(IF($H213="poš",$G213,0))</f>
        <v>0</v>
      </c>
      <c r="X213" s="148" t="n">
        <f aca="false">VALUE(IF($D213="tel",$C213,0))+VALUE(IF($H213="tel",$G213,0))</f>
        <v>0</v>
      </c>
      <c r="Y213" s="148" t="n">
        <f aca="false">VALUE(IF($D213="dop",$C213,0))+VALUE(IF($H213="dop",$G213,0))</f>
        <v>0</v>
      </c>
      <c r="Z213" s="148" t="n">
        <f aca="false">VALUE(IF($D213="nák",$C213,0))+VALUE(IF($H213="nák",$G213,0))</f>
        <v>0</v>
      </c>
      <c r="AA213" s="148" t="n">
        <f aca="false">VALUE(IF($D213="náj",$C213,0))+VALUE(IF($H213="náj",$G213,0))</f>
        <v>0</v>
      </c>
      <c r="AB213" s="148" t="n">
        <f aca="false">VALUE(IF($D213="půj",$C213,0))+VALUE(IF($H213="půj",$G213,0))</f>
        <v>0</v>
      </c>
      <c r="AC213" s="148" t="n">
        <f aca="false">VALUE(IF($D213="vst",$C213,0))+VALUE(IF($H213="vst",$G213,0))</f>
        <v>0</v>
      </c>
      <c r="AD213" s="148" t="n">
        <f aca="false">VALUE(IF($D213="kop",$C213,0))+VALUE(IF($H213="kop",$G213,0))</f>
        <v>0</v>
      </c>
      <c r="AE213" s="148" t="n">
        <f aca="false">VALUE(IF($D213="osl",$C213,0))+VALUE(IF($H213="osl",$G213,0))</f>
        <v>0</v>
      </c>
      <c r="AF213" s="148" t="n">
        <f aca="false">VALUE(IF($D213="vra",$C213,0))+VALUE(IF($H213="vra",$G213,0))</f>
        <v>0</v>
      </c>
      <c r="AG213" s="148" t="n">
        <f aca="false">VALUE(IF($D213="zho",$C213,0))+VALUE(IF($H213="zho",$G213,0))</f>
        <v>0</v>
      </c>
      <c r="AH213" s="148" t="n">
        <f aca="false">VALUE(IF($D213="zbú",$C213,0))+VALUE(IF($H213="zbú",$G213,0))</f>
        <v>0</v>
      </c>
      <c r="AI213" s="148" t="n">
        <f aca="false">VALUE(IF($D213="pří",$C213,0))+VALUE(IF($H213="pří",$G213,0))</f>
        <v>0</v>
      </c>
      <c r="AJ213" s="148" t="n">
        <f aca="false">VALUE(IF($D213="dot",$C213,0))+VALUE(IF($H213="dot",$G213,0))</f>
        <v>0</v>
      </c>
      <c r="AK213" s="148" t="n">
        <f aca="false">VALUE(IF($D213="opř",$C213,0))+VALUE(IF($H213="opř",$G213,0))</f>
        <v>0</v>
      </c>
      <c r="AL213" s="148" t="n">
        <f aca="false">SUM(P213:AK213)</f>
        <v>0</v>
      </c>
      <c r="AN213" s="180" t="str">
        <f aca="false">CONCATENATE('Přehled akce'!$K$4," / ",'Přehled akce'!$K$5)</f>
        <v> / </v>
      </c>
      <c r="AO213" s="181" t="n">
        <f aca="false">IF('Příjmy a výdaje'!$G213="ano",'Příjmy a výdaje'!$B213,0)</f>
        <v>0</v>
      </c>
      <c r="AP213" s="182" t="n">
        <f aca="false">IF('Příjmy a výdaje'!$G213="ano",'Příjmy a výdaje'!$C213,0)</f>
        <v>0</v>
      </c>
      <c r="AQ213" s="183" t="n">
        <f aca="false">'Příjmy a výdaje'!$AP213</f>
        <v>0</v>
      </c>
    </row>
    <row r="214" customFormat="false" ht="12.75" hidden="false" customHeight="false" outlineLevel="0" collapsed="false">
      <c r="A214" s="169" t="n">
        <v>194</v>
      </c>
      <c r="B214" s="250"/>
      <c r="C214" s="194"/>
      <c r="D214" s="174"/>
      <c r="E214" s="188"/>
      <c r="F214" s="223"/>
      <c r="G214" s="224"/>
      <c r="H214" s="190"/>
      <c r="I214" s="195"/>
      <c r="J214" s="178" t="str">
        <f aca="false">IF(AL214=C214,IF(AL214=0,"-","ok"),"chyba")</f>
        <v>-</v>
      </c>
      <c r="K214" s="179"/>
      <c r="L214" s="179"/>
      <c r="M214" s="179"/>
      <c r="N214" s="179"/>
      <c r="P214" s="148" t="n">
        <f aca="false">VALUE(IF($D214="vyb",$C214,0))+VALUE(IF($H214="vyb",$G214,0))</f>
        <v>0</v>
      </c>
      <c r="Q214" s="148" t="n">
        <f aca="false">VALUE(IF($D214="mtv",$C214,0))+VALUE(IF($H214="mtv",$G214,0))</f>
        <v>0</v>
      </c>
      <c r="R214" s="148" t="n">
        <f aca="false">VALUE(IF($D214="mat",$C214,0))+VALUE(IF($H214="mat",$G214,0))</f>
        <v>0</v>
      </c>
      <c r="S214" s="148" t="n">
        <f aca="false">VALUE(IF($D214="pot",$C214,0))+VALUE(IF($H214="pot",$G214,0))</f>
        <v>0</v>
      </c>
      <c r="T214" s="148" t="n">
        <f aca="false">VALUE(IF($D214="táb",$C214,0))+VALUE(IF($H214="táb",$G214,0))</f>
        <v>0</v>
      </c>
      <c r="U214" s="148" t="n">
        <f aca="false">VALUE(IF($D214="oma",$C214,0))+VALUE(IF($H214="oma",$G214,0))</f>
        <v>0</v>
      </c>
      <c r="V214" s="148" t="n">
        <f aca="false">VALUE(IF($D214="ces",$C214,0))+VALUE(IF($H214="ces",$G214,0))</f>
        <v>0</v>
      </c>
      <c r="W214" s="148" t="n">
        <f aca="false">VALUE(IF($D214="poš",$C214,0))+VALUE(IF($H214="poš",$G214,0))</f>
        <v>0</v>
      </c>
      <c r="X214" s="148" t="n">
        <f aca="false">VALUE(IF($D214="tel",$C214,0))+VALUE(IF($H214="tel",$G214,0))</f>
        <v>0</v>
      </c>
      <c r="Y214" s="148" t="n">
        <f aca="false">VALUE(IF($D214="dop",$C214,0))+VALUE(IF($H214="dop",$G214,0))</f>
        <v>0</v>
      </c>
      <c r="Z214" s="148" t="n">
        <f aca="false">VALUE(IF($D214="nák",$C214,0))+VALUE(IF($H214="nák",$G214,0))</f>
        <v>0</v>
      </c>
      <c r="AA214" s="148" t="n">
        <f aca="false">VALUE(IF($D214="náj",$C214,0))+VALUE(IF($H214="náj",$G214,0))</f>
        <v>0</v>
      </c>
      <c r="AB214" s="148" t="n">
        <f aca="false">VALUE(IF($D214="půj",$C214,0))+VALUE(IF($H214="půj",$G214,0))</f>
        <v>0</v>
      </c>
      <c r="AC214" s="148" t="n">
        <f aca="false">VALUE(IF($D214="vst",$C214,0))+VALUE(IF($H214="vst",$G214,0))</f>
        <v>0</v>
      </c>
      <c r="AD214" s="148" t="n">
        <f aca="false">VALUE(IF($D214="kop",$C214,0))+VALUE(IF($H214="kop",$G214,0))</f>
        <v>0</v>
      </c>
      <c r="AE214" s="148" t="n">
        <f aca="false">VALUE(IF($D214="osl",$C214,0))+VALUE(IF($H214="osl",$G214,0))</f>
        <v>0</v>
      </c>
      <c r="AF214" s="148" t="n">
        <f aca="false">VALUE(IF($D214="vra",$C214,0))+VALUE(IF($H214="vra",$G214,0))</f>
        <v>0</v>
      </c>
      <c r="AG214" s="148" t="n">
        <f aca="false">VALUE(IF($D214="zho",$C214,0))+VALUE(IF($H214="zho",$G214,0))</f>
        <v>0</v>
      </c>
      <c r="AH214" s="148" t="n">
        <f aca="false">VALUE(IF($D214="zbú",$C214,0))+VALUE(IF($H214="zbú",$G214,0))</f>
        <v>0</v>
      </c>
      <c r="AI214" s="148" t="n">
        <f aca="false">VALUE(IF($D214="pří",$C214,0))+VALUE(IF($H214="pří",$G214,0))</f>
        <v>0</v>
      </c>
      <c r="AJ214" s="148" t="n">
        <f aca="false">VALUE(IF($D214="dot",$C214,0))+VALUE(IF($H214="dot",$G214,0))</f>
        <v>0</v>
      </c>
      <c r="AK214" s="148" t="n">
        <f aca="false">VALUE(IF($D214="opř",$C214,0))+VALUE(IF($H214="opř",$G214,0))</f>
        <v>0</v>
      </c>
      <c r="AL214" s="148" t="n">
        <f aca="false">SUM(P214:AK214)</f>
        <v>0</v>
      </c>
      <c r="AN214" s="180" t="str">
        <f aca="false">CONCATENATE('Přehled akce'!$K$4," / ",'Přehled akce'!$K$5)</f>
        <v> / </v>
      </c>
      <c r="AO214" s="181" t="n">
        <f aca="false">IF('Příjmy a výdaje'!$G214="ano",'Příjmy a výdaje'!$B214,0)</f>
        <v>0</v>
      </c>
      <c r="AP214" s="182" t="n">
        <f aca="false">IF('Příjmy a výdaje'!$G214="ano",'Příjmy a výdaje'!$C214,0)</f>
        <v>0</v>
      </c>
      <c r="AQ214" s="183" t="n">
        <f aca="false">'Příjmy a výdaje'!$AP214</f>
        <v>0</v>
      </c>
    </row>
    <row r="215" customFormat="false" ht="12.75" hidden="false" customHeight="false" outlineLevel="0" collapsed="false">
      <c r="A215" s="169" t="n">
        <v>195</v>
      </c>
      <c r="B215" s="251"/>
      <c r="C215" s="252"/>
      <c r="D215" s="253"/>
      <c r="E215" s="253"/>
      <c r="F215" s="254"/>
      <c r="G215" s="255"/>
      <c r="H215" s="256"/>
      <c r="I215" s="195"/>
      <c r="J215" s="257" t="str">
        <f aca="false">IF(AL215=C215,IF(AL215=0,"-","ok"),"chyba")</f>
        <v>-</v>
      </c>
      <c r="K215" s="179"/>
      <c r="L215" s="179"/>
      <c r="M215" s="179"/>
      <c r="N215" s="179"/>
      <c r="P215" s="148" t="n">
        <f aca="false">VALUE(IF($D215="vyb",$C215,0))+VALUE(IF($H215="vyb",$G215,0))</f>
        <v>0</v>
      </c>
      <c r="Q215" s="148" t="n">
        <f aca="false">VALUE(IF($D215="mtv",$C215,0))+VALUE(IF($H215="mtv",$G215,0))</f>
        <v>0</v>
      </c>
      <c r="R215" s="148" t="n">
        <f aca="false">VALUE(IF($D215="mat",$C215,0))+VALUE(IF($H215="mat",$G215,0))</f>
        <v>0</v>
      </c>
      <c r="S215" s="148" t="n">
        <f aca="false">VALUE(IF($D215="pot",$C215,0))+VALUE(IF($H215="pot",$G215,0))</f>
        <v>0</v>
      </c>
      <c r="T215" s="148" t="n">
        <f aca="false">VALUE(IF($D215="táb",$C215,0))+VALUE(IF($H215="táb",$G215,0))</f>
        <v>0</v>
      </c>
      <c r="U215" s="148" t="n">
        <f aca="false">VALUE(IF($D215="oma",$C215,0))+VALUE(IF($H215="oma",$G215,0))</f>
        <v>0</v>
      </c>
      <c r="V215" s="148" t="n">
        <f aca="false">VALUE(IF($D215="ces",$C215,0))+VALUE(IF($H215="ces",$G215,0))</f>
        <v>0</v>
      </c>
      <c r="W215" s="148" t="n">
        <f aca="false">VALUE(IF($D215="poš",$C215,0))+VALUE(IF($H215="poš",$G215,0))</f>
        <v>0</v>
      </c>
      <c r="X215" s="148" t="n">
        <f aca="false">VALUE(IF($D215="tel",$C215,0))+VALUE(IF($H215="tel",$G215,0))</f>
        <v>0</v>
      </c>
      <c r="Y215" s="148" t="n">
        <f aca="false">VALUE(IF($D215="dop",$C215,0))+VALUE(IF($H215="dop",$G215,0))</f>
        <v>0</v>
      </c>
      <c r="Z215" s="148" t="n">
        <f aca="false">VALUE(IF($D215="nák",$C215,0))+VALUE(IF($H215="nák",$G215,0))</f>
        <v>0</v>
      </c>
      <c r="AA215" s="148" t="n">
        <f aca="false">VALUE(IF($D215="náj",$C215,0))+VALUE(IF($H215="náj",$G215,0))</f>
        <v>0</v>
      </c>
      <c r="AB215" s="148" t="n">
        <f aca="false">VALUE(IF($D215="půj",$C215,0))+VALUE(IF($H215="půj",$G215,0))</f>
        <v>0</v>
      </c>
      <c r="AC215" s="148" t="n">
        <f aca="false">VALUE(IF($D215="vst",$C215,0))+VALUE(IF($H215="vst",$G215,0))</f>
        <v>0</v>
      </c>
      <c r="AD215" s="148" t="n">
        <f aca="false">VALUE(IF($D215="kop",$C215,0))+VALUE(IF($H215="kop",$G215,0))</f>
        <v>0</v>
      </c>
      <c r="AE215" s="148" t="n">
        <f aca="false">VALUE(IF($D215="osl",$C215,0))+VALUE(IF($H215="osl",$G215,0))</f>
        <v>0</v>
      </c>
      <c r="AF215" s="148" t="n">
        <f aca="false">VALUE(IF($D215="vra",$C215,0))+VALUE(IF($H215="vra",$G215,0))</f>
        <v>0</v>
      </c>
      <c r="AG215" s="148" t="n">
        <f aca="false">VALUE(IF($D215="zho",$C215,0))+VALUE(IF($H215="zho",$G215,0))</f>
        <v>0</v>
      </c>
      <c r="AH215" s="148" t="n">
        <f aca="false">VALUE(IF($D215="zbú",$C215,0))+VALUE(IF($H215="zbú",$G215,0))</f>
        <v>0</v>
      </c>
      <c r="AI215" s="148" t="n">
        <f aca="false">VALUE(IF($D215="pří",$C215,0))+VALUE(IF($H215="pří",$G215,0))</f>
        <v>0</v>
      </c>
      <c r="AJ215" s="148" t="n">
        <f aca="false">VALUE(IF($D215="dot",$C215,0))+VALUE(IF($H215="dot",$G215,0))</f>
        <v>0</v>
      </c>
      <c r="AK215" s="148" t="n">
        <f aca="false">VALUE(IF($D215="opř",$C215,0))+VALUE(IF($H215="opř",$G215,0))</f>
        <v>0</v>
      </c>
      <c r="AL215" s="148" t="n">
        <f aca="false">SUM(P215:AK215)</f>
        <v>0</v>
      </c>
      <c r="AN215" s="180" t="str">
        <f aca="false">CONCATENATE('Přehled akce'!$K$4," / ",'Přehled akce'!$K$5)</f>
        <v> / </v>
      </c>
      <c r="AO215" s="181" t="n">
        <f aca="false">IF('Příjmy a výdaje'!$G215="ano",'Příjmy a výdaje'!$B215,0)</f>
        <v>0</v>
      </c>
      <c r="AP215" s="182" t="n">
        <f aca="false">IF('Příjmy a výdaje'!$G215="ano",'Příjmy a výdaje'!$C215,0)</f>
        <v>0</v>
      </c>
      <c r="AQ215" s="183" t="n">
        <f aca="false">'Příjmy a výdaje'!$AP215</f>
        <v>0</v>
      </c>
    </row>
    <row r="216" customFormat="false" ht="12.75" hidden="false" customHeight="false" outlineLevel="0" collapsed="false">
      <c r="A216" s="169" t="n">
        <v>196</v>
      </c>
      <c r="B216" s="184"/>
      <c r="C216" s="194"/>
      <c r="D216" s="188"/>
      <c r="E216" s="188"/>
      <c r="F216" s="223"/>
      <c r="G216" s="224"/>
      <c r="H216" s="190"/>
      <c r="I216" s="195"/>
      <c r="J216" s="258" t="str">
        <f aca="false">IF(AL216=C216,IF(AL216=0,"-","ok"),"chyba")</f>
        <v>-</v>
      </c>
      <c r="K216" s="179"/>
      <c r="L216" s="179"/>
      <c r="M216" s="179"/>
      <c r="N216" s="179"/>
      <c r="P216" s="148" t="n">
        <f aca="false">VALUE(IF($D216="vyb",$C216,0))+VALUE(IF($H216="vyb",$G216,0))</f>
        <v>0</v>
      </c>
      <c r="Q216" s="148" t="n">
        <f aca="false">VALUE(IF($D216="mtv",$C216,0))+VALUE(IF($H216="mtv",$G216,0))</f>
        <v>0</v>
      </c>
      <c r="R216" s="148" t="n">
        <f aca="false">VALUE(IF($D216="mat",$C216,0))+VALUE(IF($H216="mat",$G216,0))</f>
        <v>0</v>
      </c>
      <c r="S216" s="148" t="n">
        <f aca="false">VALUE(IF($D216="pot",$C216,0))+VALUE(IF($H216="pot",$G216,0))</f>
        <v>0</v>
      </c>
      <c r="T216" s="148" t="n">
        <f aca="false">VALUE(IF($D216="táb",$C216,0))+VALUE(IF($H216="táb",$G216,0))</f>
        <v>0</v>
      </c>
      <c r="U216" s="148" t="n">
        <f aca="false">VALUE(IF($D216="oma",$C216,0))+VALUE(IF($H216="oma",$G216,0))</f>
        <v>0</v>
      </c>
      <c r="V216" s="148" t="n">
        <f aca="false">VALUE(IF($D216="ces",$C216,0))+VALUE(IF($H216="ces",$G216,0))</f>
        <v>0</v>
      </c>
      <c r="W216" s="148" t="n">
        <f aca="false">VALUE(IF($D216="poš",$C216,0))+VALUE(IF($H216="poš",$G216,0))</f>
        <v>0</v>
      </c>
      <c r="X216" s="148" t="n">
        <f aca="false">VALUE(IF($D216="tel",$C216,0))+VALUE(IF($H216="tel",$G216,0))</f>
        <v>0</v>
      </c>
      <c r="Y216" s="148" t="n">
        <f aca="false">VALUE(IF($D216="dop",$C216,0))+VALUE(IF($H216="dop",$G216,0))</f>
        <v>0</v>
      </c>
      <c r="Z216" s="148" t="n">
        <f aca="false">VALUE(IF($D216="nák",$C216,0))+VALUE(IF($H216="nák",$G216,0))</f>
        <v>0</v>
      </c>
      <c r="AA216" s="148" t="n">
        <f aca="false">VALUE(IF($D216="náj",$C216,0))+VALUE(IF($H216="náj",$G216,0))</f>
        <v>0</v>
      </c>
      <c r="AB216" s="148" t="n">
        <f aca="false">VALUE(IF($D216="půj",$C216,0))+VALUE(IF($H216="půj",$G216,0))</f>
        <v>0</v>
      </c>
      <c r="AC216" s="148" t="n">
        <f aca="false">VALUE(IF($D216="vst",$C216,0))+VALUE(IF($H216="vst",$G216,0))</f>
        <v>0</v>
      </c>
      <c r="AD216" s="148" t="n">
        <f aca="false">VALUE(IF($D216="kop",$C216,0))+VALUE(IF($H216="kop",$G216,0))</f>
        <v>0</v>
      </c>
      <c r="AE216" s="148" t="n">
        <f aca="false">VALUE(IF($D216="osl",$C216,0))+VALUE(IF($H216="osl",$G216,0))</f>
        <v>0</v>
      </c>
      <c r="AF216" s="148" t="n">
        <f aca="false">VALUE(IF($D216="vra",$C216,0))+VALUE(IF($H216="vra",$G216,0))</f>
        <v>0</v>
      </c>
      <c r="AG216" s="148" t="n">
        <f aca="false">VALUE(IF($D216="zho",$C216,0))+VALUE(IF($H216="zho",$G216,0))</f>
        <v>0</v>
      </c>
      <c r="AH216" s="148" t="n">
        <f aca="false">VALUE(IF($D216="zbú",$C216,0))+VALUE(IF($H216="zbú",$G216,0))</f>
        <v>0</v>
      </c>
      <c r="AI216" s="148" t="n">
        <f aca="false">VALUE(IF($D216="pří",$C216,0))+VALUE(IF($H216="pří",$G216,0))</f>
        <v>0</v>
      </c>
      <c r="AJ216" s="148" t="n">
        <f aca="false">VALUE(IF($D216="dot",$C216,0))+VALUE(IF($H216="dot",$G216,0))</f>
        <v>0</v>
      </c>
      <c r="AK216" s="148" t="n">
        <f aca="false">VALUE(IF($D216="opř",$C216,0))+VALUE(IF($H216="opř",$G216,0))</f>
        <v>0</v>
      </c>
      <c r="AL216" s="148" t="n">
        <f aca="false">SUM(P216:AK216)</f>
        <v>0</v>
      </c>
      <c r="AN216" s="180" t="str">
        <f aca="false">CONCATENATE('Přehled akce'!$K$4," / ",'Přehled akce'!$K$5)</f>
        <v> / </v>
      </c>
      <c r="AO216" s="181" t="n">
        <f aca="false">IF('Příjmy a výdaje'!$G216="ano",'Příjmy a výdaje'!$B216,0)</f>
        <v>0</v>
      </c>
      <c r="AP216" s="182" t="n">
        <f aca="false">IF('Příjmy a výdaje'!$G216="ano",'Příjmy a výdaje'!$C216,0)</f>
        <v>0</v>
      </c>
      <c r="AQ216" s="183" t="n">
        <f aca="false">'Příjmy a výdaje'!$AP216</f>
        <v>0</v>
      </c>
    </row>
    <row r="217" customFormat="false" ht="12.75" hidden="false" customHeight="false" outlineLevel="0" collapsed="false">
      <c r="A217" s="169" t="n">
        <v>197</v>
      </c>
      <c r="B217" s="184"/>
      <c r="C217" s="194"/>
      <c r="D217" s="174"/>
      <c r="E217" s="188"/>
      <c r="F217" s="223"/>
      <c r="G217" s="224"/>
      <c r="H217" s="190"/>
      <c r="I217" s="195"/>
      <c r="J217" s="178" t="str">
        <f aca="false">IF(AL217=C217,IF(AL217=0,"-","ok"),"chyba")</f>
        <v>-</v>
      </c>
      <c r="K217" s="179"/>
      <c r="L217" s="179"/>
      <c r="M217" s="179"/>
      <c r="N217" s="179"/>
      <c r="P217" s="148" t="n">
        <f aca="false">VALUE(IF($D217="vyb",$C217,0))+VALUE(IF($H217="vyb",$G217,0))</f>
        <v>0</v>
      </c>
      <c r="Q217" s="148" t="n">
        <f aca="false">VALUE(IF($D217="mtv",$C217,0))+VALUE(IF($H217="mtv",$G217,0))</f>
        <v>0</v>
      </c>
      <c r="R217" s="148" t="n">
        <f aca="false">VALUE(IF($D217="mat",$C217,0))+VALUE(IF($H217="mat",$G217,0))</f>
        <v>0</v>
      </c>
      <c r="S217" s="148" t="n">
        <f aca="false">VALUE(IF($D217="pot",$C217,0))+VALUE(IF($H217="pot",$G217,0))</f>
        <v>0</v>
      </c>
      <c r="T217" s="148" t="n">
        <f aca="false">VALUE(IF($D217="táb",$C217,0))+VALUE(IF($H217="táb",$G217,0))</f>
        <v>0</v>
      </c>
      <c r="U217" s="148" t="n">
        <f aca="false">VALUE(IF($D217="oma",$C217,0))+VALUE(IF($H217="oma",$G217,0))</f>
        <v>0</v>
      </c>
      <c r="V217" s="148" t="n">
        <f aca="false">VALUE(IF($D217="ces",$C217,0))+VALUE(IF($H217="ces",$G217,0))</f>
        <v>0</v>
      </c>
      <c r="W217" s="148" t="n">
        <f aca="false">VALUE(IF($D217="poš",$C217,0))+VALUE(IF($H217="poš",$G217,0))</f>
        <v>0</v>
      </c>
      <c r="X217" s="148" t="n">
        <f aca="false">VALUE(IF($D217="tel",$C217,0))+VALUE(IF($H217="tel",$G217,0))</f>
        <v>0</v>
      </c>
      <c r="Y217" s="148" t="n">
        <f aca="false">VALUE(IF($D217="dop",$C217,0))+VALUE(IF($H217="dop",$G217,0))</f>
        <v>0</v>
      </c>
      <c r="Z217" s="148" t="n">
        <f aca="false">VALUE(IF($D217="nák",$C217,0))+VALUE(IF($H217="nák",$G217,0))</f>
        <v>0</v>
      </c>
      <c r="AA217" s="148" t="n">
        <f aca="false">VALUE(IF($D217="náj",$C217,0))+VALUE(IF($H217="náj",$G217,0))</f>
        <v>0</v>
      </c>
      <c r="AB217" s="148" t="n">
        <f aca="false">VALUE(IF($D217="půj",$C217,0))+VALUE(IF($H217="půj",$G217,0))</f>
        <v>0</v>
      </c>
      <c r="AC217" s="148" t="n">
        <f aca="false">VALUE(IF($D217="vst",$C217,0))+VALUE(IF($H217="vst",$G217,0))</f>
        <v>0</v>
      </c>
      <c r="AD217" s="148" t="n">
        <f aca="false">VALUE(IF($D217="kop",$C217,0))+VALUE(IF($H217="kop",$G217,0))</f>
        <v>0</v>
      </c>
      <c r="AE217" s="148" t="n">
        <f aca="false">VALUE(IF($D217="osl",$C217,0))+VALUE(IF($H217="osl",$G217,0))</f>
        <v>0</v>
      </c>
      <c r="AF217" s="148" t="n">
        <f aca="false">VALUE(IF($D217="vra",$C217,0))+VALUE(IF($H217="vra",$G217,0))</f>
        <v>0</v>
      </c>
      <c r="AG217" s="148" t="n">
        <f aca="false">VALUE(IF($D217="zho",$C217,0))+VALUE(IF($H217="zho",$G217,0))</f>
        <v>0</v>
      </c>
      <c r="AH217" s="148" t="n">
        <f aca="false">VALUE(IF($D217="zbú",$C217,0))+VALUE(IF($H217="zbú",$G217,0))</f>
        <v>0</v>
      </c>
      <c r="AI217" s="148" t="n">
        <f aca="false">VALUE(IF($D217="pří",$C217,0))+VALUE(IF($H217="pří",$G217,0))</f>
        <v>0</v>
      </c>
      <c r="AJ217" s="148" t="n">
        <f aca="false">VALUE(IF($D217="dot",$C217,0))+VALUE(IF($H217="dot",$G217,0))</f>
        <v>0</v>
      </c>
      <c r="AK217" s="148" t="n">
        <f aca="false">VALUE(IF($D217="opř",$C217,0))+VALUE(IF($H217="opř",$G217,0))</f>
        <v>0</v>
      </c>
      <c r="AL217" s="148" t="n">
        <f aca="false">SUM(P217:AK217)</f>
        <v>0</v>
      </c>
      <c r="AN217" s="180" t="str">
        <f aca="false">CONCATENATE('Přehled akce'!$K$4," / ",'Přehled akce'!$K$5)</f>
        <v> / </v>
      </c>
      <c r="AO217" s="181" t="n">
        <f aca="false">IF('Příjmy a výdaje'!$G217="ano",'Příjmy a výdaje'!$B217,0)</f>
        <v>0</v>
      </c>
      <c r="AP217" s="182" t="n">
        <f aca="false">IF('Příjmy a výdaje'!$G217="ano",'Příjmy a výdaje'!$C217,0)</f>
        <v>0</v>
      </c>
      <c r="AQ217" s="183" t="n">
        <f aca="false">'Příjmy a výdaje'!$AP217</f>
        <v>0</v>
      </c>
    </row>
    <row r="218" customFormat="false" ht="12.75" hidden="false" customHeight="false" outlineLevel="0" collapsed="false">
      <c r="A218" s="169" t="n">
        <v>198</v>
      </c>
      <c r="B218" s="184"/>
      <c r="C218" s="194"/>
      <c r="D218" s="174"/>
      <c r="E218" s="188"/>
      <c r="F218" s="223"/>
      <c r="G218" s="224"/>
      <c r="H218" s="190"/>
      <c r="I218" s="195"/>
      <c r="J218" s="178" t="str">
        <f aca="false">IF(AL218=C218,IF(AL218=0,"-","ok"),"chyba")</f>
        <v>-</v>
      </c>
      <c r="K218" s="179"/>
      <c r="L218" s="179"/>
      <c r="M218" s="179"/>
      <c r="N218" s="179"/>
      <c r="P218" s="148" t="n">
        <f aca="false">VALUE(IF($D218="vyb",$C218,0))+VALUE(IF($H218="vyb",$G218,0))</f>
        <v>0</v>
      </c>
      <c r="Q218" s="148" t="n">
        <f aca="false">VALUE(IF($D218="mtv",$C218,0))+VALUE(IF($H218="mtv",$G218,0))</f>
        <v>0</v>
      </c>
      <c r="R218" s="148" t="n">
        <f aca="false">VALUE(IF($D218="mat",$C218,0))+VALUE(IF($H218="mat",$G218,0))</f>
        <v>0</v>
      </c>
      <c r="S218" s="148" t="n">
        <f aca="false">VALUE(IF($D218="pot",$C218,0))+VALUE(IF($H218="pot",$G218,0))</f>
        <v>0</v>
      </c>
      <c r="T218" s="148" t="n">
        <f aca="false">VALUE(IF($D218="táb",$C218,0))+VALUE(IF($H218="táb",$G218,0))</f>
        <v>0</v>
      </c>
      <c r="U218" s="148" t="n">
        <f aca="false">VALUE(IF($D218="oma",$C218,0))+VALUE(IF($H218="oma",$G218,0))</f>
        <v>0</v>
      </c>
      <c r="V218" s="148" t="n">
        <f aca="false">VALUE(IF($D218="ces",$C218,0))+VALUE(IF($H218="ces",$G218,0))</f>
        <v>0</v>
      </c>
      <c r="W218" s="148" t="n">
        <f aca="false">VALUE(IF($D218="poš",$C218,0))+VALUE(IF($H218="poš",$G218,0))</f>
        <v>0</v>
      </c>
      <c r="X218" s="148" t="n">
        <f aca="false">VALUE(IF($D218="tel",$C218,0))+VALUE(IF($H218="tel",$G218,0))</f>
        <v>0</v>
      </c>
      <c r="Y218" s="148" t="n">
        <f aca="false">VALUE(IF($D218="dop",$C218,0))+VALUE(IF($H218="dop",$G218,0))</f>
        <v>0</v>
      </c>
      <c r="Z218" s="148" t="n">
        <f aca="false">VALUE(IF($D218="nák",$C218,0))+VALUE(IF($H218="nák",$G218,0))</f>
        <v>0</v>
      </c>
      <c r="AA218" s="148" t="n">
        <f aca="false">VALUE(IF($D218="náj",$C218,0))+VALUE(IF($H218="náj",$G218,0))</f>
        <v>0</v>
      </c>
      <c r="AB218" s="148" t="n">
        <f aca="false">VALUE(IF($D218="půj",$C218,0))+VALUE(IF($H218="půj",$G218,0))</f>
        <v>0</v>
      </c>
      <c r="AC218" s="148" t="n">
        <f aca="false">VALUE(IF($D218="vst",$C218,0))+VALUE(IF($H218="vst",$G218,0))</f>
        <v>0</v>
      </c>
      <c r="AD218" s="148" t="n">
        <f aca="false">VALUE(IF($D218="kop",$C218,0))+VALUE(IF($H218="kop",$G218,0))</f>
        <v>0</v>
      </c>
      <c r="AE218" s="148" t="n">
        <f aca="false">VALUE(IF($D218="osl",$C218,0))+VALUE(IF($H218="osl",$G218,0))</f>
        <v>0</v>
      </c>
      <c r="AF218" s="148" t="n">
        <f aca="false">VALUE(IF($D218="vra",$C218,0))+VALUE(IF($H218="vra",$G218,0))</f>
        <v>0</v>
      </c>
      <c r="AG218" s="148" t="n">
        <f aca="false">VALUE(IF($D218="zho",$C218,0))+VALUE(IF($H218="zho",$G218,0))</f>
        <v>0</v>
      </c>
      <c r="AH218" s="148" t="n">
        <f aca="false">VALUE(IF($D218="zbú",$C218,0))+VALUE(IF($H218="zbú",$G218,0))</f>
        <v>0</v>
      </c>
      <c r="AI218" s="148" t="n">
        <f aca="false">VALUE(IF($D218="pří",$C218,0))+VALUE(IF($H218="pří",$G218,0))</f>
        <v>0</v>
      </c>
      <c r="AJ218" s="148" t="n">
        <f aca="false">VALUE(IF($D218="dot",$C218,0))+VALUE(IF($H218="dot",$G218,0))</f>
        <v>0</v>
      </c>
      <c r="AK218" s="148" t="n">
        <f aca="false">VALUE(IF($D218="opř",$C218,0))+VALUE(IF($H218="opř",$G218,0))</f>
        <v>0</v>
      </c>
      <c r="AL218" s="148" t="n">
        <f aca="false">SUM(P218:AK218)</f>
        <v>0</v>
      </c>
      <c r="AN218" s="180" t="str">
        <f aca="false">CONCATENATE('Přehled akce'!$K$4," / ",'Přehled akce'!$K$5)</f>
        <v> / </v>
      </c>
      <c r="AO218" s="181" t="n">
        <f aca="false">IF('Příjmy a výdaje'!$G218="ano",'Příjmy a výdaje'!$B218,0)</f>
        <v>0</v>
      </c>
      <c r="AP218" s="182" t="n">
        <f aca="false">IF('Příjmy a výdaje'!$G218="ano",'Příjmy a výdaje'!$C218,0)</f>
        <v>0</v>
      </c>
      <c r="AQ218" s="183" t="n">
        <f aca="false">'Příjmy a výdaje'!$AP218</f>
        <v>0</v>
      </c>
    </row>
    <row r="219" customFormat="false" ht="12.75" hidden="false" customHeight="false" outlineLevel="0" collapsed="false">
      <c r="A219" s="169" t="n">
        <v>199</v>
      </c>
      <c r="B219" s="184"/>
      <c r="C219" s="194"/>
      <c r="D219" s="174"/>
      <c r="E219" s="188"/>
      <c r="F219" s="223"/>
      <c r="G219" s="224"/>
      <c r="H219" s="190"/>
      <c r="I219" s="195"/>
      <c r="J219" s="178" t="str">
        <f aca="false">IF(AL219=C219,IF(AL219=0,"-","ok"),"chyba")</f>
        <v>-</v>
      </c>
      <c r="K219" s="179"/>
      <c r="L219" s="179"/>
      <c r="M219" s="179"/>
      <c r="N219" s="179"/>
      <c r="P219" s="148" t="n">
        <f aca="false">VALUE(IF($D219="vyb",$C219,0))+VALUE(IF($H219="vyb",$G219,0))</f>
        <v>0</v>
      </c>
      <c r="Q219" s="148" t="n">
        <f aca="false">VALUE(IF($D219="mtv",$C219,0))+VALUE(IF($H219="mtv",$G219,0))</f>
        <v>0</v>
      </c>
      <c r="R219" s="148" t="n">
        <f aca="false">VALUE(IF($D219="mat",$C219,0))+VALUE(IF($H219="mat",$G219,0))</f>
        <v>0</v>
      </c>
      <c r="S219" s="148" t="n">
        <f aca="false">VALUE(IF($D219="pot",$C219,0))+VALUE(IF($H219="pot",$G219,0))</f>
        <v>0</v>
      </c>
      <c r="T219" s="148" t="n">
        <f aca="false">VALUE(IF($D219="táb",$C219,0))+VALUE(IF($H219="táb",$G219,0))</f>
        <v>0</v>
      </c>
      <c r="U219" s="148" t="n">
        <f aca="false">VALUE(IF($D219="oma",$C219,0))+VALUE(IF($H219="oma",$G219,0))</f>
        <v>0</v>
      </c>
      <c r="V219" s="148" t="n">
        <f aca="false">VALUE(IF($D219="ces",$C219,0))+VALUE(IF($H219="ces",$G219,0))</f>
        <v>0</v>
      </c>
      <c r="W219" s="148" t="n">
        <f aca="false">VALUE(IF($D219="poš",$C219,0))+VALUE(IF($H219="poš",$G219,0))</f>
        <v>0</v>
      </c>
      <c r="X219" s="148" t="n">
        <f aca="false">VALUE(IF($D219="tel",$C219,0))+VALUE(IF($H219="tel",$G219,0))</f>
        <v>0</v>
      </c>
      <c r="Y219" s="148" t="n">
        <f aca="false">VALUE(IF($D219="dop",$C219,0))+VALUE(IF($H219="dop",$G219,0))</f>
        <v>0</v>
      </c>
      <c r="Z219" s="148" t="n">
        <f aca="false">VALUE(IF($D219="nák",$C219,0))+VALUE(IF($H219="nák",$G219,0))</f>
        <v>0</v>
      </c>
      <c r="AA219" s="148" t="n">
        <f aca="false">VALUE(IF($D219="náj",$C219,0))+VALUE(IF($H219="náj",$G219,0))</f>
        <v>0</v>
      </c>
      <c r="AB219" s="148" t="n">
        <f aca="false">VALUE(IF($D219="půj",$C219,0))+VALUE(IF($H219="půj",$G219,0))</f>
        <v>0</v>
      </c>
      <c r="AC219" s="148" t="n">
        <f aca="false">VALUE(IF($D219="vst",$C219,0))+VALUE(IF($H219="vst",$G219,0))</f>
        <v>0</v>
      </c>
      <c r="AD219" s="148" t="n">
        <f aca="false">VALUE(IF($D219="kop",$C219,0))+VALUE(IF($H219="kop",$G219,0))</f>
        <v>0</v>
      </c>
      <c r="AE219" s="148" t="n">
        <f aca="false">VALUE(IF($D219="osl",$C219,0))+VALUE(IF($H219="osl",$G219,0))</f>
        <v>0</v>
      </c>
      <c r="AF219" s="148" t="n">
        <f aca="false">VALUE(IF($D219="vra",$C219,0))+VALUE(IF($H219="vra",$G219,0))</f>
        <v>0</v>
      </c>
      <c r="AG219" s="148" t="n">
        <f aca="false">VALUE(IF($D219="zho",$C219,0))+VALUE(IF($H219="zho",$G219,0))</f>
        <v>0</v>
      </c>
      <c r="AH219" s="148" t="n">
        <f aca="false">VALUE(IF($D219="zbú",$C219,0))+VALUE(IF($H219="zbú",$G219,0))</f>
        <v>0</v>
      </c>
      <c r="AI219" s="148" t="n">
        <f aca="false">VALUE(IF($D219="pří",$C219,0))+VALUE(IF($H219="pří",$G219,0))</f>
        <v>0</v>
      </c>
      <c r="AJ219" s="148" t="n">
        <f aca="false">VALUE(IF($D219="dot",$C219,0))+VALUE(IF($H219="dot",$G219,0))</f>
        <v>0</v>
      </c>
      <c r="AK219" s="148" t="n">
        <f aca="false">VALUE(IF($D219="opř",$C219,0))+VALUE(IF($H219="opř",$G219,0))</f>
        <v>0</v>
      </c>
      <c r="AL219" s="148" t="n">
        <f aca="false">SUM(P219:AK219)</f>
        <v>0</v>
      </c>
      <c r="AN219" s="180" t="str">
        <f aca="false">CONCATENATE('Přehled akce'!$K$4," / ",'Přehled akce'!$K$5)</f>
        <v> / </v>
      </c>
      <c r="AO219" s="181" t="n">
        <f aca="false">IF('Příjmy a výdaje'!$G219="ano",'Příjmy a výdaje'!$B219,0)</f>
        <v>0</v>
      </c>
      <c r="AP219" s="182" t="n">
        <f aca="false">IF('Příjmy a výdaje'!$G219="ano",'Příjmy a výdaje'!$C219,0)</f>
        <v>0</v>
      </c>
      <c r="AQ219" s="183" t="n">
        <f aca="false">'Příjmy a výdaje'!$AP219</f>
        <v>0</v>
      </c>
    </row>
    <row r="220" customFormat="false" ht="12.75" hidden="false" customHeight="false" outlineLevel="0" collapsed="false">
      <c r="A220" s="169" t="n">
        <v>200</v>
      </c>
      <c r="B220" s="184"/>
      <c r="C220" s="194"/>
      <c r="D220" s="188"/>
      <c r="E220" s="188"/>
      <c r="F220" s="223"/>
      <c r="G220" s="224"/>
      <c r="H220" s="190"/>
      <c r="I220" s="195"/>
      <c r="J220" s="178" t="str">
        <f aca="false">IF(AL220=C220,IF(AL220=0,"-","ok"),"chyba")</f>
        <v>-</v>
      </c>
      <c r="K220" s="179"/>
      <c r="L220" s="179"/>
      <c r="M220" s="179"/>
      <c r="N220" s="179"/>
      <c r="P220" s="148" t="n">
        <f aca="false">VALUE(IF($D220="vyb",$C220,0))+VALUE(IF($H220="vyb",$G220,0))</f>
        <v>0</v>
      </c>
      <c r="Q220" s="148" t="n">
        <f aca="false">VALUE(IF($D220="mtv",$C220,0))+VALUE(IF($H220="mtv",$G220,0))</f>
        <v>0</v>
      </c>
      <c r="R220" s="148" t="n">
        <f aca="false">VALUE(IF($D220="mat",$C220,0))+VALUE(IF($H220="mat",$G220,0))</f>
        <v>0</v>
      </c>
      <c r="S220" s="148" t="n">
        <f aca="false">VALUE(IF($D220="pot",$C220,0))+VALUE(IF($H220="pot",$G220,0))</f>
        <v>0</v>
      </c>
      <c r="T220" s="148" t="n">
        <f aca="false">VALUE(IF($D220="táb",$C220,0))+VALUE(IF($H220="táb",$G220,0))</f>
        <v>0</v>
      </c>
      <c r="U220" s="148" t="n">
        <f aca="false">VALUE(IF($D220="oma",$C220,0))+VALUE(IF($H220="oma",$G220,0))</f>
        <v>0</v>
      </c>
      <c r="V220" s="148" t="n">
        <f aca="false">VALUE(IF($D220="ces",$C220,0))+VALUE(IF($H220="ces",$G220,0))</f>
        <v>0</v>
      </c>
      <c r="W220" s="148" t="n">
        <f aca="false">VALUE(IF($D220="poš",$C220,0))+VALUE(IF($H220="poš",$G220,0))</f>
        <v>0</v>
      </c>
      <c r="X220" s="148" t="n">
        <f aca="false">VALUE(IF($D220="tel",$C220,0))+VALUE(IF($H220="tel",$G220,0))</f>
        <v>0</v>
      </c>
      <c r="Y220" s="148" t="n">
        <f aca="false">VALUE(IF($D220="dop",$C220,0))+VALUE(IF($H220="dop",$G220,0))</f>
        <v>0</v>
      </c>
      <c r="Z220" s="148" t="n">
        <f aca="false">VALUE(IF($D220="nák",$C220,0))+VALUE(IF($H220="nák",$G220,0))</f>
        <v>0</v>
      </c>
      <c r="AA220" s="148" t="n">
        <f aca="false">VALUE(IF($D220="náj",$C220,0))+VALUE(IF($H220="náj",$G220,0))</f>
        <v>0</v>
      </c>
      <c r="AB220" s="148" t="n">
        <f aca="false">VALUE(IF($D220="půj",$C220,0))+VALUE(IF($H220="půj",$G220,0))</f>
        <v>0</v>
      </c>
      <c r="AC220" s="148" t="n">
        <f aca="false">VALUE(IF($D220="vst",$C220,0))+VALUE(IF($H220="vst",$G220,0))</f>
        <v>0</v>
      </c>
      <c r="AD220" s="148" t="n">
        <f aca="false">VALUE(IF($D220="kop",$C220,0))+VALUE(IF($H220="kop",$G220,0))</f>
        <v>0</v>
      </c>
      <c r="AE220" s="148" t="n">
        <f aca="false">VALUE(IF($D220="osl",$C220,0))+VALUE(IF($H220="osl",$G220,0))</f>
        <v>0</v>
      </c>
      <c r="AF220" s="148" t="n">
        <f aca="false">VALUE(IF($D220="vra",$C220,0))+VALUE(IF($H220="vra",$G220,0))</f>
        <v>0</v>
      </c>
      <c r="AG220" s="148" t="n">
        <f aca="false">VALUE(IF($D220="zho",$C220,0))+VALUE(IF($H220="zho",$G220,0))</f>
        <v>0</v>
      </c>
      <c r="AH220" s="148" t="n">
        <f aca="false">VALUE(IF($D220="zbú",$C220,0))+VALUE(IF($H220="zbú",$G220,0))</f>
        <v>0</v>
      </c>
      <c r="AI220" s="148" t="n">
        <f aca="false">VALUE(IF($D220="pří",$C220,0))+VALUE(IF($H220="pří",$G220,0))</f>
        <v>0</v>
      </c>
      <c r="AJ220" s="148" t="n">
        <f aca="false">VALUE(IF($D220="dot",$C220,0))+VALUE(IF($H220="dot",$G220,0))</f>
        <v>0</v>
      </c>
      <c r="AK220" s="148" t="n">
        <f aca="false">VALUE(IF($D220="opř",$C220,0))+VALUE(IF($H220="opř",$G220,0))</f>
        <v>0</v>
      </c>
      <c r="AL220" s="148" t="n">
        <f aca="false">SUM(P220:AK220)</f>
        <v>0</v>
      </c>
      <c r="AN220" s="180" t="str">
        <f aca="false">CONCATENATE('Přehled akce'!$K$4," / ",'Přehled akce'!$K$5)</f>
        <v> / </v>
      </c>
      <c r="AO220" s="181" t="n">
        <f aca="false">IF('Příjmy a výdaje'!$G220="ano",'Příjmy a výdaje'!$B220,0)</f>
        <v>0</v>
      </c>
      <c r="AP220" s="182" t="n">
        <f aca="false">IF('Příjmy a výdaje'!$G220="ano",'Příjmy a výdaje'!$C220,0)</f>
        <v>0</v>
      </c>
      <c r="AQ220" s="183" t="n">
        <f aca="false">'Příjmy a výdaje'!$AP220</f>
        <v>0</v>
      </c>
    </row>
    <row r="221" customFormat="false" ht="12.75" hidden="false" customHeight="false" outlineLevel="0" collapsed="false">
      <c r="A221" s="169" t="n">
        <v>201</v>
      </c>
      <c r="B221" s="184"/>
      <c r="C221" s="194"/>
      <c r="D221" s="188"/>
      <c r="E221" s="188"/>
      <c r="F221" s="223"/>
      <c r="G221" s="224"/>
      <c r="H221" s="190"/>
      <c r="I221" s="177"/>
      <c r="J221" s="178" t="str">
        <f aca="false">IF(AL221=C221,IF(AL221=0,"-","ok"),"chyba")</f>
        <v>-</v>
      </c>
      <c r="K221" s="179"/>
      <c r="L221" s="179"/>
      <c r="M221" s="179"/>
      <c r="N221" s="179"/>
      <c r="P221" s="148" t="n">
        <f aca="false">VALUE(IF($D221="vyb",$C221,0))+VALUE(IF($H221="vyb",$G221,0))</f>
        <v>0</v>
      </c>
      <c r="Q221" s="148" t="n">
        <f aca="false">VALUE(IF($D221="mtv",$C221,0))+VALUE(IF($H221="mtv",$G221,0))</f>
        <v>0</v>
      </c>
      <c r="R221" s="148" t="n">
        <f aca="false">VALUE(IF($D221="mat",$C221,0))+VALUE(IF($H221="mat",$G221,0))</f>
        <v>0</v>
      </c>
      <c r="S221" s="148" t="n">
        <f aca="false">VALUE(IF($D221="pot",$C221,0))+VALUE(IF($H221="pot",$G221,0))</f>
        <v>0</v>
      </c>
      <c r="T221" s="148" t="n">
        <f aca="false">VALUE(IF($D221="táb",$C221,0))+VALUE(IF($H221="táb",$G221,0))</f>
        <v>0</v>
      </c>
      <c r="U221" s="148" t="n">
        <f aca="false">VALUE(IF($D221="oma",$C221,0))+VALUE(IF($H221="oma",$G221,0))</f>
        <v>0</v>
      </c>
      <c r="V221" s="148" t="n">
        <f aca="false">VALUE(IF($D221="ces",$C221,0))+VALUE(IF($H221="ces",$G221,0))</f>
        <v>0</v>
      </c>
      <c r="W221" s="148" t="n">
        <f aca="false">VALUE(IF($D221="poš",$C221,0))+VALUE(IF($H221="poš",$G221,0))</f>
        <v>0</v>
      </c>
      <c r="X221" s="148" t="n">
        <f aca="false">VALUE(IF($D221="tel",$C221,0))+VALUE(IF($H221="tel",$G221,0))</f>
        <v>0</v>
      </c>
      <c r="Y221" s="148" t="n">
        <f aca="false">VALUE(IF($D221="dop",$C221,0))+VALUE(IF($H221="dop",$G221,0))</f>
        <v>0</v>
      </c>
      <c r="Z221" s="148" t="n">
        <f aca="false">VALUE(IF($D221="nák",$C221,0))+VALUE(IF($H221="nák",$G221,0))</f>
        <v>0</v>
      </c>
      <c r="AA221" s="148" t="n">
        <f aca="false">VALUE(IF($D221="náj",$C221,0))+VALUE(IF($H221="náj",$G221,0))</f>
        <v>0</v>
      </c>
      <c r="AB221" s="148" t="n">
        <f aca="false">VALUE(IF($D221="půj",$C221,0))+VALUE(IF($H221="půj",$G221,0))</f>
        <v>0</v>
      </c>
      <c r="AC221" s="148" t="n">
        <f aca="false">VALUE(IF($D221="vst",$C221,0))+VALUE(IF($H221="vst",$G221,0))</f>
        <v>0</v>
      </c>
      <c r="AD221" s="148" t="n">
        <f aca="false">VALUE(IF($D221="kop",$C221,0))+VALUE(IF($H221="kop",$G221,0))</f>
        <v>0</v>
      </c>
      <c r="AE221" s="148" t="n">
        <f aca="false">VALUE(IF($D221="osl",$C221,0))+VALUE(IF($H221="osl",$G221,0))</f>
        <v>0</v>
      </c>
      <c r="AF221" s="148" t="n">
        <f aca="false">VALUE(IF($D221="vra",$C221,0))+VALUE(IF($H221="vra",$G221,0))</f>
        <v>0</v>
      </c>
      <c r="AG221" s="148" t="n">
        <f aca="false">VALUE(IF($D221="zho",$C221,0))+VALUE(IF($H221="zho",$G221,0))</f>
        <v>0</v>
      </c>
      <c r="AH221" s="148" t="n">
        <f aca="false">VALUE(IF($D221="zbú",$C221,0))+VALUE(IF($H221="zbú",$G221,0))</f>
        <v>0</v>
      </c>
      <c r="AI221" s="148" t="n">
        <f aca="false">VALUE(IF($D221="pří",$C221,0))+VALUE(IF($H221="pří",$G221,0))</f>
        <v>0</v>
      </c>
      <c r="AJ221" s="148" t="n">
        <f aca="false">VALUE(IF($D221="dot",$C221,0))+VALUE(IF($H221="dot",$G221,0))</f>
        <v>0</v>
      </c>
      <c r="AK221" s="148" t="n">
        <f aca="false">VALUE(IF($D221="opř",$C221,0))+VALUE(IF($H221="opř",$G221,0))</f>
        <v>0</v>
      </c>
      <c r="AL221" s="148" t="n">
        <f aca="false">SUM(P221:AK221)</f>
        <v>0</v>
      </c>
      <c r="AN221" s="180" t="str">
        <f aca="false">CONCATENATE('Přehled akce'!$K$4," / ",'Přehled akce'!$K$5)</f>
        <v> / </v>
      </c>
      <c r="AO221" s="181" t="n">
        <f aca="false">IF('Příjmy a výdaje'!$G221="ano",'Příjmy a výdaje'!$B221,0)</f>
        <v>0</v>
      </c>
      <c r="AP221" s="182" t="n">
        <f aca="false">IF('Příjmy a výdaje'!$G221="ano",'Příjmy a výdaje'!$C221,0)</f>
        <v>0</v>
      </c>
      <c r="AQ221" s="183" t="n">
        <f aca="false">'Příjmy a výdaje'!$AP221</f>
        <v>0</v>
      </c>
    </row>
    <row r="222" customFormat="false" ht="12.75" hidden="false" customHeight="false" outlineLevel="0" collapsed="false">
      <c r="A222" s="169" t="n">
        <v>202</v>
      </c>
      <c r="B222" s="184"/>
      <c r="C222" s="194"/>
      <c r="D222" s="188"/>
      <c r="E222" s="188"/>
      <c r="F222" s="223"/>
      <c r="G222" s="224"/>
      <c r="H222" s="190"/>
      <c r="I222" s="177"/>
      <c r="J222" s="178" t="str">
        <f aca="false">IF(AL222=C222,IF(AL222=0,"-","ok"),"chyba")</f>
        <v>-</v>
      </c>
      <c r="K222" s="179"/>
      <c r="L222" s="179"/>
      <c r="M222" s="179"/>
      <c r="N222" s="179"/>
      <c r="P222" s="148" t="n">
        <f aca="false">VALUE(IF($D222="vyb",$C222,0))+VALUE(IF($H222="vyb",$G222,0))</f>
        <v>0</v>
      </c>
      <c r="Q222" s="148" t="n">
        <f aca="false">VALUE(IF($D222="mtv",$C222,0))+VALUE(IF($H222="mtv",$G222,0))</f>
        <v>0</v>
      </c>
      <c r="R222" s="148" t="n">
        <f aca="false">VALUE(IF($D222="mat",$C222,0))+VALUE(IF($H222="mat",$G222,0))</f>
        <v>0</v>
      </c>
      <c r="S222" s="148" t="n">
        <f aca="false">VALUE(IF($D222="pot",$C222,0))+VALUE(IF($H222="pot",$G222,0))</f>
        <v>0</v>
      </c>
      <c r="T222" s="148" t="n">
        <f aca="false">VALUE(IF($D222="táb",$C222,0))+VALUE(IF($H222="táb",$G222,0))</f>
        <v>0</v>
      </c>
      <c r="U222" s="148" t="n">
        <f aca="false">VALUE(IF($D222="oma",$C222,0))+VALUE(IF($H222="oma",$G222,0))</f>
        <v>0</v>
      </c>
      <c r="V222" s="148" t="n">
        <f aca="false">VALUE(IF($D222="ces",$C222,0))+VALUE(IF($H222="ces",$G222,0))</f>
        <v>0</v>
      </c>
      <c r="W222" s="148" t="n">
        <f aca="false">VALUE(IF($D222="poš",$C222,0))+VALUE(IF($H222="poš",$G222,0))</f>
        <v>0</v>
      </c>
      <c r="X222" s="148" t="n">
        <f aca="false">VALUE(IF($D222="tel",$C222,0))+VALUE(IF($H222="tel",$G222,0))</f>
        <v>0</v>
      </c>
      <c r="Y222" s="148" t="n">
        <f aca="false">VALUE(IF($D222="dop",$C222,0))+VALUE(IF($H222="dop",$G222,0))</f>
        <v>0</v>
      </c>
      <c r="Z222" s="148" t="n">
        <f aca="false">VALUE(IF($D222="nák",$C222,0))+VALUE(IF($H222="nák",$G222,0))</f>
        <v>0</v>
      </c>
      <c r="AA222" s="148" t="n">
        <f aca="false">VALUE(IF($D222="náj",$C222,0))+VALUE(IF($H222="náj",$G222,0))</f>
        <v>0</v>
      </c>
      <c r="AB222" s="148" t="n">
        <f aca="false">VALUE(IF($D222="půj",$C222,0))+VALUE(IF($H222="půj",$G222,0))</f>
        <v>0</v>
      </c>
      <c r="AC222" s="148" t="n">
        <f aca="false">VALUE(IF($D222="vst",$C222,0))+VALUE(IF($H222="vst",$G222,0))</f>
        <v>0</v>
      </c>
      <c r="AD222" s="148" t="n">
        <f aca="false">VALUE(IF($D222="kop",$C222,0))+VALUE(IF($H222="kop",$G222,0))</f>
        <v>0</v>
      </c>
      <c r="AE222" s="148" t="n">
        <f aca="false">VALUE(IF($D222="osl",$C222,0))+VALUE(IF($H222="osl",$G222,0))</f>
        <v>0</v>
      </c>
      <c r="AF222" s="148" t="n">
        <f aca="false">VALUE(IF($D222="vra",$C222,0))+VALUE(IF($H222="vra",$G222,0))</f>
        <v>0</v>
      </c>
      <c r="AG222" s="148" t="n">
        <f aca="false">VALUE(IF($D222="zho",$C222,0))+VALUE(IF($H222="zho",$G222,0))</f>
        <v>0</v>
      </c>
      <c r="AH222" s="148" t="n">
        <f aca="false">VALUE(IF($D222="zbú",$C222,0))+VALUE(IF($H222="zbú",$G222,0))</f>
        <v>0</v>
      </c>
      <c r="AI222" s="148" t="n">
        <f aca="false">VALUE(IF($D222="pří",$C222,0))+VALUE(IF($H222="pří",$G222,0))</f>
        <v>0</v>
      </c>
      <c r="AJ222" s="148" t="n">
        <f aca="false">VALUE(IF($D222="dot",$C222,0))+VALUE(IF($H222="dot",$G222,0))</f>
        <v>0</v>
      </c>
      <c r="AK222" s="148" t="n">
        <f aca="false">VALUE(IF($D222="opř",$C222,0))+VALUE(IF($H222="opř",$G222,0))</f>
        <v>0</v>
      </c>
      <c r="AL222" s="148" t="n">
        <f aca="false">SUM(P222:AK222)</f>
        <v>0</v>
      </c>
      <c r="AN222" s="180" t="str">
        <f aca="false">CONCATENATE('Přehled akce'!$K$4," / ",'Přehled akce'!$K$5)</f>
        <v> / </v>
      </c>
      <c r="AO222" s="181" t="n">
        <f aca="false">IF('Příjmy a výdaje'!$G222="ano",'Příjmy a výdaje'!$B222,0)</f>
        <v>0</v>
      </c>
      <c r="AP222" s="182" t="n">
        <f aca="false">IF('Příjmy a výdaje'!$G222="ano",'Příjmy a výdaje'!$C222,0)</f>
        <v>0</v>
      </c>
      <c r="AQ222" s="183" t="n">
        <f aca="false">'Příjmy a výdaje'!$AP222</f>
        <v>0</v>
      </c>
    </row>
    <row r="223" customFormat="false" ht="12.75" hidden="false" customHeight="false" outlineLevel="0" collapsed="false">
      <c r="A223" s="169" t="n">
        <v>203</v>
      </c>
      <c r="B223" s="184"/>
      <c r="C223" s="194"/>
      <c r="D223" s="188"/>
      <c r="E223" s="188"/>
      <c r="F223" s="223"/>
      <c r="G223" s="224"/>
      <c r="H223" s="190"/>
      <c r="I223" s="177"/>
      <c r="J223" s="178" t="str">
        <f aca="false">IF(AL223=C223,IF(AL223=0,"-","ok"),"chyba")</f>
        <v>-</v>
      </c>
      <c r="K223" s="179"/>
      <c r="L223" s="179"/>
      <c r="M223" s="179"/>
      <c r="N223" s="179"/>
      <c r="P223" s="148" t="n">
        <f aca="false">VALUE(IF($D223="vyb",$C223,0))+VALUE(IF($H223="vyb",$G223,0))</f>
        <v>0</v>
      </c>
      <c r="Q223" s="148" t="n">
        <f aca="false">VALUE(IF($D223="mtv",$C223,0))+VALUE(IF($H223="mtv",$G223,0))</f>
        <v>0</v>
      </c>
      <c r="R223" s="148" t="n">
        <f aca="false">VALUE(IF($D223="mat",$C223,0))+VALUE(IF($H223="mat",$G223,0))</f>
        <v>0</v>
      </c>
      <c r="S223" s="148" t="n">
        <f aca="false">VALUE(IF($D223="pot",$C223,0))+VALUE(IF($H223="pot",$G223,0))</f>
        <v>0</v>
      </c>
      <c r="T223" s="148" t="n">
        <f aca="false">VALUE(IF($D223="táb",$C223,0))+VALUE(IF($H223="táb",$G223,0))</f>
        <v>0</v>
      </c>
      <c r="U223" s="148" t="n">
        <f aca="false">VALUE(IF($D223="oma",$C223,0))+VALUE(IF($H223="oma",$G223,0))</f>
        <v>0</v>
      </c>
      <c r="V223" s="148" t="n">
        <f aca="false">VALUE(IF($D223="ces",$C223,0))+VALUE(IF($H223="ces",$G223,0))</f>
        <v>0</v>
      </c>
      <c r="W223" s="148" t="n">
        <f aca="false">VALUE(IF($D223="poš",$C223,0))+VALUE(IF($H223="poš",$G223,0))</f>
        <v>0</v>
      </c>
      <c r="X223" s="148" t="n">
        <f aca="false">VALUE(IF($D223="tel",$C223,0))+VALUE(IF($H223="tel",$G223,0))</f>
        <v>0</v>
      </c>
      <c r="Y223" s="148" t="n">
        <f aca="false">VALUE(IF($D223="dop",$C223,0))+VALUE(IF($H223="dop",$G223,0))</f>
        <v>0</v>
      </c>
      <c r="Z223" s="148" t="n">
        <f aca="false">VALUE(IF($D223="nák",$C223,0))+VALUE(IF($H223="nák",$G223,0))</f>
        <v>0</v>
      </c>
      <c r="AA223" s="148" t="n">
        <f aca="false">VALUE(IF($D223="náj",$C223,0))+VALUE(IF($H223="náj",$G223,0))</f>
        <v>0</v>
      </c>
      <c r="AB223" s="148" t="n">
        <f aca="false">VALUE(IF($D223="půj",$C223,0))+VALUE(IF($H223="půj",$G223,0))</f>
        <v>0</v>
      </c>
      <c r="AC223" s="148" t="n">
        <f aca="false">VALUE(IF($D223="vst",$C223,0))+VALUE(IF($H223="vst",$G223,0))</f>
        <v>0</v>
      </c>
      <c r="AD223" s="148" t="n">
        <f aca="false">VALUE(IF($D223="kop",$C223,0))+VALUE(IF($H223="kop",$G223,0))</f>
        <v>0</v>
      </c>
      <c r="AE223" s="148" t="n">
        <f aca="false">VALUE(IF($D223="osl",$C223,0))+VALUE(IF($H223="osl",$G223,0))</f>
        <v>0</v>
      </c>
      <c r="AF223" s="148" t="n">
        <f aca="false">VALUE(IF($D223="vra",$C223,0))+VALUE(IF($H223="vra",$G223,0))</f>
        <v>0</v>
      </c>
      <c r="AG223" s="148" t="n">
        <f aca="false">VALUE(IF($D223="zho",$C223,0))+VALUE(IF($H223="zho",$G223,0))</f>
        <v>0</v>
      </c>
      <c r="AH223" s="148" t="n">
        <f aca="false">VALUE(IF($D223="zbú",$C223,0))+VALUE(IF($H223="zbú",$G223,0))</f>
        <v>0</v>
      </c>
      <c r="AI223" s="148" t="n">
        <f aca="false">VALUE(IF($D223="pří",$C223,0))+VALUE(IF($H223="pří",$G223,0))</f>
        <v>0</v>
      </c>
      <c r="AJ223" s="148" t="n">
        <f aca="false">VALUE(IF($D223="dot",$C223,0))+VALUE(IF($H223="dot",$G223,0))</f>
        <v>0</v>
      </c>
      <c r="AK223" s="148" t="n">
        <f aca="false">VALUE(IF($D223="opř",$C223,0))+VALUE(IF($H223="opř",$G223,0))</f>
        <v>0</v>
      </c>
      <c r="AL223" s="148" t="n">
        <f aca="false">SUM(P223:AK223)</f>
        <v>0</v>
      </c>
      <c r="AN223" s="180" t="str">
        <f aca="false">CONCATENATE('Přehled akce'!$K$4," / ",'Přehled akce'!$K$5)</f>
        <v> / </v>
      </c>
      <c r="AO223" s="181" t="n">
        <f aca="false">IF('Příjmy a výdaje'!$G223="ano",'Příjmy a výdaje'!$B223,0)</f>
        <v>0</v>
      </c>
      <c r="AP223" s="182" t="n">
        <f aca="false">IF('Příjmy a výdaje'!$G223="ano",'Příjmy a výdaje'!$C223,0)</f>
        <v>0</v>
      </c>
      <c r="AQ223" s="183" t="n">
        <f aca="false">'Příjmy a výdaje'!$AP223</f>
        <v>0</v>
      </c>
    </row>
    <row r="224" customFormat="false" ht="12.75" hidden="false" customHeight="false" outlineLevel="0" collapsed="false">
      <c r="A224" s="169" t="n">
        <v>204</v>
      </c>
      <c r="B224" s="184"/>
      <c r="C224" s="194"/>
      <c r="D224" s="188"/>
      <c r="E224" s="188"/>
      <c r="F224" s="223"/>
      <c r="G224" s="224"/>
      <c r="H224" s="190"/>
      <c r="I224" s="177"/>
      <c r="J224" s="178" t="str">
        <f aca="false">IF(AL224=C224,IF(AL224=0,"-","ok"),"chyba")</f>
        <v>-</v>
      </c>
      <c r="K224" s="179"/>
      <c r="L224" s="179"/>
      <c r="M224" s="179"/>
      <c r="N224" s="179"/>
      <c r="P224" s="148" t="n">
        <f aca="false">VALUE(IF($D224="vyb",$C224,0))+VALUE(IF($H224="vyb",$G224,0))</f>
        <v>0</v>
      </c>
      <c r="Q224" s="148" t="n">
        <f aca="false">VALUE(IF($D224="mtv",$C224,0))+VALUE(IF($H224="mtv",$G224,0))</f>
        <v>0</v>
      </c>
      <c r="R224" s="148" t="n">
        <f aca="false">VALUE(IF($D224="mat",$C224,0))+VALUE(IF($H224="mat",$G224,0))</f>
        <v>0</v>
      </c>
      <c r="S224" s="148" t="n">
        <f aca="false">VALUE(IF($D224="pot",$C224,0))+VALUE(IF($H224="pot",$G224,0))</f>
        <v>0</v>
      </c>
      <c r="T224" s="148" t="n">
        <f aca="false">VALUE(IF($D224="táb",$C224,0))+VALUE(IF($H224="táb",$G224,0))</f>
        <v>0</v>
      </c>
      <c r="U224" s="148" t="n">
        <f aca="false">VALUE(IF($D224="oma",$C224,0))+VALUE(IF($H224="oma",$G224,0))</f>
        <v>0</v>
      </c>
      <c r="V224" s="148" t="n">
        <f aca="false">VALUE(IF($D224="ces",$C224,0))+VALUE(IF($H224="ces",$G224,0))</f>
        <v>0</v>
      </c>
      <c r="W224" s="148" t="n">
        <f aca="false">VALUE(IF($D224="poš",$C224,0))+VALUE(IF($H224="poš",$G224,0))</f>
        <v>0</v>
      </c>
      <c r="X224" s="148" t="n">
        <f aca="false">VALUE(IF($D224="tel",$C224,0))+VALUE(IF($H224="tel",$G224,0))</f>
        <v>0</v>
      </c>
      <c r="Y224" s="148" t="n">
        <f aca="false">VALUE(IF($D224="dop",$C224,0))+VALUE(IF($H224="dop",$G224,0))</f>
        <v>0</v>
      </c>
      <c r="Z224" s="148" t="n">
        <f aca="false">VALUE(IF($D224="nák",$C224,0))+VALUE(IF($H224="nák",$G224,0))</f>
        <v>0</v>
      </c>
      <c r="AA224" s="148" t="n">
        <f aca="false">VALUE(IF($D224="náj",$C224,0))+VALUE(IF($H224="náj",$G224,0))</f>
        <v>0</v>
      </c>
      <c r="AB224" s="148" t="n">
        <f aca="false">VALUE(IF($D224="půj",$C224,0))+VALUE(IF($H224="půj",$G224,0))</f>
        <v>0</v>
      </c>
      <c r="AC224" s="148" t="n">
        <f aca="false">VALUE(IF($D224="vst",$C224,0))+VALUE(IF($H224="vst",$G224,0))</f>
        <v>0</v>
      </c>
      <c r="AD224" s="148" t="n">
        <f aca="false">VALUE(IF($D224="kop",$C224,0))+VALUE(IF($H224="kop",$G224,0))</f>
        <v>0</v>
      </c>
      <c r="AE224" s="148" t="n">
        <f aca="false">VALUE(IF($D224="osl",$C224,0))+VALUE(IF($H224="osl",$G224,0))</f>
        <v>0</v>
      </c>
      <c r="AF224" s="148" t="n">
        <f aca="false">VALUE(IF($D224="vra",$C224,0))+VALUE(IF($H224="vra",$G224,0))</f>
        <v>0</v>
      </c>
      <c r="AG224" s="148" t="n">
        <f aca="false">VALUE(IF($D224="zho",$C224,0))+VALUE(IF($H224="zho",$G224,0))</f>
        <v>0</v>
      </c>
      <c r="AH224" s="148" t="n">
        <f aca="false">VALUE(IF($D224="zbú",$C224,0))+VALUE(IF($H224="zbú",$G224,0))</f>
        <v>0</v>
      </c>
      <c r="AI224" s="148" t="n">
        <f aca="false">VALUE(IF($D224="pří",$C224,0))+VALUE(IF($H224="pří",$G224,0))</f>
        <v>0</v>
      </c>
      <c r="AJ224" s="148" t="n">
        <f aca="false">VALUE(IF($D224="dot",$C224,0))+VALUE(IF($H224="dot",$G224,0))</f>
        <v>0</v>
      </c>
      <c r="AK224" s="148" t="n">
        <f aca="false">VALUE(IF($D224="opř",$C224,0))+VALUE(IF($H224="opř",$G224,0))</f>
        <v>0</v>
      </c>
      <c r="AL224" s="148" t="n">
        <f aca="false">SUM(P224:AK224)</f>
        <v>0</v>
      </c>
      <c r="AN224" s="180" t="str">
        <f aca="false">CONCATENATE('Přehled akce'!$K$4," / ",'Přehled akce'!$K$5)</f>
        <v> / </v>
      </c>
      <c r="AO224" s="181" t="n">
        <f aca="false">IF('Příjmy a výdaje'!$G224="ano",'Příjmy a výdaje'!$B224,0)</f>
        <v>0</v>
      </c>
      <c r="AP224" s="182" t="n">
        <f aca="false">IF('Příjmy a výdaje'!$G224="ano",'Příjmy a výdaje'!$C224,0)</f>
        <v>0</v>
      </c>
      <c r="AQ224" s="183" t="n">
        <f aca="false">'Příjmy a výdaje'!$AP224</f>
        <v>0</v>
      </c>
    </row>
    <row r="225" customFormat="false" ht="12.75" hidden="false" customHeight="false" outlineLevel="0" collapsed="false">
      <c r="A225" s="169" t="n">
        <v>205</v>
      </c>
      <c r="B225" s="184"/>
      <c r="C225" s="194"/>
      <c r="D225" s="188"/>
      <c r="E225" s="188"/>
      <c r="F225" s="223"/>
      <c r="G225" s="224"/>
      <c r="H225" s="190"/>
      <c r="I225" s="177"/>
      <c r="J225" s="178" t="str">
        <f aca="false">IF(AL225=C225,IF(AL225=0,"-","ok"),"chyba")</f>
        <v>-</v>
      </c>
      <c r="K225" s="179"/>
      <c r="L225" s="179"/>
      <c r="M225" s="179"/>
      <c r="N225" s="179"/>
      <c r="P225" s="148" t="n">
        <f aca="false">VALUE(IF($D225="vyb",$C225,0))+VALUE(IF($H225="vyb",$G225,0))</f>
        <v>0</v>
      </c>
      <c r="Q225" s="148" t="n">
        <f aca="false">VALUE(IF($D225="mtv",$C225,0))+VALUE(IF($H225="mtv",$G225,0))</f>
        <v>0</v>
      </c>
      <c r="R225" s="148" t="n">
        <f aca="false">VALUE(IF($D225="mat",$C225,0))+VALUE(IF($H225="mat",$G225,0))</f>
        <v>0</v>
      </c>
      <c r="S225" s="148" t="n">
        <f aca="false">VALUE(IF($D225="pot",$C225,0))+VALUE(IF($H225="pot",$G225,0))</f>
        <v>0</v>
      </c>
      <c r="T225" s="148" t="n">
        <f aca="false">VALUE(IF($D225="táb",$C225,0))+VALUE(IF($H225="táb",$G225,0))</f>
        <v>0</v>
      </c>
      <c r="U225" s="148" t="n">
        <f aca="false">VALUE(IF($D225="oma",$C225,0))+VALUE(IF($H225="oma",$G225,0))</f>
        <v>0</v>
      </c>
      <c r="V225" s="148" t="n">
        <f aca="false">VALUE(IF($D225="ces",$C225,0))+VALUE(IF($H225="ces",$G225,0))</f>
        <v>0</v>
      </c>
      <c r="W225" s="148" t="n">
        <f aca="false">VALUE(IF($D225="poš",$C225,0))+VALUE(IF($H225="poš",$G225,0))</f>
        <v>0</v>
      </c>
      <c r="X225" s="148" t="n">
        <f aca="false">VALUE(IF($D225="tel",$C225,0))+VALUE(IF($H225="tel",$G225,0))</f>
        <v>0</v>
      </c>
      <c r="Y225" s="148" t="n">
        <f aca="false">VALUE(IF($D225="dop",$C225,0))+VALUE(IF($H225="dop",$G225,0))</f>
        <v>0</v>
      </c>
      <c r="Z225" s="148" t="n">
        <f aca="false">VALUE(IF($D225="nák",$C225,0))+VALUE(IF($H225="nák",$G225,0))</f>
        <v>0</v>
      </c>
      <c r="AA225" s="148" t="n">
        <f aca="false">VALUE(IF($D225="náj",$C225,0))+VALUE(IF($H225="náj",$G225,0))</f>
        <v>0</v>
      </c>
      <c r="AB225" s="148" t="n">
        <f aca="false">VALUE(IF($D225="půj",$C225,0))+VALUE(IF($H225="půj",$G225,0))</f>
        <v>0</v>
      </c>
      <c r="AC225" s="148" t="n">
        <f aca="false">VALUE(IF($D225="vst",$C225,0))+VALUE(IF($H225="vst",$G225,0))</f>
        <v>0</v>
      </c>
      <c r="AD225" s="148" t="n">
        <f aca="false">VALUE(IF($D225="kop",$C225,0))+VALUE(IF($H225="kop",$G225,0))</f>
        <v>0</v>
      </c>
      <c r="AE225" s="148" t="n">
        <f aca="false">VALUE(IF($D225="osl",$C225,0))+VALUE(IF($H225="osl",$G225,0))</f>
        <v>0</v>
      </c>
      <c r="AF225" s="148" t="n">
        <f aca="false">VALUE(IF($D225="vra",$C225,0))+VALUE(IF($H225="vra",$G225,0))</f>
        <v>0</v>
      </c>
      <c r="AG225" s="148" t="n">
        <f aca="false">VALUE(IF($D225="zho",$C225,0))+VALUE(IF($H225="zho",$G225,0))</f>
        <v>0</v>
      </c>
      <c r="AH225" s="148" t="n">
        <f aca="false">VALUE(IF($D225="zbú",$C225,0))+VALUE(IF($H225="zbú",$G225,0))</f>
        <v>0</v>
      </c>
      <c r="AI225" s="148" t="n">
        <f aca="false">VALUE(IF($D225="pří",$C225,0))+VALUE(IF($H225="pří",$G225,0))</f>
        <v>0</v>
      </c>
      <c r="AJ225" s="148" t="n">
        <f aca="false">VALUE(IF($D225="dot",$C225,0))+VALUE(IF($H225="dot",$G225,0))</f>
        <v>0</v>
      </c>
      <c r="AK225" s="148" t="n">
        <f aca="false">VALUE(IF($D225="opř",$C225,0))+VALUE(IF($H225="opř",$G225,0))</f>
        <v>0</v>
      </c>
      <c r="AL225" s="148" t="n">
        <f aca="false">SUM(P225:AK225)</f>
        <v>0</v>
      </c>
      <c r="AN225" s="180" t="str">
        <f aca="false">CONCATENATE('Přehled akce'!$K$4," / ",'Přehled akce'!$K$5)</f>
        <v> / </v>
      </c>
      <c r="AO225" s="181" t="n">
        <f aca="false">IF('Příjmy a výdaje'!$G225="ano",'Příjmy a výdaje'!$B225,0)</f>
        <v>0</v>
      </c>
      <c r="AP225" s="182" t="n">
        <f aca="false">IF('Příjmy a výdaje'!$G225="ano",'Příjmy a výdaje'!$C225,0)</f>
        <v>0</v>
      </c>
      <c r="AQ225" s="183" t="n">
        <f aca="false">'Příjmy a výdaje'!$AP225</f>
        <v>0</v>
      </c>
    </row>
    <row r="226" customFormat="false" ht="12.75" hidden="false" customHeight="false" outlineLevel="0" collapsed="false">
      <c r="A226" s="169" t="n">
        <v>206</v>
      </c>
      <c r="B226" s="184"/>
      <c r="C226" s="194"/>
      <c r="D226" s="188"/>
      <c r="E226" s="188"/>
      <c r="F226" s="223"/>
      <c r="G226" s="224"/>
      <c r="H226" s="190"/>
      <c r="I226" s="177"/>
      <c r="J226" s="178" t="str">
        <f aca="false">IF(AL226=C226,IF(AL226=0,"-","ok"),"chyba")</f>
        <v>-</v>
      </c>
      <c r="K226" s="179"/>
      <c r="L226" s="179"/>
      <c r="M226" s="179"/>
      <c r="N226" s="179"/>
      <c r="P226" s="148" t="n">
        <f aca="false">VALUE(IF($D226="vyb",$C226,0))+VALUE(IF($H226="vyb",$G226,0))</f>
        <v>0</v>
      </c>
      <c r="Q226" s="148" t="n">
        <f aca="false">VALUE(IF($D226="mtv",$C226,0))+VALUE(IF($H226="mtv",$G226,0))</f>
        <v>0</v>
      </c>
      <c r="R226" s="148" t="n">
        <f aca="false">VALUE(IF($D226="mat",$C226,0))+VALUE(IF($H226="mat",$G226,0))</f>
        <v>0</v>
      </c>
      <c r="S226" s="148" t="n">
        <f aca="false">VALUE(IF($D226="pot",$C226,0))+VALUE(IF($H226="pot",$G226,0))</f>
        <v>0</v>
      </c>
      <c r="T226" s="148" t="n">
        <f aca="false">VALUE(IF($D226="táb",$C226,0))+VALUE(IF($H226="táb",$G226,0))</f>
        <v>0</v>
      </c>
      <c r="U226" s="148" t="n">
        <f aca="false">VALUE(IF($D226="oma",$C226,0))+VALUE(IF($H226="oma",$G226,0))</f>
        <v>0</v>
      </c>
      <c r="V226" s="148" t="n">
        <f aca="false">VALUE(IF($D226="ces",$C226,0))+VALUE(IF($H226="ces",$G226,0))</f>
        <v>0</v>
      </c>
      <c r="W226" s="148" t="n">
        <f aca="false">VALUE(IF($D226="poš",$C226,0))+VALUE(IF($H226="poš",$G226,0))</f>
        <v>0</v>
      </c>
      <c r="X226" s="148" t="n">
        <f aca="false">VALUE(IF($D226="tel",$C226,0))+VALUE(IF($H226="tel",$G226,0))</f>
        <v>0</v>
      </c>
      <c r="Y226" s="148" t="n">
        <f aca="false">VALUE(IF($D226="dop",$C226,0))+VALUE(IF($H226="dop",$G226,0))</f>
        <v>0</v>
      </c>
      <c r="Z226" s="148" t="n">
        <f aca="false">VALUE(IF($D226="nák",$C226,0))+VALUE(IF($H226="nák",$G226,0))</f>
        <v>0</v>
      </c>
      <c r="AA226" s="148" t="n">
        <f aca="false">VALUE(IF($D226="náj",$C226,0))+VALUE(IF($H226="náj",$G226,0))</f>
        <v>0</v>
      </c>
      <c r="AB226" s="148" t="n">
        <f aca="false">VALUE(IF($D226="půj",$C226,0))+VALUE(IF($H226="půj",$G226,0))</f>
        <v>0</v>
      </c>
      <c r="AC226" s="148" t="n">
        <f aca="false">VALUE(IF($D226="vst",$C226,0))+VALUE(IF($H226="vst",$G226,0))</f>
        <v>0</v>
      </c>
      <c r="AD226" s="148" t="n">
        <f aca="false">VALUE(IF($D226="kop",$C226,0))+VALUE(IF($H226="kop",$G226,0))</f>
        <v>0</v>
      </c>
      <c r="AE226" s="148" t="n">
        <f aca="false">VALUE(IF($D226="osl",$C226,0))+VALUE(IF($H226="osl",$G226,0))</f>
        <v>0</v>
      </c>
      <c r="AF226" s="148" t="n">
        <f aca="false">VALUE(IF($D226="vra",$C226,0))+VALUE(IF($H226="vra",$G226,0))</f>
        <v>0</v>
      </c>
      <c r="AG226" s="148" t="n">
        <f aca="false">VALUE(IF($D226="zho",$C226,0))+VALUE(IF($H226="zho",$G226,0))</f>
        <v>0</v>
      </c>
      <c r="AH226" s="148" t="n">
        <f aca="false">VALUE(IF($D226="zbú",$C226,0))+VALUE(IF($H226="zbú",$G226,0))</f>
        <v>0</v>
      </c>
      <c r="AI226" s="148" t="n">
        <f aca="false">VALUE(IF($D226="pří",$C226,0))+VALUE(IF($H226="pří",$G226,0))</f>
        <v>0</v>
      </c>
      <c r="AJ226" s="148" t="n">
        <f aca="false">VALUE(IF($D226="dot",$C226,0))+VALUE(IF($H226="dot",$G226,0))</f>
        <v>0</v>
      </c>
      <c r="AK226" s="148" t="n">
        <f aca="false">VALUE(IF($D226="opř",$C226,0))+VALUE(IF($H226="opř",$G226,0))</f>
        <v>0</v>
      </c>
      <c r="AL226" s="148" t="n">
        <f aca="false">SUM(P226:AK226)</f>
        <v>0</v>
      </c>
      <c r="AN226" s="180" t="str">
        <f aca="false">CONCATENATE('Přehled akce'!$K$4," / ",'Přehled akce'!$K$5)</f>
        <v> / </v>
      </c>
      <c r="AO226" s="181" t="n">
        <f aca="false">IF('Příjmy a výdaje'!$G226="ano",'Příjmy a výdaje'!$B226,0)</f>
        <v>0</v>
      </c>
      <c r="AP226" s="182" t="n">
        <f aca="false">IF('Příjmy a výdaje'!$G226="ano",'Příjmy a výdaje'!$C226,0)</f>
        <v>0</v>
      </c>
      <c r="AQ226" s="183" t="n">
        <f aca="false">'Příjmy a výdaje'!$AP226</f>
        <v>0</v>
      </c>
    </row>
    <row r="227" customFormat="false" ht="12.75" hidden="false" customHeight="false" outlineLevel="0" collapsed="false">
      <c r="A227" s="169" t="n">
        <v>207</v>
      </c>
      <c r="B227" s="184"/>
      <c r="C227" s="194"/>
      <c r="D227" s="188"/>
      <c r="E227" s="188"/>
      <c r="F227" s="223"/>
      <c r="G227" s="224"/>
      <c r="H227" s="190"/>
      <c r="I227" s="177"/>
      <c r="J227" s="178" t="str">
        <f aca="false">IF(AL227=C227,IF(AL227=0,"-","ok"),"chyba")</f>
        <v>-</v>
      </c>
      <c r="K227" s="179"/>
      <c r="L227" s="179"/>
      <c r="M227" s="179"/>
      <c r="N227" s="179"/>
      <c r="P227" s="148" t="n">
        <f aca="false">VALUE(IF($D227="vyb",$C227,0))+VALUE(IF($H227="vyb",$G227,0))</f>
        <v>0</v>
      </c>
      <c r="Q227" s="148" t="n">
        <f aca="false">VALUE(IF($D227="mtv",$C227,0))+VALUE(IF($H227="mtv",$G227,0))</f>
        <v>0</v>
      </c>
      <c r="R227" s="148" t="n">
        <f aca="false">VALUE(IF($D227="mat",$C227,0))+VALUE(IF($H227="mat",$G227,0))</f>
        <v>0</v>
      </c>
      <c r="S227" s="148" t="n">
        <f aca="false">VALUE(IF($D227="pot",$C227,0))+VALUE(IF($H227="pot",$G227,0))</f>
        <v>0</v>
      </c>
      <c r="T227" s="148" t="n">
        <f aca="false">VALUE(IF($D227="táb",$C227,0))+VALUE(IF($H227="táb",$G227,0))</f>
        <v>0</v>
      </c>
      <c r="U227" s="148" t="n">
        <f aca="false">VALUE(IF($D227="oma",$C227,0))+VALUE(IF($H227="oma",$G227,0))</f>
        <v>0</v>
      </c>
      <c r="V227" s="148" t="n">
        <f aca="false">VALUE(IF($D227="ces",$C227,0))+VALUE(IF($H227="ces",$G227,0))</f>
        <v>0</v>
      </c>
      <c r="W227" s="148" t="n">
        <f aca="false">VALUE(IF($D227="poš",$C227,0))+VALUE(IF($H227="poš",$G227,0))</f>
        <v>0</v>
      </c>
      <c r="X227" s="148" t="n">
        <f aca="false">VALUE(IF($D227="tel",$C227,0))+VALUE(IF($H227="tel",$G227,0))</f>
        <v>0</v>
      </c>
      <c r="Y227" s="148" t="n">
        <f aca="false">VALUE(IF($D227="dop",$C227,0))+VALUE(IF($H227="dop",$G227,0))</f>
        <v>0</v>
      </c>
      <c r="Z227" s="148" t="n">
        <f aca="false">VALUE(IF($D227="nák",$C227,0))+VALUE(IF($H227="nák",$G227,0))</f>
        <v>0</v>
      </c>
      <c r="AA227" s="148" t="n">
        <f aca="false">VALUE(IF($D227="náj",$C227,0))+VALUE(IF($H227="náj",$G227,0))</f>
        <v>0</v>
      </c>
      <c r="AB227" s="148" t="n">
        <f aca="false">VALUE(IF($D227="půj",$C227,0))+VALUE(IF($H227="půj",$G227,0))</f>
        <v>0</v>
      </c>
      <c r="AC227" s="148" t="n">
        <f aca="false">VALUE(IF($D227="vst",$C227,0))+VALUE(IF($H227="vst",$G227,0))</f>
        <v>0</v>
      </c>
      <c r="AD227" s="148" t="n">
        <f aca="false">VALUE(IF($D227="kop",$C227,0))+VALUE(IF($H227="kop",$G227,0))</f>
        <v>0</v>
      </c>
      <c r="AE227" s="148" t="n">
        <f aca="false">VALUE(IF($D227="osl",$C227,0))+VALUE(IF($H227="osl",$G227,0))</f>
        <v>0</v>
      </c>
      <c r="AF227" s="148" t="n">
        <f aca="false">VALUE(IF($D227="vra",$C227,0))+VALUE(IF($H227="vra",$G227,0))</f>
        <v>0</v>
      </c>
      <c r="AG227" s="148" t="n">
        <f aca="false">VALUE(IF($D227="zho",$C227,0))+VALUE(IF($H227="zho",$G227,0))</f>
        <v>0</v>
      </c>
      <c r="AH227" s="148" t="n">
        <f aca="false">VALUE(IF($D227="zbú",$C227,0))+VALUE(IF($H227="zbú",$G227,0))</f>
        <v>0</v>
      </c>
      <c r="AI227" s="148" t="n">
        <f aca="false">VALUE(IF($D227="pří",$C227,0))+VALUE(IF($H227="pří",$G227,0))</f>
        <v>0</v>
      </c>
      <c r="AJ227" s="148" t="n">
        <f aca="false">VALUE(IF($D227="dot",$C227,0))+VALUE(IF($H227="dot",$G227,0))</f>
        <v>0</v>
      </c>
      <c r="AK227" s="148" t="n">
        <f aca="false">VALUE(IF($D227="opř",$C227,0))+VALUE(IF($H227="opř",$G227,0))</f>
        <v>0</v>
      </c>
      <c r="AL227" s="148" t="n">
        <f aca="false">SUM(P227:AK227)</f>
        <v>0</v>
      </c>
      <c r="AN227" s="180" t="str">
        <f aca="false">CONCATENATE('Přehled akce'!$K$4," / ",'Přehled akce'!$K$5)</f>
        <v> / </v>
      </c>
      <c r="AO227" s="181" t="n">
        <f aca="false">IF('Příjmy a výdaje'!$G227="ano",'Příjmy a výdaje'!$B227,0)</f>
        <v>0</v>
      </c>
      <c r="AP227" s="182" t="n">
        <f aca="false">IF('Příjmy a výdaje'!$G227="ano",'Příjmy a výdaje'!$C227,0)</f>
        <v>0</v>
      </c>
      <c r="AQ227" s="183" t="n">
        <f aca="false">'Příjmy a výdaje'!$AP227</f>
        <v>0</v>
      </c>
    </row>
    <row r="228" customFormat="false" ht="12.75" hidden="false" customHeight="false" outlineLevel="0" collapsed="false">
      <c r="A228" s="169" t="n">
        <v>208</v>
      </c>
      <c r="B228" s="184"/>
      <c r="C228" s="194"/>
      <c r="D228" s="188"/>
      <c r="E228" s="188"/>
      <c r="F228" s="223"/>
      <c r="G228" s="224"/>
      <c r="H228" s="190"/>
      <c r="I228" s="177"/>
      <c r="J228" s="178" t="str">
        <f aca="false">IF(AL228=C228,IF(AL228=0,"-","ok"),"chyba")</f>
        <v>-</v>
      </c>
      <c r="K228" s="179"/>
      <c r="L228" s="179"/>
      <c r="M228" s="179"/>
      <c r="N228" s="179"/>
      <c r="P228" s="148" t="n">
        <f aca="false">VALUE(IF($D228="vyb",$C228,0))+VALUE(IF($H228="vyb",$G228,0))</f>
        <v>0</v>
      </c>
      <c r="Q228" s="148" t="n">
        <f aca="false">VALUE(IF($D228="mtv",$C228,0))+VALUE(IF($H228="mtv",$G228,0))</f>
        <v>0</v>
      </c>
      <c r="R228" s="148" t="n">
        <f aca="false">VALUE(IF($D228="mat",$C228,0))+VALUE(IF($H228="mat",$G228,0))</f>
        <v>0</v>
      </c>
      <c r="S228" s="148" t="n">
        <f aca="false">VALUE(IF($D228="pot",$C228,0))+VALUE(IF($H228="pot",$G228,0))</f>
        <v>0</v>
      </c>
      <c r="T228" s="148" t="n">
        <f aca="false">VALUE(IF($D228="táb",$C228,0))+VALUE(IF($H228="táb",$G228,0))</f>
        <v>0</v>
      </c>
      <c r="U228" s="148" t="n">
        <f aca="false">VALUE(IF($D228="oma",$C228,0))+VALUE(IF($H228="oma",$G228,0))</f>
        <v>0</v>
      </c>
      <c r="V228" s="148" t="n">
        <f aca="false">VALUE(IF($D228="ces",$C228,0))+VALUE(IF($H228="ces",$G228,0))</f>
        <v>0</v>
      </c>
      <c r="W228" s="148" t="n">
        <f aca="false">VALUE(IF($D228="poš",$C228,0))+VALUE(IF($H228="poš",$G228,0))</f>
        <v>0</v>
      </c>
      <c r="X228" s="148" t="n">
        <f aca="false">VALUE(IF($D228="tel",$C228,0))+VALUE(IF($H228="tel",$G228,0))</f>
        <v>0</v>
      </c>
      <c r="Y228" s="148" t="n">
        <f aca="false">VALUE(IF($D228="dop",$C228,0))+VALUE(IF($H228="dop",$G228,0))</f>
        <v>0</v>
      </c>
      <c r="Z228" s="148" t="n">
        <f aca="false">VALUE(IF($D228="nák",$C228,0))+VALUE(IF($H228="nák",$G228,0))</f>
        <v>0</v>
      </c>
      <c r="AA228" s="148" t="n">
        <f aca="false">VALUE(IF($D228="náj",$C228,0))+VALUE(IF($H228="náj",$G228,0))</f>
        <v>0</v>
      </c>
      <c r="AB228" s="148" t="n">
        <f aca="false">VALUE(IF($D228="půj",$C228,0))+VALUE(IF($H228="půj",$G228,0))</f>
        <v>0</v>
      </c>
      <c r="AC228" s="148" t="n">
        <f aca="false">VALUE(IF($D228="vst",$C228,0))+VALUE(IF($H228="vst",$G228,0))</f>
        <v>0</v>
      </c>
      <c r="AD228" s="148" t="n">
        <f aca="false">VALUE(IF($D228="kop",$C228,0))+VALUE(IF($H228="kop",$G228,0))</f>
        <v>0</v>
      </c>
      <c r="AE228" s="148" t="n">
        <f aca="false">VALUE(IF($D228="osl",$C228,0))+VALUE(IF($H228="osl",$G228,0))</f>
        <v>0</v>
      </c>
      <c r="AF228" s="148" t="n">
        <f aca="false">VALUE(IF($D228="vra",$C228,0))+VALUE(IF($H228="vra",$G228,0))</f>
        <v>0</v>
      </c>
      <c r="AG228" s="148" t="n">
        <f aca="false">VALUE(IF($D228="zho",$C228,0))+VALUE(IF($H228="zho",$G228,0))</f>
        <v>0</v>
      </c>
      <c r="AH228" s="148" t="n">
        <f aca="false">VALUE(IF($D228="zbú",$C228,0))+VALUE(IF($H228="zbú",$G228,0))</f>
        <v>0</v>
      </c>
      <c r="AI228" s="148" t="n">
        <f aca="false">VALUE(IF($D228="pří",$C228,0))+VALUE(IF($H228="pří",$G228,0))</f>
        <v>0</v>
      </c>
      <c r="AJ228" s="148" t="n">
        <f aca="false">VALUE(IF($D228="dot",$C228,0))+VALUE(IF($H228="dot",$G228,0))</f>
        <v>0</v>
      </c>
      <c r="AK228" s="148" t="n">
        <f aca="false">VALUE(IF($D228="opř",$C228,0))+VALUE(IF($H228="opř",$G228,0))</f>
        <v>0</v>
      </c>
      <c r="AL228" s="148" t="n">
        <f aca="false">SUM(P228:AK228)</f>
        <v>0</v>
      </c>
      <c r="AN228" s="180" t="str">
        <f aca="false">CONCATENATE('Přehled akce'!$K$4," / ",'Přehled akce'!$K$5)</f>
        <v> / </v>
      </c>
      <c r="AO228" s="181" t="n">
        <f aca="false">IF('Příjmy a výdaje'!$G228="ano",'Příjmy a výdaje'!$B228,0)</f>
        <v>0</v>
      </c>
      <c r="AP228" s="182" t="n">
        <f aca="false">IF('Příjmy a výdaje'!$G228="ano",'Příjmy a výdaje'!$C228,0)</f>
        <v>0</v>
      </c>
      <c r="AQ228" s="183" t="n">
        <f aca="false">'Příjmy a výdaje'!$AP228</f>
        <v>0</v>
      </c>
    </row>
    <row r="229" customFormat="false" ht="12.75" hidden="false" customHeight="false" outlineLevel="0" collapsed="false">
      <c r="A229" s="169" t="n">
        <v>209</v>
      </c>
      <c r="B229" s="184"/>
      <c r="C229" s="194"/>
      <c r="D229" s="188"/>
      <c r="E229" s="188"/>
      <c r="F229" s="223"/>
      <c r="G229" s="224"/>
      <c r="H229" s="190"/>
      <c r="I229" s="177"/>
      <c r="J229" s="178" t="str">
        <f aca="false">IF(AL229=C229,IF(AL229=0,"-","ok"),"chyba")</f>
        <v>-</v>
      </c>
      <c r="K229" s="179"/>
      <c r="L229" s="179"/>
      <c r="M229" s="179"/>
      <c r="N229" s="179"/>
      <c r="P229" s="148" t="n">
        <f aca="false">VALUE(IF($D229="vyb",$C229,0))+VALUE(IF($H229="vyb",$G229,0))</f>
        <v>0</v>
      </c>
      <c r="Q229" s="148" t="n">
        <f aca="false">VALUE(IF($D229="mtv",$C229,0))+VALUE(IF($H229="mtv",$G229,0))</f>
        <v>0</v>
      </c>
      <c r="R229" s="148" t="n">
        <f aca="false">VALUE(IF($D229="mat",$C229,0))+VALUE(IF($H229="mat",$G229,0))</f>
        <v>0</v>
      </c>
      <c r="S229" s="148" t="n">
        <f aca="false">VALUE(IF($D229="pot",$C229,0))+VALUE(IF($H229="pot",$G229,0))</f>
        <v>0</v>
      </c>
      <c r="T229" s="148" t="n">
        <f aca="false">VALUE(IF($D229="táb",$C229,0))+VALUE(IF($H229="táb",$G229,0))</f>
        <v>0</v>
      </c>
      <c r="U229" s="148" t="n">
        <f aca="false">VALUE(IF($D229="oma",$C229,0))+VALUE(IF($H229="oma",$G229,0))</f>
        <v>0</v>
      </c>
      <c r="V229" s="148" t="n">
        <f aca="false">VALUE(IF($D229="ces",$C229,0))+VALUE(IF($H229="ces",$G229,0))</f>
        <v>0</v>
      </c>
      <c r="W229" s="148" t="n">
        <f aca="false">VALUE(IF($D229="poš",$C229,0))+VALUE(IF($H229="poš",$G229,0))</f>
        <v>0</v>
      </c>
      <c r="X229" s="148" t="n">
        <f aca="false">VALUE(IF($D229="tel",$C229,0))+VALUE(IF($H229="tel",$G229,0))</f>
        <v>0</v>
      </c>
      <c r="Y229" s="148" t="n">
        <f aca="false">VALUE(IF($D229="dop",$C229,0))+VALUE(IF($H229="dop",$G229,0))</f>
        <v>0</v>
      </c>
      <c r="Z229" s="148" t="n">
        <f aca="false">VALUE(IF($D229="nák",$C229,0))+VALUE(IF($H229="nák",$G229,0))</f>
        <v>0</v>
      </c>
      <c r="AA229" s="148" t="n">
        <f aca="false">VALUE(IF($D229="náj",$C229,0))+VALUE(IF($H229="náj",$G229,0))</f>
        <v>0</v>
      </c>
      <c r="AB229" s="148" t="n">
        <f aca="false">VALUE(IF($D229="půj",$C229,0))+VALUE(IF($H229="půj",$G229,0))</f>
        <v>0</v>
      </c>
      <c r="AC229" s="148" t="n">
        <f aca="false">VALUE(IF($D229="vst",$C229,0))+VALUE(IF($H229="vst",$G229,0))</f>
        <v>0</v>
      </c>
      <c r="AD229" s="148" t="n">
        <f aca="false">VALUE(IF($D229="kop",$C229,0))+VALUE(IF($H229="kop",$G229,0))</f>
        <v>0</v>
      </c>
      <c r="AE229" s="148" t="n">
        <f aca="false">VALUE(IF($D229="osl",$C229,0))+VALUE(IF($H229="osl",$G229,0))</f>
        <v>0</v>
      </c>
      <c r="AF229" s="148" t="n">
        <f aca="false">VALUE(IF($D229="vra",$C229,0))+VALUE(IF($H229="vra",$G229,0))</f>
        <v>0</v>
      </c>
      <c r="AG229" s="148" t="n">
        <f aca="false">VALUE(IF($D229="zho",$C229,0))+VALUE(IF($H229="zho",$G229,0))</f>
        <v>0</v>
      </c>
      <c r="AH229" s="148" t="n">
        <f aca="false">VALUE(IF($D229="zbú",$C229,0))+VALUE(IF($H229="zbú",$G229,0))</f>
        <v>0</v>
      </c>
      <c r="AI229" s="148" t="n">
        <f aca="false">VALUE(IF($D229="pří",$C229,0))+VALUE(IF($H229="pří",$G229,0))</f>
        <v>0</v>
      </c>
      <c r="AJ229" s="148" t="n">
        <f aca="false">VALUE(IF($D229="dot",$C229,0))+VALUE(IF($H229="dot",$G229,0))</f>
        <v>0</v>
      </c>
      <c r="AK229" s="148" t="n">
        <f aca="false">VALUE(IF($D229="opř",$C229,0))+VALUE(IF($H229="opř",$G229,0))</f>
        <v>0</v>
      </c>
      <c r="AL229" s="148" t="n">
        <f aca="false">SUM(P229:AK229)</f>
        <v>0</v>
      </c>
      <c r="AN229" s="180" t="str">
        <f aca="false">CONCATENATE('Přehled akce'!$K$4," / ",'Přehled akce'!$K$5)</f>
        <v> / </v>
      </c>
      <c r="AO229" s="181" t="n">
        <f aca="false">IF('Příjmy a výdaje'!$G229="ano",'Příjmy a výdaje'!$B229,0)</f>
        <v>0</v>
      </c>
      <c r="AP229" s="182" t="n">
        <f aca="false">IF('Příjmy a výdaje'!$G229="ano",'Příjmy a výdaje'!$C229,0)</f>
        <v>0</v>
      </c>
      <c r="AQ229" s="183" t="n">
        <f aca="false">'Příjmy a výdaje'!$AP229</f>
        <v>0</v>
      </c>
    </row>
    <row r="230" customFormat="false" ht="12.75" hidden="false" customHeight="false" outlineLevel="0" collapsed="false">
      <c r="A230" s="169" t="n">
        <v>210</v>
      </c>
      <c r="B230" s="184"/>
      <c r="C230" s="194"/>
      <c r="D230" s="188"/>
      <c r="E230" s="188"/>
      <c r="F230" s="223"/>
      <c r="G230" s="224"/>
      <c r="H230" s="190"/>
      <c r="I230" s="177"/>
      <c r="J230" s="178" t="str">
        <f aca="false">IF(AL230=C230,IF(AL230=0,"-","ok"),"chyba")</f>
        <v>-</v>
      </c>
      <c r="K230" s="179"/>
      <c r="L230" s="179"/>
      <c r="M230" s="179"/>
      <c r="N230" s="179"/>
      <c r="P230" s="148" t="n">
        <f aca="false">VALUE(IF($D230="vyb",$C230,0))+VALUE(IF($H230="vyb",$G230,0))</f>
        <v>0</v>
      </c>
      <c r="Q230" s="148" t="n">
        <f aca="false">VALUE(IF($D230="mtv",$C230,0))+VALUE(IF($H230="mtv",$G230,0))</f>
        <v>0</v>
      </c>
      <c r="R230" s="148" t="n">
        <f aca="false">VALUE(IF($D230="mat",$C230,0))+VALUE(IF($H230="mat",$G230,0))</f>
        <v>0</v>
      </c>
      <c r="S230" s="148" t="n">
        <f aca="false">VALUE(IF($D230="pot",$C230,0))+VALUE(IF($H230="pot",$G230,0))</f>
        <v>0</v>
      </c>
      <c r="T230" s="148" t="n">
        <f aca="false">VALUE(IF($D230="táb",$C230,0))+VALUE(IF($H230="táb",$G230,0))</f>
        <v>0</v>
      </c>
      <c r="U230" s="148" t="n">
        <f aca="false">VALUE(IF($D230="oma",$C230,0))+VALUE(IF($H230="oma",$G230,0))</f>
        <v>0</v>
      </c>
      <c r="V230" s="148" t="n">
        <f aca="false">VALUE(IF($D230="ces",$C230,0))+VALUE(IF($H230="ces",$G230,0))</f>
        <v>0</v>
      </c>
      <c r="W230" s="148" t="n">
        <f aca="false">VALUE(IF($D230="poš",$C230,0))+VALUE(IF($H230="poš",$G230,0))</f>
        <v>0</v>
      </c>
      <c r="X230" s="148" t="n">
        <f aca="false">VALUE(IF($D230="tel",$C230,0))+VALUE(IF($H230="tel",$G230,0))</f>
        <v>0</v>
      </c>
      <c r="Y230" s="148" t="n">
        <f aca="false">VALUE(IF($D230="dop",$C230,0))+VALUE(IF($H230="dop",$G230,0))</f>
        <v>0</v>
      </c>
      <c r="Z230" s="148" t="n">
        <f aca="false">VALUE(IF($D230="nák",$C230,0))+VALUE(IF($H230="nák",$G230,0))</f>
        <v>0</v>
      </c>
      <c r="AA230" s="148" t="n">
        <f aca="false">VALUE(IF($D230="náj",$C230,0))+VALUE(IF($H230="náj",$G230,0))</f>
        <v>0</v>
      </c>
      <c r="AB230" s="148" t="n">
        <f aca="false">VALUE(IF($D230="půj",$C230,0))+VALUE(IF($H230="půj",$G230,0))</f>
        <v>0</v>
      </c>
      <c r="AC230" s="148" t="n">
        <f aca="false">VALUE(IF($D230="vst",$C230,0))+VALUE(IF($H230="vst",$G230,0))</f>
        <v>0</v>
      </c>
      <c r="AD230" s="148" t="n">
        <f aca="false">VALUE(IF($D230="kop",$C230,0))+VALUE(IF($H230="kop",$G230,0))</f>
        <v>0</v>
      </c>
      <c r="AE230" s="148" t="n">
        <f aca="false">VALUE(IF($D230="osl",$C230,0))+VALUE(IF($H230="osl",$G230,0))</f>
        <v>0</v>
      </c>
      <c r="AF230" s="148" t="n">
        <f aca="false">VALUE(IF($D230="vra",$C230,0))+VALUE(IF($H230="vra",$G230,0))</f>
        <v>0</v>
      </c>
      <c r="AG230" s="148" t="n">
        <f aca="false">VALUE(IF($D230="zho",$C230,0))+VALUE(IF($H230="zho",$G230,0))</f>
        <v>0</v>
      </c>
      <c r="AH230" s="148" t="n">
        <f aca="false">VALUE(IF($D230="zbú",$C230,0))+VALUE(IF($H230="zbú",$G230,0))</f>
        <v>0</v>
      </c>
      <c r="AI230" s="148" t="n">
        <f aca="false">VALUE(IF($D230="pří",$C230,0))+VALUE(IF($H230="pří",$G230,0))</f>
        <v>0</v>
      </c>
      <c r="AJ230" s="148" t="n">
        <f aca="false">VALUE(IF($D230="dot",$C230,0))+VALUE(IF($H230="dot",$G230,0))</f>
        <v>0</v>
      </c>
      <c r="AK230" s="148" t="n">
        <f aca="false">VALUE(IF($D230="opř",$C230,0))+VALUE(IF($H230="opř",$G230,0))</f>
        <v>0</v>
      </c>
      <c r="AL230" s="148" t="n">
        <f aca="false">SUM(P230:AK230)</f>
        <v>0</v>
      </c>
      <c r="AN230" s="180" t="str">
        <f aca="false">CONCATENATE('Přehled akce'!$K$4," / ",'Přehled akce'!$K$5)</f>
        <v> / </v>
      </c>
      <c r="AO230" s="181" t="n">
        <f aca="false">IF('Příjmy a výdaje'!$G230="ano",'Příjmy a výdaje'!$B230,0)</f>
        <v>0</v>
      </c>
      <c r="AP230" s="182" t="n">
        <f aca="false">IF('Příjmy a výdaje'!$G230="ano",'Příjmy a výdaje'!$C230,0)</f>
        <v>0</v>
      </c>
      <c r="AQ230" s="183" t="n">
        <f aca="false">'Příjmy a výdaje'!$AP230</f>
        <v>0</v>
      </c>
    </row>
    <row r="231" customFormat="false" ht="12.75" hidden="false" customHeight="false" outlineLevel="0" collapsed="false">
      <c r="A231" s="169" t="n">
        <v>211</v>
      </c>
      <c r="B231" s="184"/>
      <c r="C231" s="194"/>
      <c r="D231" s="188"/>
      <c r="E231" s="188"/>
      <c r="F231" s="223"/>
      <c r="G231" s="224"/>
      <c r="H231" s="190"/>
      <c r="I231" s="177"/>
      <c r="J231" s="178" t="str">
        <f aca="false">IF(AL231=C231,IF(AL231=0,"-","ok"),"chyba")</f>
        <v>-</v>
      </c>
      <c r="K231" s="179"/>
      <c r="L231" s="179"/>
      <c r="M231" s="179"/>
      <c r="N231" s="179"/>
      <c r="P231" s="148" t="n">
        <f aca="false">VALUE(IF($D231="vyb",$C231,0))+VALUE(IF($H231="vyb",$G231,0))</f>
        <v>0</v>
      </c>
      <c r="Q231" s="148" t="n">
        <f aca="false">VALUE(IF($D231="mtv",$C231,0))+VALUE(IF($H231="mtv",$G231,0))</f>
        <v>0</v>
      </c>
      <c r="R231" s="148" t="n">
        <f aca="false">VALUE(IF($D231="mat",$C231,0))+VALUE(IF($H231="mat",$G231,0))</f>
        <v>0</v>
      </c>
      <c r="S231" s="148" t="n">
        <f aca="false">VALUE(IF($D231="pot",$C231,0))+VALUE(IF($H231="pot",$G231,0))</f>
        <v>0</v>
      </c>
      <c r="T231" s="148" t="n">
        <f aca="false">VALUE(IF($D231="táb",$C231,0))+VALUE(IF($H231="táb",$G231,0))</f>
        <v>0</v>
      </c>
      <c r="U231" s="148" t="n">
        <f aca="false">VALUE(IF($D231="oma",$C231,0))+VALUE(IF($H231="oma",$G231,0))</f>
        <v>0</v>
      </c>
      <c r="V231" s="148" t="n">
        <f aca="false">VALUE(IF($D231="ces",$C231,0))+VALUE(IF($H231="ces",$G231,0))</f>
        <v>0</v>
      </c>
      <c r="W231" s="148" t="n">
        <f aca="false">VALUE(IF($D231="poš",$C231,0))+VALUE(IF($H231="poš",$G231,0))</f>
        <v>0</v>
      </c>
      <c r="X231" s="148" t="n">
        <f aca="false">VALUE(IF($D231="tel",$C231,0))+VALUE(IF($H231="tel",$G231,0))</f>
        <v>0</v>
      </c>
      <c r="Y231" s="148" t="n">
        <f aca="false">VALUE(IF($D231="dop",$C231,0))+VALUE(IF($H231="dop",$G231,0))</f>
        <v>0</v>
      </c>
      <c r="Z231" s="148" t="n">
        <f aca="false">VALUE(IF($D231="nák",$C231,0))+VALUE(IF($H231="nák",$G231,0))</f>
        <v>0</v>
      </c>
      <c r="AA231" s="148" t="n">
        <f aca="false">VALUE(IF($D231="náj",$C231,0))+VALUE(IF($H231="náj",$G231,0))</f>
        <v>0</v>
      </c>
      <c r="AB231" s="148" t="n">
        <f aca="false">VALUE(IF($D231="půj",$C231,0))+VALUE(IF($H231="půj",$G231,0))</f>
        <v>0</v>
      </c>
      <c r="AC231" s="148" t="n">
        <f aca="false">VALUE(IF($D231="vst",$C231,0))+VALUE(IF($H231="vst",$G231,0))</f>
        <v>0</v>
      </c>
      <c r="AD231" s="148" t="n">
        <f aca="false">VALUE(IF($D231="kop",$C231,0))+VALUE(IF($H231="kop",$G231,0))</f>
        <v>0</v>
      </c>
      <c r="AE231" s="148" t="n">
        <f aca="false">VALUE(IF($D231="osl",$C231,0))+VALUE(IF($H231="osl",$G231,0))</f>
        <v>0</v>
      </c>
      <c r="AF231" s="148" t="n">
        <f aca="false">VALUE(IF($D231="vra",$C231,0))+VALUE(IF($H231="vra",$G231,0))</f>
        <v>0</v>
      </c>
      <c r="AG231" s="148" t="n">
        <f aca="false">VALUE(IF($D231="zho",$C231,0))+VALUE(IF($H231="zho",$G231,0))</f>
        <v>0</v>
      </c>
      <c r="AH231" s="148" t="n">
        <f aca="false">VALUE(IF($D231="zbú",$C231,0))+VALUE(IF($H231="zbú",$G231,0))</f>
        <v>0</v>
      </c>
      <c r="AI231" s="148" t="n">
        <f aca="false">VALUE(IF($D231="pří",$C231,0))+VALUE(IF($H231="pří",$G231,0))</f>
        <v>0</v>
      </c>
      <c r="AJ231" s="148" t="n">
        <f aca="false">VALUE(IF($D231="dot",$C231,0))+VALUE(IF($H231="dot",$G231,0))</f>
        <v>0</v>
      </c>
      <c r="AK231" s="148" t="n">
        <f aca="false">VALUE(IF($D231="opř",$C231,0))+VALUE(IF($H231="opř",$G231,0))</f>
        <v>0</v>
      </c>
      <c r="AL231" s="148" t="n">
        <f aca="false">SUM(P231:AK231)</f>
        <v>0</v>
      </c>
      <c r="AN231" s="180" t="str">
        <f aca="false">CONCATENATE('Přehled akce'!$K$4," / ",'Přehled akce'!$K$5)</f>
        <v> / </v>
      </c>
      <c r="AO231" s="181" t="n">
        <f aca="false">IF('Příjmy a výdaje'!$G231="ano",'Příjmy a výdaje'!$B231,0)</f>
        <v>0</v>
      </c>
      <c r="AP231" s="182" t="n">
        <f aca="false">IF('Příjmy a výdaje'!$G231="ano",'Příjmy a výdaje'!$C231,0)</f>
        <v>0</v>
      </c>
      <c r="AQ231" s="183" t="n">
        <f aca="false">'Příjmy a výdaje'!$AP231</f>
        <v>0</v>
      </c>
    </row>
    <row r="232" customFormat="false" ht="12.75" hidden="false" customHeight="false" outlineLevel="0" collapsed="false">
      <c r="A232" s="169" t="n">
        <v>212</v>
      </c>
      <c r="B232" s="184"/>
      <c r="C232" s="194"/>
      <c r="D232" s="188"/>
      <c r="E232" s="188"/>
      <c r="F232" s="223"/>
      <c r="G232" s="224"/>
      <c r="H232" s="190"/>
      <c r="I232" s="177"/>
      <c r="J232" s="178" t="str">
        <f aca="false">IF(AL232=C232,IF(AL232=0,"-","ok"),"chyba")</f>
        <v>-</v>
      </c>
      <c r="K232" s="179"/>
      <c r="L232" s="179"/>
      <c r="M232" s="179"/>
      <c r="N232" s="179"/>
      <c r="P232" s="148" t="n">
        <f aca="false">VALUE(IF($D232="vyb",$C232,0))+VALUE(IF($H232="vyb",$G232,0))</f>
        <v>0</v>
      </c>
      <c r="Q232" s="148" t="n">
        <f aca="false">VALUE(IF($D232="mtv",$C232,0))+VALUE(IF($H232="mtv",$G232,0))</f>
        <v>0</v>
      </c>
      <c r="R232" s="148" t="n">
        <f aca="false">VALUE(IF($D232="mat",$C232,0))+VALUE(IF($H232="mat",$G232,0))</f>
        <v>0</v>
      </c>
      <c r="S232" s="148" t="n">
        <f aca="false">VALUE(IF($D232="pot",$C232,0))+VALUE(IF($H232="pot",$G232,0))</f>
        <v>0</v>
      </c>
      <c r="T232" s="148" t="n">
        <f aca="false">VALUE(IF($D232="táb",$C232,0))+VALUE(IF($H232="táb",$G232,0))</f>
        <v>0</v>
      </c>
      <c r="U232" s="148" t="n">
        <f aca="false">VALUE(IF($D232="oma",$C232,0))+VALUE(IF($H232="oma",$G232,0))</f>
        <v>0</v>
      </c>
      <c r="V232" s="148" t="n">
        <f aca="false">VALUE(IF($D232="ces",$C232,0))+VALUE(IF($H232="ces",$G232,0))</f>
        <v>0</v>
      </c>
      <c r="W232" s="148" t="n">
        <f aca="false">VALUE(IF($D232="poš",$C232,0))+VALUE(IF($H232="poš",$G232,0))</f>
        <v>0</v>
      </c>
      <c r="X232" s="148" t="n">
        <f aca="false">VALUE(IF($D232="tel",$C232,0))+VALUE(IF($H232="tel",$G232,0))</f>
        <v>0</v>
      </c>
      <c r="Y232" s="148" t="n">
        <f aca="false">VALUE(IF($D232="dop",$C232,0))+VALUE(IF($H232="dop",$G232,0))</f>
        <v>0</v>
      </c>
      <c r="Z232" s="148" t="n">
        <f aca="false">VALUE(IF($D232="nák",$C232,0))+VALUE(IF($H232="nák",$G232,0))</f>
        <v>0</v>
      </c>
      <c r="AA232" s="148" t="n">
        <f aca="false">VALUE(IF($D232="náj",$C232,0))+VALUE(IF($H232="náj",$G232,0))</f>
        <v>0</v>
      </c>
      <c r="AB232" s="148" t="n">
        <f aca="false">VALUE(IF($D232="půj",$C232,0))+VALUE(IF($H232="půj",$G232,0))</f>
        <v>0</v>
      </c>
      <c r="AC232" s="148" t="n">
        <f aca="false">VALUE(IF($D232="vst",$C232,0))+VALUE(IF($H232="vst",$G232,0))</f>
        <v>0</v>
      </c>
      <c r="AD232" s="148" t="n">
        <f aca="false">VALUE(IF($D232="kop",$C232,0))+VALUE(IF($H232="kop",$G232,0))</f>
        <v>0</v>
      </c>
      <c r="AE232" s="148" t="n">
        <f aca="false">VALUE(IF($D232="osl",$C232,0))+VALUE(IF($H232="osl",$G232,0))</f>
        <v>0</v>
      </c>
      <c r="AF232" s="148" t="n">
        <f aca="false">VALUE(IF($D232="vra",$C232,0))+VALUE(IF($H232="vra",$G232,0))</f>
        <v>0</v>
      </c>
      <c r="AG232" s="148" t="n">
        <f aca="false">VALUE(IF($D232="zho",$C232,0))+VALUE(IF($H232="zho",$G232,0))</f>
        <v>0</v>
      </c>
      <c r="AH232" s="148" t="n">
        <f aca="false">VALUE(IF($D232="zbú",$C232,0))+VALUE(IF($H232="zbú",$G232,0))</f>
        <v>0</v>
      </c>
      <c r="AI232" s="148" t="n">
        <f aca="false">VALUE(IF($D232="pří",$C232,0))+VALUE(IF($H232="pří",$G232,0))</f>
        <v>0</v>
      </c>
      <c r="AJ232" s="148" t="n">
        <f aca="false">VALUE(IF($D232="dot",$C232,0))+VALUE(IF($H232="dot",$G232,0))</f>
        <v>0</v>
      </c>
      <c r="AK232" s="148" t="n">
        <f aca="false">VALUE(IF($D232="opř",$C232,0))+VALUE(IF($H232="opř",$G232,0))</f>
        <v>0</v>
      </c>
      <c r="AL232" s="148" t="n">
        <f aca="false">SUM(P232:AK232)</f>
        <v>0</v>
      </c>
      <c r="AN232" s="180" t="str">
        <f aca="false">CONCATENATE('Přehled akce'!$K$4," / ",'Přehled akce'!$K$5)</f>
        <v> / </v>
      </c>
      <c r="AO232" s="181" t="n">
        <f aca="false">IF('Příjmy a výdaje'!$G232="ano",'Příjmy a výdaje'!$B232,0)</f>
        <v>0</v>
      </c>
      <c r="AP232" s="182" t="n">
        <f aca="false">IF('Příjmy a výdaje'!$G232="ano",'Příjmy a výdaje'!$C232,0)</f>
        <v>0</v>
      </c>
      <c r="AQ232" s="183" t="n">
        <f aca="false">'Příjmy a výdaje'!$AP232</f>
        <v>0</v>
      </c>
    </row>
    <row r="233" customFormat="false" ht="12.75" hidden="false" customHeight="false" outlineLevel="0" collapsed="false">
      <c r="A233" s="169" t="n">
        <v>213</v>
      </c>
      <c r="B233" s="184"/>
      <c r="C233" s="194"/>
      <c r="D233" s="188"/>
      <c r="E233" s="188"/>
      <c r="F233" s="223"/>
      <c r="G233" s="224"/>
      <c r="H233" s="190"/>
      <c r="I233" s="177"/>
      <c r="J233" s="178" t="str">
        <f aca="false">IF(AL233=C233,IF(AL233=0,"-","ok"),"chyba")</f>
        <v>-</v>
      </c>
      <c r="K233" s="179"/>
      <c r="L233" s="179"/>
      <c r="M233" s="179"/>
      <c r="N233" s="179"/>
      <c r="P233" s="148" t="n">
        <f aca="false">VALUE(IF($D233="vyb",$C233,0))+VALUE(IF($H233="vyb",$G233,0))</f>
        <v>0</v>
      </c>
      <c r="Q233" s="148" t="n">
        <f aca="false">VALUE(IF($D233="mtv",$C233,0))+VALUE(IF($H233="mtv",$G233,0))</f>
        <v>0</v>
      </c>
      <c r="R233" s="148" t="n">
        <f aca="false">VALUE(IF($D233="mat",$C233,0))+VALUE(IF($H233="mat",$G233,0))</f>
        <v>0</v>
      </c>
      <c r="S233" s="148" t="n">
        <f aca="false">VALUE(IF($D233="pot",$C233,0))+VALUE(IF($H233="pot",$G233,0))</f>
        <v>0</v>
      </c>
      <c r="T233" s="148" t="n">
        <f aca="false">VALUE(IF($D233="táb",$C233,0))+VALUE(IF($H233="táb",$G233,0))</f>
        <v>0</v>
      </c>
      <c r="U233" s="148" t="n">
        <f aca="false">VALUE(IF($D233="oma",$C233,0))+VALUE(IF($H233="oma",$G233,0))</f>
        <v>0</v>
      </c>
      <c r="V233" s="148" t="n">
        <f aca="false">VALUE(IF($D233="ces",$C233,0))+VALUE(IF($H233="ces",$G233,0))</f>
        <v>0</v>
      </c>
      <c r="W233" s="148" t="n">
        <f aca="false">VALUE(IF($D233="poš",$C233,0))+VALUE(IF($H233="poš",$G233,0))</f>
        <v>0</v>
      </c>
      <c r="X233" s="148" t="n">
        <f aca="false">VALUE(IF($D233="tel",$C233,0))+VALUE(IF($H233="tel",$G233,0))</f>
        <v>0</v>
      </c>
      <c r="Y233" s="148" t="n">
        <f aca="false">VALUE(IF($D233="dop",$C233,0))+VALUE(IF($H233="dop",$G233,0))</f>
        <v>0</v>
      </c>
      <c r="Z233" s="148" t="n">
        <f aca="false">VALUE(IF($D233="nák",$C233,0))+VALUE(IF($H233="nák",$G233,0))</f>
        <v>0</v>
      </c>
      <c r="AA233" s="148" t="n">
        <f aca="false">VALUE(IF($D233="náj",$C233,0))+VALUE(IF($H233="náj",$G233,0))</f>
        <v>0</v>
      </c>
      <c r="AB233" s="148" t="n">
        <f aca="false">VALUE(IF($D233="půj",$C233,0))+VALUE(IF($H233="půj",$G233,0))</f>
        <v>0</v>
      </c>
      <c r="AC233" s="148" t="n">
        <f aca="false">VALUE(IF($D233="vst",$C233,0))+VALUE(IF($H233="vst",$G233,0))</f>
        <v>0</v>
      </c>
      <c r="AD233" s="148" t="n">
        <f aca="false">VALUE(IF($D233="kop",$C233,0))+VALUE(IF($H233="kop",$G233,0))</f>
        <v>0</v>
      </c>
      <c r="AE233" s="148" t="n">
        <f aca="false">VALUE(IF($D233="osl",$C233,0))+VALUE(IF($H233="osl",$G233,0))</f>
        <v>0</v>
      </c>
      <c r="AF233" s="148" t="n">
        <f aca="false">VALUE(IF($D233="vra",$C233,0))+VALUE(IF($H233="vra",$G233,0))</f>
        <v>0</v>
      </c>
      <c r="AG233" s="148" t="n">
        <f aca="false">VALUE(IF($D233="zho",$C233,0))+VALUE(IF($H233="zho",$G233,0))</f>
        <v>0</v>
      </c>
      <c r="AH233" s="148" t="n">
        <f aca="false">VALUE(IF($D233="zbú",$C233,0))+VALUE(IF($H233="zbú",$G233,0))</f>
        <v>0</v>
      </c>
      <c r="AI233" s="148" t="n">
        <f aca="false">VALUE(IF($D233="pří",$C233,0))+VALUE(IF($H233="pří",$G233,0))</f>
        <v>0</v>
      </c>
      <c r="AJ233" s="148" t="n">
        <f aca="false">VALUE(IF($D233="dot",$C233,0))+VALUE(IF($H233="dot",$G233,0))</f>
        <v>0</v>
      </c>
      <c r="AK233" s="148" t="n">
        <f aca="false">VALUE(IF($D233="opř",$C233,0))+VALUE(IF($H233="opř",$G233,0))</f>
        <v>0</v>
      </c>
      <c r="AL233" s="148" t="n">
        <f aca="false">SUM(P233:AK233)</f>
        <v>0</v>
      </c>
      <c r="AN233" s="180" t="str">
        <f aca="false">CONCATENATE('Přehled akce'!$K$4," / ",'Přehled akce'!$K$5)</f>
        <v> / </v>
      </c>
      <c r="AO233" s="181" t="n">
        <f aca="false">IF('Příjmy a výdaje'!$G233="ano",'Příjmy a výdaje'!$B233,0)</f>
        <v>0</v>
      </c>
      <c r="AP233" s="182" t="n">
        <f aca="false">IF('Příjmy a výdaje'!$G233="ano",'Příjmy a výdaje'!$C233,0)</f>
        <v>0</v>
      </c>
      <c r="AQ233" s="183" t="n">
        <f aca="false">'Příjmy a výdaje'!$AP233</f>
        <v>0</v>
      </c>
    </row>
    <row r="234" customFormat="false" ht="12.75" hidden="false" customHeight="false" outlineLevel="0" collapsed="false">
      <c r="A234" s="169" t="n">
        <v>214</v>
      </c>
      <c r="B234" s="184"/>
      <c r="C234" s="194"/>
      <c r="D234" s="188"/>
      <c r="E234" s="188"/>
      <c r="F234" s="223"/>
      <c r="G234" s="224"/>
      <c r="H234" s="190"/>
      <c r="I234" s="177"/>
      <c r="J234" s="178" t="str">
        <f aca="false">IF(AL234=C234,IF(AL234=0,"-","ok"),"chyba")</f>
        <v>-</v>
      </c>
      <c r="K234" s="179"/>
      <c r="L234" s="179"/>
      <c r="M234" s="179"/>
      <c r="N234" s="179"/>
      <c r="P234" s="148" t="n">
        <f aca="false">VALUE(IF($D234="vyb",$C234,0))+VALUE(IF($H234="vyb",$G234,0))</f>
        <v>0</v>
      </c>
      <c r="Q234" s="148" t="n">
        <f aca="false">VALUE(IF($D234="mtv",$C234,0))+VALUE(IF($H234="mtv",$G234,0))</f>
        <v>0</v>
      </c>
      <c r="R234" s="148" t="n">
        <f aca="false">VALUE(IF($D234="mat",$C234,0))+VALUE(IF($H234="mat",$G234,0))</f>
        <v>0</v>
      </c>
      <c r="S234" s="148" t="n">
        <f aca="false">VALUE(IF($D234="pot",$C234,0))+VALUE(IF($H234="pot",$G234,0))</f>
        <v>0</v>
      </c>
      <c r="T234" s="148" t="n">
        <f aca="false">VALUE(IF($D234="táb",$C234,0))+VALUE(IF($H234="táb",$G234,0))</f>
        <v>0</v>
      </c>
      <c r="U234" s="148" t="n">
        <f aca="false">VALUE(IF($D234="oma",$C234,0))+VALUE(IF($H234="oma",$G234,0))</f>
        <v>0</v>
      </c>
      <c r="V234" s="148" t="n">
        <f aca="false">VALUE(IF($D234="ces",$C234,0))+VALUE(IF($H234="ces",$G234,0))</f>
        <v>0</v>
      </c>
      <c r="W234" s="148" t="n">
        <f aca="false">VALUE(IF($D234="poš",$C234,0))+VALUE(IF($H234="poš",$G234,0))</f>
        <v>0</v>
      </c>
      <c r="X234" s="148" t="n">
        <f aca="false">VALUE(IF($D234="tel",$C234,0))+VALUE(IF($H234="tel",$G234,0))</f>
        <v>0</v>
      </c>
      <c r="Y234" s="148" t="n">
        <f aca="false">VALUE(IF($D234="dop",$C234,0))+VALUE(IF($H234="dop",$G234,0))</f>
        <v>0</v>
      </c>
      <c r="Z234" s="148" t="n">
        <f aca="false">VALUE(IF($D234="nák",$C234,0))+VALUE(IF($H234="nák",$G234,0))</f>
        <v>0</v>
      </c>
      <c r="AA234" s="148" t="n">
        <f aca="false">VALUE(IF($D234="náj",$C234,0))+VALUE(IF($H234="náj",$G234,0))</f>
        <v>0</v>
      </c>
      <c r="AB234" s="148" t="n">
        <f aca="false">VALUE(IF($D234="půj",$C234,0))+VALUE(IF($H234="půj",$G234,0))</f>
        <v>0</v>
      </c>
      <c r="AC234" s="148" t="n">
        <f aca="false">VALUE(IF($D234="vst",$C234,0))+VALUE(IF($H234="vst",$G234,0))</f>
        <v>0</v>
      </c>
      <c r="AD234" s="148" t="n">
        <f aca="false">VALUE(IF($D234="kop",$C234,0))+VALUE(IF($H234="kop",$G234,0))</f>
        <v>0</v>
      </c>
      <c r="AE234" s="148" t="n">
        <f aca="false">VALUE(IF($D234="osl",$C234,0))+VALUE(IF($H234="osl",$G234,0))</f>
        <v>0</v>
      </c>
      <c r="AF234" s="148" t="n">
        <f aca="false">VALUE(IF($D234="vra",$C234,0))+VALUE(IF($H234="vra",$G234,0))</f>
        <v>0</v>
      </c>
      <c r="AG234" s="148" t="n">
        <f aca="false">VALUE(IF($D234="zho",$C234,0))+VALUE(IF($H234="zho",$G234,0))</f>
        <v>0</v>
      </c>
      <c r="AH234" s="148" t="n">
        <f aca="false">VALUE(IF($D234="zbú",$C234,0))+VALUE(IF($H234="zbú",$G234,0))</f>
        <v>0</v>
      </c>
      <c r="AI234" s="148" t="n">
        <f aca="false">VALUE(IF($D234="pří",$C234,0))+VALUE(IF($H234="pří",$G234,0))</f>
        <v>0</v>
      </c>
      <c r="AJ234" s="148" t="n">
        <f aca="false">VALUE(IF($D234="dot",$C234,0))+VALUE(IF($H234="dot",$G234,0))</f>
        <v>0</v>
      </c>
      <c r="AK234" s="148" t="n">
        <f aca="false">VALUE(IF($D234="opř",$C234,0))+VALUE(IF($H234="opř",$G234,0))</f>
        <v>0</v>
      </c>
      <c r="AL234" s="148" t="n">
        <f aca="false">SUM(P234:AK234)</f>
        <v>0</v>
      </c>
      <c r="AN234" s="180" t="str">
        <f aca="false">CONCATENATE('Přehled akce'!$K$4," / ",'Přehled akce'!$K$5)</f>
        <v> / </v>
      </c>
      <c r="AO234" s="181" t="n">
        <f aca="false">IF('Příjmy a výdaje'!$G234="ano",'Příjmy a výdaje'!$B234,0)</f>
        <v>0</v>
      </c>
      <c r="AP234" s="182" t="n">
        <f aca="false">IF('Příjmy a výdaje'!$G234="ano",'Příjmy a výdaje'!$C234,0)</f>
        <v>0</v>
      </c>
      <c r="AQ234" s="183" t="n">
        <f aca="false">'Příjmy a výdaje'!$AP234</f>
        <v>0</v>
      </c>
    </row>
    <row r="235" customFormat="false" ht="12.75" hidden="false" customHeight="false" outlineLevel="0" collapsed="false">
      <c r="A235" s="169" t="n">
        <v>215</v>
      </c>
      <c r="B235" s="184"/>
      <c r="C235" s="194"/>
      <c r="D235" s="188"/>
      <c r="E235" s="188"/>
      <c r="F235" s="223"/>
      <c r="G235" s="224"/>
      <c r="H235" s="190"/>
      <c r="I235" s="177"/>
      <c r="J235" s="178" t="str">
        <f aca="false">IF(AL235=C235,IF(AL235=0,"-","ok"),"chyba")</f>
        <v>-</v>
      </c>
      <c r="K235" s="179"/>
      <c r="L235" s="179"/>
      <c r="M235" s="179"/>
      <c r="N235" s="179"/>
      <c r="P235" s="148" t="n">
        <f aca="false">VALUE(IF($D235="vyb",$C235,0))+VALUE(IF($H235="vyb",$G235,0))</f>
        <v>0</v>
      </c>
      <c r="Q235" s="148" t="n">
        <f aca="false">VALUE(IF($D235="mtv",$C235,0))+VALUE(IF($H235="mtv",$G235,0))</f>
        <v>0</v>
      </c>
      <c r="R235" s="148" t="n">
        <f aca="false">VALUE(IF($D235="mat",$C235,0))+VALUE(IF($H235="mat",$G235,0))</f>
        <v>0</v>
      </c>
      <c r="S235" s="148" t="n">
        <f aca="false">VALUE(IF($D235="pot",$C235,0))+VALUE(IF($H235="pot",$G235,0))</f>
        <v>0</v>
      </c>
      <c r="T235" s="148" t="n">
        <f aca="false">VALUE(IF($D235="táb",$C235,0))+VALUE(IF($H235="táb",$G235,0))</f>
        <v>0</v>
      </c>
      <c r="U235" s="148" t="n">
        <f aca="false">VALUE(IF($D235="oma",$C235,0))+VALUE(IF($H235="oma",$G235,0))</f>
        <v>0</v>
      </c>
      <c r="V235" s="148" t="n">
        <f aca="false">VALUE(IF($D235="ces",$C235,0))+VALUE(IF($H235="ces",$G235,0))</f>
        <v>0</v>
      </c>
      <c r="W235" s="148" t="n">
        <f aca="false">VALUE(IF($D235="poš",$C235,0))+VALUE(IF($H235="poš",$G235,0))</f>
        <v>0</v>
      </c>
      <c r="X235" s="148" t="n">
        <f aca="false">VALUE(IF($D235="tel",$C235,0))+VALUE(IF($H235="tel",$G235,0))</f>
        <v>0</v>
      </c>
      <c r="Y235" s="148" t="n">
        <f aca="false">VALUE(IF($D235="dop",$C235,0))+VALUE(IF($H235="dop",$G235,0))</f>
        <v>0</v>
      </c>
      <c r="Z235" s="148" t="n">
        <f aca="false">VALUE(IF($D235="nák",$C235,0))+VALUE(IF($H235="nák",$G235,0))</f>
        <v>0</v>
      </c>
      <c r="AA235" s="148" t="n">
        <f aca="false">VALUE(IF($D235="náj",$C235,0))+VALUE(IF($H235="náj",$G235,0))</f>
        <v>0</v>
      </c>
      <c r="AB235" s="148" t="n">
        <f aca="false">VALUE(IF($D235="půj",$C235,0))+VALUE(IF($H235="půj",$G235,0))</f>
        <v>0</v>
      </c>
      <c r="AC235" s="148" t="n">
        <f aca="false">VALUE(IF($D235="vst",$C235,0))+VALUE(IF($H235="vst",$G235,0))</f>
        <v>0</v>
      </c>
      <c r="AD235" s="148" t="n">
        <f aca="false">VALUE(IF($D235="kop",$C235,0))+VALUE(IF($H235="kop",$G235,0))</f>
        <v>0</v>
      </c>
      <c r="AE235" s="148" t="n">
        <f aca="false">VALUE(IF($D235="osl",$C235,0))+VALUE(IF($H235="osl",$G235,0))</f>
        <v>0</v>
      </c>
      <c r="AF235" s="148" t="n">
        <f aca="false">VALUE(IF($D235="vra",$C235,0))+VALUE(IF($H235="vra",$G235,0))</f>
        <v>0</v>
      </c>
      <c r="AG235" s="148" t="n">
        <f aca="false">VALUE(IF($D235="zho",$C235,0))+VALUE(IF($H235="zho",$G235,0))</f>
        <v>0</v>
      </c>
      <c r="AH235" s="148" t="n">
        <f aca="false">VALUE(IF($D235="zbú",$C235,0))+VALUE(IF($H235="zbú",$G235,0))</f>
        <v>0</v>
      </c>
      <c r="AI235" s="148" t="n">
        <f aca="false">VALUE(IF($D235="pří",$C235,0))+VALUE(IF($H235="pří",$G235,0))</f>
        <v>0</v>
      </c>
      <c r="AJ235" s="148" t="n">
        <f aca="false">VALUE(IF($D235="dot",$C235,0))+VALUE(IF($H235="dot",$G235,0))</f>
        <v>0</v>
      </c>
      <c r="AK235" s="148" t="n">
        <f aca="false">VALUE(IF($D235="opř",$C235,0))+VALUE(IF($H235="opř",$G235,0))</f>
        <v>0</v>
      </c>
      <c r="AL235" s="148" t="n">
        <f aca="false">SUM(P235:AK235)</f>
        <v>0</v>
      </c>
      <c r="AN235" s="180" t="str">
        <f aca="false">CONCATENATE('Přehled akce'!$K$4," / ",'Přehled akce'!$K$5)</f>
        <v> / </v>
      </c>
      <c r="AO235" s="181" t="n">
        <f aca="false">IF('Příjmy a výdaje'!$G235="ano",'Příjmy a výdaje'!$B235,0)</f>
        <v>0</v>
      </c>
      <c r="AP235" s="182" t="n">
        <f aca="false">IF('Příjmy a výdaje'!$G235="ano",'Příjmy a výdaje'!$C235,0)</f>
        <v>0</v>
      </c>
      <c r="AQ235" s="183" t="n">
        <f aca="false">'Příjmy a výdaje'!$AP235</f>
        <v>0</v>
      </c>
    </row>
    <row r="236" customFormat="false" ht="12.75" hidden="false" customHeight="false" outlineLevel="0" collapsed="false">
      <c r="A236" s="169" t="n">
        <v>216</v>
      </c>
      <c r="B236" s="184"/>
      <c r="C236" s="194"/>
      <c r="D236" s="188"/>
      <c r="E236" s="188"/>
      <c r="F236" s="223"/>
      <c r="G236" s="224"/>
      <c r="H236" s="190"/>
      <c r="I236" s="177"/>
      <c r="J236" s="178" t="str">
        <f aca="false">IF(AL236=C236,IF(AL236=0,"-","ok"),"chyba")</f>
        <v>-</v>
      </c>
      <c r="K236" s="179"/>
      <c r="L236" s="179"/>
      <c r="M236" s="179"/>
      <c r="N236" s="179"/>
      <c r="O236" s="239"/>
      <c r="P236" s="148" t="n">
        <f aca="false">VALUE(IF($D236="vyb",$C236,0))+VALUE(IF($H236="vyb",$G236,0))</f>
        <v>0</v>
      </c>
      <c r="Q236" s="148" t="n">
        <f aca="false">VALUE(IF($D236="mtv",$C236,0))+VALUE(IF($H236="mtv",$G236,0))</f>
        <v>0</v>
      </c>
      <c r="R236" s="148" t="n">
        <f aca="false">VALUE(IF($D236="mat",$C236,0))+VALUE(IF($H236="mat",$G236,0))</f>
        <v>0</v>
      </c>
      <c r="S236" s="148" t="n">
        <f aca="false">VALUE(IF($D236="pot",$C236,0))+VALUE(IF($H236="pot",$G236,0))</f>
        <v>0</v>
      </c>
      <c r="T236" s="148" t="n">
        <f aca="false">VALUE(IF($D236="táb",$C236,0))+VALUE(IF($H236="táb",$G236,0))</f>
        <v>0</v>
      </c>
      <c r="U236" s="148" t="n">
        <f aca="false">VALUE(IF($D236="oma",$C236,0))+VALUE(IF($H236="oma",$G236,0))</f>
        <v>0</v>
      </c>
      <c r="V236" s="148" t="n">
        <f aca="false">VALUE(IF($D236="ces",$C236,0))+VALUE(IF($H236="ces",$G236,0))</f>
        <v>0</v>
      </c>
      <c r="W236" s="148" t="n">
        <f aca="false">VALUE(IF($D236="poš",$C236,0))+VALUE(IF($H236="poš",$G236,0))</f>
        <v>0</v>
      </c>
      <c r="X236" s="148" t="n">
        <f aca="false">VALUE(IF($D236="tel",$C236,0))+VALUE(IF($H236="tel",$G236,0))</f>
        <v>0</v>
      </c>
      <c r="Y236" s="148" t="n">
        <f aca="false">VALUE(IF($D236="dop",$C236,0))+VALUE(IF($H236="dop",$G236,0))</f>
        <v>0</v>
      </c>
      <c r="Z236" s="148" t="n">
        <f aca="false">VALUE(IF($D236="nák",$C236,0))+VALUE(IF($H236="nák",$G236,0))</f>
        <v>0</v>
      </c>
      <c r="AA236" s="148" t="n">
        <f aca="false">VALUE(IF($D236="náj",$C236,0))+VALUE(IF($H236="náj",$G236,0))</f>
        <v>0</v>
      </c>
      <c r="AB236" s="148" t="n">
        <f aca="false">VALUE(IF($D236="půj",$C236,0))+VALUE(IF($H236="půj",$G236,0))</f>
        <v>0</v>
      </c>
      <c r="AC236" s="148" t="n">
        <f aca="false">VALUE(IF($D236="vst",$C236,0))+VALUE(IF($H236="vst",$G236,0))</f>
        <v>0</v>
      </c>
      <c r="AD236" s="148" t="n">
        <f aca="false">VALUE(IF($D236="kop",$C236,0))+VALUE(IF($H236="kop",$G236,0))</f>
        <v>0</v>
      </c>
      <c r="AE236" s="148" t="n">
        <f aca="false">VALUE(IF($D236="osl",$C236,0))+VALUE(IF($H236="osl",$G236,0))</f>
        <v>0</v>
      </c>
      <c r="AF236" s="148" t="n">
        <f aca="false">VALUE(IF($D236="vra",$C236,0))+VALUE(IF($H236="vra",$G236,0))</f>
        <v>0</v>
      </c>
      <c r="AG236" s="148" t="n">
        <f aca="false">VALUE(IF($D236="zho",$C236,0))+VALUE(IF($H236="zho",$G236,0))</f>
        <v>0</v>
      </c>
      <c r="AH236" s="148" t="n">
        <f aca="false">VALUE(IF($D236="zbú",$C236,0))+VALUE(IF($H236="zbú",$G236,0))</f>
        <v>0</v>
      </c>
      <c r="AI236" s="148" t="n">
        <f aca="false">VALUE(IF($D236="pří",$C236,0))+VALUE(IF($H236="pří",$G236,0))</f>
        <v>0</v>
      </c>
      <c r="AJ236" s="148" t="n">
        <f aca="false">VALUE(IF($D236="dot",$C236,0))+VALUE(IF($H236="dot",$G236,0))</f>
        <v>0</v>
      </c>
      <c r="AK236" s="148" t="n">
        <f aca="false">VALUE(IF($D236="opř",$C236,0))+VALUE(IF($H236="opř",$G236,0))</f>
        <v>0</v>
      </c>
      <c r="AL236" s="148" t="n">
        <f aca="false">SUM(P236:AK236)</f>
        <v>0</v>
      </c>
      <c r="AN236" s="180" t="str">
        <f aca="false">CONCATENATE('Přehled akce'!$K$4," / ",'Přehled akce'!$K$5)</f>
        <v> / </v>
      </c>
      <c r="AO236" s="181" t="n">
        <f aca="false">IF('Příjmy a výdaje'!$G236="ano",'Příjmy a výdaje'!$B236,0)</f>
        <v>0</v>
      </c>
      <c r="AP236" s="182" t="n">
        <f aca="false">IF('Příjmy a výdaje'!$G236="ano",'Příjmy a výdaje'!$C236,0)</f>
        <v>0</v>
      </c>
      <c r="AQ236" s="183" t="n">
        <f aca="false">'Příjmy a výdaje'!$AP236</f>
        <v>0</v>
      </c>
    </row>
    <row r="237" customFormat="false" ht="12.75" hidden="false" customHeight="false" outlineLevel="0" collapsed="false">
      <c r="A237" s="169" t="n">
        <v>217</v>
      </c>
      <c r="B237" s="184"/>
      <c r="C237" s="194"/>
      <c r="D237" s="188"/>
      <c r="E237" s="188"/>
      <c r="F237" s="223"/>
      <c r="G237" s="224"/>
      <c r="H237" s="190"/>
      <c r="I237" s="177"/>
      <c r="J237" s="178" t="str">
        <f aca="false">IF(AL237=C237,IF(AL237=0,"-","ok"),"chyba")</f>
        <v>-</v>
      </c>
      <c r="K237" s="179"/>
      <c r="L237" s="179"/>
      <c r="M237" s="179"/>
      <c r="N237" s="179"/>
      <c r="O237" s="239"/>
      <c r="P237" s="148" t="n">
        <f aca="false">VALUE(IF($D237="vyb",$C237,0))+VALUE(IF($H237="vyb",$G237,0))</f>
        <v>0</v>
      </c>
      <c r="Q237" s="148" t="n">
        <f aca="false">VALUE(IF($D237="mtv",$C237,0))+VALUE(IF($H237="mtv",$G237,0))</f>
        <v>0</v>
      </c>
      <c r="R237" s="148" t="n">
        <f aca="false">VALUE(IF($D237="mat",$C237,0))+VALUE(IF($H237="mat",$G237,0))</f>
        <v>0</v>
      </c>
      <c r="S237" s="148" t="n">
        <f aca="false">VALUE(IF($D237="pot",$C237,0))+VALUE(IF($H237="pot",$G237,0))</f>
        <v>0</v>
      </c>
      <c r="T237" s="148" t="n">
        <f aca="false">VALUE(IF($D237="táb",$C237,0))+VALUE(IF($H237="táb",$G237,0))</f>
        <v>0</v>
      </c>
      <c r="U237" s="148" t="n">
        <f aca="false">VALUE(IF($D237="oma",$C237,0))+VALUE(IF($H237="oma",$G237,0))</f>
        <v>0</v>
      </c>
      <c r="V237" s="148" t="n">
        <f aca="false">VALUE(IF($D237="ces",$C237,0))+VALUE(IF($H237="ces",$G237,0))</f>
        <v>0</v>
      </c>
      <c r="W237" s="148" t="n">
        <f aca="false">VALUE(IF($D237="poš",$C237,0))+VALUE(IF($H237="poš",$G237,0))</f>
        <v>0</v>
      </c>
      <c r="X237" s="148" t="n">
        <f aca="false">VALUE(IF($D237="tel",$C237,0))+VALUE(IF($H237="tel",$G237,0))</f>
        <v>0</v>
      </c>
      <c r="Y237" s="148" t="n">
        <f aca="false">VALUE(IF($D237="dop",$C237,0))+VALUE(IF($H237="dop",$G237,0))</f>
        <v>0</v>
      </c>
      <c r="Z237" s="148" t="n">
        <f aca="false">VALUE(IF($D237="nák",$C237,0))+VALUE(IF($H237="nák",$G237,0))</f>
        <v>0</v>
      </c>
      <c r="AA237" s="148" t="n">
        <f aca="false">VALUE(IF($D237="náj",$C237,0))+VALUE(IF($H237="náj",$G237,0))</f>
        <v>0</v>
      </c>
      <c r="AB237" s="148" t="n">
        <f aca="false">VALUE(IF($D237="půj",$C237,0))+VALUE(IF($H237="půj",$G237,0))</f>
        <v>0</v>
      </c>
      <c r="AC237" s="148" t="n">
        <f aca="false">VALUE(IF($D237="vst",$C237,0))+VALUE(IF($H237="vst",$G237,0))</f>
        <v>0</v>
      </c>
      <c r="AD237" s="148" t="n">
        <f aca="false">VALUE(IF($D237="kop",$C237,0))+VALUE(IF($H237="kop",$G237,0))</f>
        <v>0</v>
      </c>
      <c r="AE237" s="148" t="n">
        <f aca="false">VALUE(IF($D237="osl",$C237,0))+VALUE(IF($H237="osl",$G237,0))</f>
        <v>0</v>
      </c>
      <c r="AF237" s="148" t="n">
        <f aca="false">VALUE(IF($D237="vra",$C237,0))+VALUE(IF($H237="vra",$G237,0))</f>
        <v>0</v>
      </c>
      <c r="AG237" s="148" t="n">
        <f aca="false">VALUE(IF($D237="zho",$C237,0))+VALUE(IF($H237="zho",$G237,0))</f>
        <v>0</v>
      </c>
      <c r="AH237" s="148" t="n">
        <f aca="false">VALUE(IF($D237="zbú",$C237,0))+VALUE(IF($H237="zbú",$G237,0))</f>
        <v>0</v>
      </c>
      <c r="AI237" s="148" t="n">
        <f aca="false">VALUE(IF($D237="pří",$C237,0))+VALUE(IF($H237="pří",$G237,0))</f>
        <v>0</v>
      </c>
      <c r="AJ237" s="148" t="n">
        <f aca="false">VALUE(IF($D237="dot",$C237,0))+VALUE(IF($H237="dot",$G237,0))</f>
        <v>0</v>
      </c>
      <c r="AK237" s="148" t="n">
        <f aca="false">VALUE(IF($D237="opř",$C237,0))+VALUE(IF($H237="opř",$G237,0))</f>
        <v>0</v>
      </c>
      <c r="AL237" s="148" t="n">
        <f aca="false">SUM(P237:AK237)</f>
        <v>0</v>
      </c>
      <c r="AN237" s="180" t="str">
        <f aca="false">CONCATENATE('Přehled akce'!$K$4," / ",'Přehled akce'!$K$5)</f>
        <v> / </v>
      </c>
      <c r="AO237" s="181" t="n">
        <f aca="false">IF('Příjmy a výdaje'!$G237="ano",'Příjmy a výdaje'!$B237,0)</f>
        <v>0</v>
      </c>
      <c r="AP237" s="182" t="n">
        <f aca="false">IF('Příjmy a výdaje'!$G237="ano",'Příjmy a výdaje'!$C237,0)</f>
        <v>0</v>
      </c>
      <c r="AQ237" s="183" t="n">
        <f aca="false">'Příjmy a výdaje'!$AP237</f>
        <v>0</v>
      </c>
    </row>
    <row r="238" customFormat="false" ht="12.75" hidden="false" customHeight="false" outlineLevel="0" collapsed="false">
      <c r="A238" s="169" t="n">
        <v>218</v>
      </c>
      <c r="B238" s="184"/>
      <c r="C238" s="194"/>
      <c r="D238" s="188"/>
      <c r="E238" s="188"/>
      <c r="F238" s="223"/>
      <c r="G238" s="224"/>
      <c r="H238" s="190"/>
      <c r="I238" s="195"/>
      <c r="J238" s="178" t="str">
        <f aca="false">IF(AL238=C238,IF(AL238=0,"-","ok"),"chyba")</f>
        <v>-</v>
      </c>
      <c r="K238" s="179"/>
      <c r="L238" s="179"/>
      <c r="M238" s="179"/>
      <c r="N238" s="179"/>
      <c r="O238" s="239"/>
      <c r="P238" s="148" t="n">
        <f aca="false">VALUE(IF($D238="vyb",$C238,0))+VALUE(IF($H238="vyb",$G238,0))</f>
        <v>0</v>
      </c>
      <c r="Q238" s="148" t="n">
        <f aca="false">VALUE(IF($D238="mtv",$C238,0))+VALUE(IF($H238="mtv",$G238,0))</f>
        <v>0</v>
      </c>
      <c r="R238" s="148" t="n">
        <f aca="false">VALUE(IF($D238="mat",$C238,0))+VALUE(IF($H238="mat",$G238,0))</f>
        <v>0</v>
      </c>
      <c r="S238" s="148" t="n">
        <f aca="false">VALUE(IF($D238="pot",$C238,0))+VALUE(IF($H238="pot",$G238,0))</f>
        <v>0</v>
      </c>
      <c r="T238" s="148" t="n">
        <f aca="false">VALUE(IF($D238="táb",$C238,0))+VALUE(IF($H238="táb",$G238,0))</f>
        <v>0</v>
      </c>
      <c r="U238" s="148" t="n">
        <f aca="false">VALUE(IF($D238="oma",$C238,0))+VALUE(IF($H238="oma",$G238,0))</f>
        <v>0</v>
      </c>
      <c r="V238" s="148" t="n">
        <f aca="false">VALUE(IF($D238="ces",$C238,0))+VALUE(IF($H238="ces",$G238,0))</f>
        <v>0</v>
      </c>
      <c r="W238" s="148" t="n">
        <f aca="false">VALUE(IF($D238="poš",$C238,0))+VALUE(IF($H238="poš",$G238,0))</f>
        <v>0</v>
      </c>
      <c r="X238" s="148" t="n">
        <f aca="false">VALUE(IF($D238="tel",$C238,0))+VALUE(IF($H238="tel",$G238,0))</f>
        <v>0</v>
      </c>
      <c r="Y238" s="148" t="n">
        <f aca="false">VALUE(IF($D238="dop",$C238,0))+VALUE(IF($H238="dop",$G238,0))</f>
        <v>0</v>
      </c>
      <c r="Z238" s="148" t="n">
        <f aca="false">VALUE(IF($D238="nák",$C238,0))+VALUE(IF($H238="nák",$G238,0))</f>
        <v>0</v>
      </c>
      <c r="AA238" s="148" t="n">
        <f aca="false">VALUE(IF($D238="náj",$C238,0))+VALUE(IF($H238="náj",$G238,0))</f>
        <v>0</v>
      </c>
      <c r="AB238" s="148" t="n">
        <f aca="false">VALUE(IF($D238="půj",$C238,0))+VALUE(IF($H238="půj",$G238,0))</f>
        <v>0</v>
      </c>
      <c r="AC238" s="148" t="n">
        <f aca="false">VALUE(IF($D238="vst",$C238,0))+VALUE(IF($H238="vst",$G238,0))</f>
        <v>0</v>
      </c>
      <c r="AD238" s="148" t="n">
        <f aca="false">VALUE(IF($D238="kop",$C238,0))+VALUE(IF($H238="kop",$G238,0))</f>
        <v>0</v>
      </c>
      <c r="AE238" s="148" t="n">
        <f aca="false">VALUE(IF($D238="osl",$C238,0))+VALUE(IF($H238="osl",$G238,0))</f>
        <v>0</v>
      </c>
      <c r="AF238" s="148" t="n">
        <f aca="false">VALUE(IF($D238="vra",$C238,0))+VALUE(IF($H238="vra",$G238,0))</f>
        <v>0</v>
      </c>
      <c r="AG238" s="148" t="n">
        <f aca="false">VALUE(IF($D238="zho",$C238,0))+VALUE(IF($H238="zho",$G238,0))</f>
        <v>0</v>
      </c>
      <c r="AH238" s="148" t="n">
        <f aca="false">VALUE(IF($D238="zbú",$C238,0))+VALUE(IF($H238="zbú",$G238,0))</f>
        <v>0</v>
      </c>
      <c r="AI238" s="148" t="n">
        <f aca="false">VALUE(IF($D238="pří",$C238,0))+VALUE(IF($H238="pří",$G238,0))</f>
        <v>0</v>
      </c>
      <c r="AJ238" s="148" t="n">
        <f aca="false">VALUE(IF($D238="dot",$C238,0))+VALUE(IF($H238="dot",$G238,0))</f>
        <v>0</v>
      </c>
      <c r="AK238" s="148" t="n">
        <f aca="false">VALUE(IF($D238="opř",$C238,0))+VALUE(IF($H238="opř",$G238,0))</f>
        <v>0</v>
      </c>
      <c r="AL238" s="148" t="n">
        <f aca="false">SUM(P238:AK238)</f>
        <v>0</v>
      </c>
      <c r="AN238" s="180" t="str">
        <f aca="false">CONCATENATE('Přehled akce'!$K$4," / ",'Přehled akce'!$K$5)</f>
        <v> / </v>
      </c>
      <c r="AO238" s="181" t="n">
        <f aca="false">IF('Příjmy a výdaje'!$G238="ano",'Příjmy a výdaje'!$B238,0)</f>
        <v>0</v>
      </c>
      <c r="AP238" s="182" t="n">
        <f aca="false">IF('Příjmy a výdaje'!$G238="ano",'Příjmy a výdaje'!$C238,0)</f>
        <v>0</v>
      </c>
      <c r="AQ238" s="183" t="n">
        <f aca="false">'Příjmy a výdaje'!$AP238</f>
        <v>0</v>
      </c>
    </row>
    <row r="239" customFormat="false" ht="13.5" hidden="false" customHeight="false" outlineLevel="0" collapsed="false">
      <c r="A239" s="169" t="n">
        <v>219</v>
      </c>
      <c r="B239" s="197"/>
      <c r="C239" s="198"/>
      <c r="D239" s="199"/>
      <c r="E239" s="199"/>
      <c r="F239" s="229"/>
      <c r="G239" s="230"/>
      <c r="H239" s="190"/>
      <c r="I239" s="195"/>
      <c r="J239" s="231" t="str">
        <f aca="false">IF(AL239=C239,IF(AL239=0,"-","ok"),"chyba")</f>
        <v>-</v>
      </c>
      <c r="K239" s="179"/>
      <c r="L239" s="179"/>
      <c r="M239" s="179"/>
      <c r="N239" s="179"/>
      <c r="O239" s="248"/>
      <c r="P239" s="148" t="n">
        <f aca="false">VALUE(IF($D239="vyb",$C239,0))+VALUE(IF($H239="vyb",$G239,0))</f>
        <v>0</v>
      </c>
      <c r="Q239" s="148" t="n">
        <f aca="false">VALUE(IF($D239="mtv",$C239,0))+VALUE(IF($H239="mtv",$G239,0))</f>
        <v>0</v>
      </c>
      <c r="R239" s="148" t="n">
        <f aca="false">VALUE(IF($D239="mat",$C239,0))+VALUE(IF($H239="mat",$G239,0))</f>
        <v>0</v>
      </c>
      <c r="S239" s="148" t="n">
        <f aca="false">VALUE(IF($D239="pot",$C239,0))+VALUE(IF($H239="pot",$G239,0))</f>
        <v>0</v>
      </c>
      <c r="T239" s="148" t="n">
        <f aca="false">VALUE(IF($D239="táb",$C239,0))+VALUE(IF($H239="táb",$G239,0))</f>
        <v>0</v>
      </c>
      <c r="U239" s="148" t="n">
        <f aca="false">VALUE(IF($D239="oma",$C239,0))+VALUE(IF($H239="oma",$G239,0))</f>
        <v>0</v>
      </c>
      <c r="V239" s="148" t="n">
        <f aca="false">VALUE(IF($D239="ces",$C239,0))+VALUE(IF($H239="ces",$G239,0))</f>
        <v>0</v>
      </c>
      <c r="W239" s="148" t="n">
        <f aca="false">VALUE(IF($D239="poš",$C239,0))+VALUE(IF($H239="poš",$G239,0))</f>
        <v>0</v>
      </c>
      <c r="X239" s="148" t="n">
        <f aca="false">VALUE(IF($D239="tel",$C239,0))+VALUE(IF($H239="tel",$G239,0))</f>
        <v>0</v>
      </c>
      <c r="Y239" s="148" t="n">
        <f aca="false">VALUE(IF($D239="dop",$C239,0))+VALUE(IF($H239="dop",$G239,0))</f>
        <v>0</v>
      </c>
      <c r="Z239" s="148" t="n">
        <f aca="false">VALUE(IF($D239="nák",$C239,0))+VALUE(IF($H239="nák",$G239,0))</f>
        <v>0</v>
      </c>
      <c r="AA239" s="148" t="n">
        <f aca="false">VALUE(IF($D239="náj",$C239,0))+VALUE(IF($H239="náj",$G239,0))</f>
        <v>0</v>
      </c>
      <c r="AB239" s="148" t="n">
        <f aca="false">VALUE(IF($D239="půj",$C239,0))+VALUE(IF($H239="půj",$G239,0))</f>
        <v>0</v>
      </c>
      <c r="AC239" s="148" t="n">
        <f aca="false">VALUE(IF($D239="vst",$C239,0))+VALUE(IF($H239="vst",$G239,0))</f>
        <v>0</v>
      </c>
      <c r="AD239" s="148" t="n">
        <f aca="false">VALUE(IF($D239="kop",$C239,0))+VALUE(IF($H239="kop",$G239,0))</f>
        <v>0</v>
      </c>
      <c r="AE239" s="148" t="n">
        <f aca="false">VALUE(IF($D239="osl",$C239,0))+VALUE(IF($H239="osl",$G239,0))</f>
        <v>0</v>
      </c>
      <c r="AF239" s="148" t="n">
        <f aca="false">VALUE(IF($D239="vra",$C239,0))+VALUE(IF($H239="vra",$G239,0))</f>
        <v>0</v>
      </c>
      <c r="AG239" s="148" t="n">
        <f aca="false">VALUE(IF($D239="zho",$C239,0))+VALUE(IF($H239="zho",$G239,0))</f>
        <v>0</v>
      </c>
      <c r="AH239" s="148" t="n">
        <f aca="false">VALUE(IF($D239="zbú",$C239,0))+VALUE(IF($H239="zbú",$G239,0))</f>
        <v>0</v>
      </c>
      <c r="AI239" s="148" t="n">
        <f aca="false">VALUE(IF($D239="pří",$C239,0))+VALUE(IF($H239="pří",$G239,0))</f>
        <v>0</v>
      </c>
      <c r="AJ239" s="148" t="n">
        <f aca="false">VALUE(IF($D239="dot",$C239,0))+VALUE(IF($H239="dot",$G239,0))</f>
        <v>0</v>
      </c>
      <c r="AK239" s="148" t="n">
        <f aca="false">VALUE(IF($D239="opř",$C239,0))+VALUE(IF($H239="opř",$G239,0))</f>
        <v>0</v>
      </c>
      <c r="AL239" s="148" t="n">
        <f aca="false">SUM(P239:AK239)</f>
        <v>0</v>
      </c>
      <c r="AN239" s="180" t="str">
        <f aca="false">CONCATENATE('Přehled akce'!$K$4," / ",'Přehled akce'!$K$5)</f>
        <v> / </v>
      </c>
      <c r="AO239" s="181" t="n">
        <f aca="false">IF('Příjmy a výdaje'!$G239="ano",'Příjmy a výdaje'!$B239,0)</f>
        <v>0</v>
      </c>
      <c r="AP239" s="182" t="n">
        <f aca="false">IF('Příjmy a výdaje'!$G239="ano",'Příjmy a výdaje'!$C239,0)</f>
        <v>0</v>
      </c>
      <c r="AQ239" s="183" t="n">
        <f aca="false">'Příjmy a výdaje'!$AP239</f>
        <v>0</v>
      </c>
    </row>
    <row r="240" customFormat="false" ht="2.25" hidden="false" customHeight="true" outlineLevel="0" collapsed="false">
      <c r="A240" s="270"/>
      <c r="B240" s="271"/>
      <c r="C240" s="272"/>
      <c r="M240" s="273"/>
      <c r="N240" s="273"/>
      <c r="O240" s="239"/>
      <c r="P240" s="148" t="n">
        <f aca="false">VALUE(IF($D240="vyb",$C240,0))+VALUE(IF($H240="vyb",$G240,0))</f>
        <v>0</v>
      </c>
      <c r="Q240" s="148" t="n">
        <f aca="false">VALUE(IF($D240="mtv",$C240,0))+VALUE(IF($H240="mtv",$G240,0))</f>
        <v>0</v>
      </c>
      <c r="R240" s="148" t="n">
        <f aca="false">VALUE(IF($D240="mat",$C240,0))+VALUE(IF($H240="mat",$G240,0))</f>
        <v>0</v>
      </c>
      <c r="S240" s="148" t="n">
        <f aca="false">VALUE(IF($D240="pot",$C240,0))+VALUE(IF($H240="pot",$G240,0))</f>
        <v>0</v>
      </c>
      <c r="T240" s="148" t="n">
        <f aca="false">VALUE(IF($D240="táb",$C240,0))+VALUE(IF($H240="táb",$G240,0))</f>
        <v>0</v>
      </c>
      <c r="U240" s="148" t="n">
        <f aca="false">VALUE(IF($D240="oma",$C240,0))+VALUE(IF($H240="oma",$G240,0))</f>
        <v>0</v>
      </c>
      <c r="V240" s="148" t="n">
        <f aca="false">VALUE(IF($D240="ces",$C240,0))+VALUE(IF($H240="ces",$G240,0))</f>
        <v>0</v>
      </c>
      <c r="W240" s="148" t="n">
        <f aca="false">VALUE(IF($D240="poš",$C240,0))+VALUE(IF($H240="poš",$G240,0))</f>
        <v>0</v>
      </c>
      <c r="X240" s="148" t="n">
        <f aca="false">VALUE(IF($D240="tel",$C240,0))+VALUE(IF($H240="tel",$G240,0))</f>
        <v>0</v>
      </c>
      <c r="Y240" s="148" t="n">
        <f aca="false">VALUE(IF($D240="dop",$C240,0))+VALUE(IF($H240="dop",$G240,0))</f>
        <v>0</v>
      </c>
      <c r="Z240" s="148" t="n">
        <f aca="false">VALUE(IF($D240="nák",$C240,0))+VALUE(IF($H240="nák",$G240,0))</f>
        <v>0</v>
      </c>
      <c r="AA240" s="148" t="n">
        <f aca="false">VALUE(IF($D240="náj",$C240,0))+VALUE(IF($H240="náj",$G240,0))</f>
        <v>0</v>
      </c>
      <c r="AB240" s="148" t="n">
        <f aca="false">VALUE(IF($D240="půj",$C240,0))+VALUE(IF($H240="půj",$G240,0))</f>
        <v>0</v>
      </c>
      <c r="AC240" s="148" t="n">
        <f aca="false">VALUE(IF($D240="vst",$C240,0))+VALUE(IF($H240="vst",$G240,0))</f>
        <v>0</v>
      </c>
      <c r="AD240" s="148" t="n">
        <f aca="false">VALUE(IF($D240="kop",$C240,0))+VALUE(IF($H240="kop",$G240,0))</f>
        <v>0</v>
      </c>
      <c r="AE240" s="148" t="n">
        <f aca="false">VALUE(IF($D240="osl",$C240,0))+VALUE(IF($H240="osl",$G240,0))</f>
        <v>0</v>
      </c>
      <c r="AF240" s="148" t="n">
        <f aca="false">VALUE(IF($D240="vra",$C240,0))+VALUE(IF($H240="vra",$G240,0))</f>
        <v>0</v>
      </c>
      <c r="AG240" s="148" t="n">
        <f aca="false">VALUE(IF($D240="zho",$C240,0))+VALUE(IF($H240="zho",$G240,0))</f>
        <v>0</v>
      </c>
      <c r="AH240" s="148" t="n">
        <f aca="false">VALUE(IF($D240="zbú",$C240,0))+VALUE(IF($H240="zbú",$G240,0))</f>
        <v>0</v>
      </c>
      <c r="AI240" s="148" t="n">
        <f aca="false">VALUE(IF($D240="pří",$C240,0))+VALUE(IF($H240="pří",$G240,0))</f>
        <v>0</v>
      </c>
      <c r="AJ240" s="148" t="n">
        <f aca="false">VALUE(IF($D240="dot",$C240,0))+VALUE(IF($H240="dot",$G240,0))</f>
        <v>0</v>
      </c>
      <c r="AK240" s="148" t="n">
        <f aca="false">VALUE(IF($D240="opř",$C240,0))+VALUE(IF($H240="opř",$G240,0))</f>
        <v>0</v>
      </c>
      <c r="AL240" s="148" t="n">
        <f aca="false">SUM(P240:AK240)</f>
        <v>0</v>
      </c>
    </row>
    <row r="241" customFormat="false" ht="12.75" hidden="false" customHeight="false" outlineLevel="0" collapsed="false">
      <c r="A241" s="204"/>
      <c r="B241" s="274"/>
      <c r="C241" s="275"/>
      <c r="M241" s="273"/>
      <c r="N241" s="273"/>
      <c r="O241" s="239"/>
      <c r="P241" s="148" t="n">
        <f aca="false">VALUE(IF($D241="vyb",$C241,0))+VALUE(IF($H241="vyb",$G241,0))</f>
        <v>0</v>
      </c>
      <c r="Q241" s="148" t="n">
        <f aca="false">VALUE(IF($D241="mtv",$C241,0))+VALUE(IF($H241="mtv",$G241,0))</f>
        <v>0</v>
      </c>
      <c r="R241" s="148" t="n">
        <f aca="false">VALUE(IF($D241="mat",$C241,0))+VALUE(IF($H241="mat",$G241,0))</f>
        <v>0</v>
      </c>
      <c r="S241" s="148" t="n">
        <f aca="false">VALUE(IF($D241="pot",$C241,0))+VALUE(IF($H241="pot",$G241,0))</f>
        <v>0</v>
      </c>
      <c r="T241" s="148" t="n">
        <f aca="false">VALUE(IF($D241="táb",$C241,0))+VALUE(IF($H241="táb",$G241,0))</f>
        <v>0</v>
      </c>
      <c r="U241" s="148" t="n">
        <f aca="false">VALUE(IF($D241="oma",$C241,0))+VALUE(IF($H241="oma",$G241,0))</f>
        <v>0</v>
      </c>
      <c r="V241" s="148" t="n">
        <f aca="false">VALUE(IF($D241="ces",$C241,0))+VALUE(IF($H241="ces",$G241,0))</f>
        <v>0</v>
      </c>
      <c r="W241" s="148" t="n">
        <f aca="false">VALUE(IF($D241="poš",$C241,0))+VALUE(IF($H241="poš",$G241,0))</f>
        <v>0</v>
      </c>
      <c r="X241" s="148" t="n">
        <f aca="false">VALUE(IF($D241="tel",$C241,0))+VALUE(IF($H241="tel",$G241,0))</f>
        <v>0</v>
      </c>
      <c r="Y241" s="148" t="n">
        <f aca="false">VALUE(IF($D241="dop",$C241,0))+VALUE(IF($H241="dop",$G241,0))</f>
        <v>0</v>
      </c>
      <c r="Z241" s="148" t="n">
        <f aca="false">VALUE(IF($D241="nák",$C241,0))+VALUE(IF($H241="nák",$G241,0))</f>
        <v>0</v>
      </c>
      <c r="AA241" s="148" t="n">
        <f aca="false">VALUE(IF($D241="náj",$C241,0))+VALUE(IF($H241="náj",$G241,0))</f>
        <v>0</v>
      </c>
      <c r="AB241" s="148" t="n">
        <f aca="false">VALUE(IF($D241="půj",$C241,0))+VALUE(IF($H241="půj",$G241,0))</f>
        <v>0</v>
      </c>
      <c r="AC241" s="148" t="n">
        <f aca="false">VALUE(IF($D241="vst",$C241,0))+VALUE(IF($H241="vst",$G241,0))</f>
        <v>0</v>
      </c>
      <c r="AD241" s="148" t="n">
        <f aca="false">VALUE(IF($D241="kop",$C241,0))+VALUE(IF($H241="kop",$G241,0))</f>
        <v>0</v>
      </c>
      <c r="AE241" s="148" t="n">
        <f aca="false">VALUE(IF($D241="osl",$C241,0))+VALUE(IF($H241="osl",$G241,0))</f>
        <v>0</v>
      </c>
      <c r="AF241" s="148" t="n">
        <f aca="false">VALUE(IF($D241="vra",$C241,0))+VALUE(IF($H241="vra",$G241,0))</f>
        <v>0</v>
      </c>
      <c r="AG241" s="148" t="n">
        <f aca="false">VALUE(IF($D241="zho",$C241,0))+VALUE(IF($H241="zho",$G241,0))</f>
        <v>0</v>
      </c>
      <c r="AH241" s="148" t="n">
        <f aca="false">VALUE(IF($D241="zbú",$C241,0))+VALUE(IF($H241="zbú",$G241,0))</f>
        <v>0</v>
      </c>
      <c r="AI241" s="148" t="n">
        <f aca="false">VALUE(IF($D241="pří",$C241,0))+VALUE(IF($H241="pří",$G241,0))</f>
        <v>0</v>
      </c>
      <c r="AJ241" s="148" t="n">
        <f aca="false">VALUE(IF($D241="dot",$C241,0))+VALUE(IF($H241="dot",$G241,0))</f>
        <v>0</v>
      </c>
      <c r="AK241" s="148" t="n">
        <f aca="false">VALUE(IF($D241="opř",$C241,0))+VALUE(IF($H241="opř",$G241,0))</f>
        <v>0</v>
      </c>
      <c r="AL241" s="148" t="n">
        <f aca="false">SUM(P241:AK241)</f>
        <v>0</v>
      </c>
    </row>
    <row r="242" customFormat="false" ht="12.75" hidden="false" customHeight="false" outlineLevel="0" collapsed="false">
      <c r="A242" s="204"/>
      <c r="B242" s="274"/>
      <c r="C242" s="275"/>
      <c r="M242" s="273"/>
      <c r="N242" s="273"/>
      <c r="O242" s="239"/>
      <c r="P242" s="148" t="n">
        <f aca="false">VALUE(IF($D242="vyb",$C242,0))+VALUE(IF($H242="vyb",$G242,0))</f>
        <v>0</v>
      </c>
      <c r="Q242" s="148" t="n">
        <f aca="false">VALUE(IF($D242="mtv",$C242,0))+VALUE(IF($H242="mtv",$G242,0))</f>
        <v>0</v>
      </c>
      <c r="R242" s="148" t="n">
        <f aca="false">VALUE(IF($D242="mat",$C242,0))+VALUE(IF($H242="mat",$G242,0))</f>
        <v>0</v>
      </c>
      <c r="S242" s="148" t="n">
        <f aca="false">VALUE(IF($D242="pot",$C242,0))+VALUE(IF($H242="pot",$G242,0))</f>
        <v>0</v>
      </c>
      <c r="T242" s="148" t="n">
        <f aca="false">VALUE(IF($D242="táb",$C242,0))+VALUE(IF($H242="táb",$G242,0))</f>
        <v>0</v>
      </c>
      <c r="U242" s="148" t="n">
        <f aca="false">VALUE(IF($D242="oma",$C242,0))+VALUE(IF($H242="oma",$G242,0))</f>
        <v>0</v>
      </c>
      <c r="V242" s="148" t="n">
        <f aca="false">VALUE(IF($D242="ces",$C242,0))+VALUE(IF($H242="ces",$G242,0))</f>
        <v>0</v>
      </c>
      <c r="W242" s="148" t="n">
        <f aca="false">VALUE(IF($D242="poš",$C242,0))+VALUE(IF($H242="poš",$G242,0))</f>
        <v>0</v>
      </c>
      <c r="X242" s="148" t="n">
        <f aca="false">VALUE(IF($D242="tel",$C242,0))+VALUE(IF($H242="tel",$G242,0))</f>
        <v>0</v>
      </c>
      <c r="Y242" s="148" t="n">
        <f aca="false">VALUE(IF($D242="dop",$C242,0))+VALUE(IF($H242="dop",$G242,0))</f>
        <v>0</v>
      </c>
      <c r="Z242" s="148" t="n">
        <f aca="false">VALUE(IF($D242="nák",$C242,0))+VALUE(IF($H242="nák",$G242,0))</f>
        <v>0</v>
      </c>
      <c r="AA242" s="148" t="n">
        <f aca="false">VALUE(IF($D242="náj",$C242,0))+VALUE(IF($H242="náj",$G242,0))</f>
        <v>0</v>
      </c>
      <c r="AB242" s="148" t="n">
        <f aca="false">VALUE(IF($D242="půj",$C242,0))+VALUE(IF($H242="půj",$G242,0))</f>
        <v>0</v>
      </c>
      <c r="AC242" s="148" t="n">
        <f aca="false">VALUE(IF($D242="vst",$C242,0))+VALUE(IF($H242="vst",$G242,0))</f>
        <v>0</v>
      </c>
      <c r="AD242" s="148" t="n">
        <f aca="false">VALUE(IF($D242="kop",$C242,0))+VALUE(IF($H242="kop",$G242,0))</f>
        <v>0</v>
      </c>
      <c r="AE242" s="148" t="n">
        <f aca="false">VALUE(IF($D242="osl",$C242,0))+VALUE(IF($H242="osl",$G242,0))</f>
        <v>0</v>
      </c>
      <c r="AF242" s="148" t="n">
        <f aca="false">VALUE(IF($D242="vra",$C242,0))+VALUE(IF($H242="vra",$G242,0))</f>
        <v>0</v>
      </c>
      <c r="AG242" s="148" t="n">
        <f aca="false">VALUE(IF($D242="zho",$C242,0))+VALUE(IF($H242="zho",$G242,0))</f>
        <v>0</v>
      </c>
      <c r="AH242" s="148" t="n">
        <f aca="false">VALUE(IF($D242="zbú",$C242,0))+VALUE(IF($H242="zbú",$G242,0))</f>
        <v>0</v>
      </c>
      <c r="AI242" s="148" t="n">
        <f aca="false">VALUE(IF($D242="pří",$C242,0))+VALUE(IF($H242="pří",$G242,0))</f>
        <v>0</v>
      </c>
      <c r="AJ242" s="148" t="n">
        <f aca="false">VALUE(IF($D242="dot",$C242,0))+VALUE(IF($H242="dot",$G242,0))</f>
        <v>0</v>
      </c>
      <c r="AK242" s="148" t="n">
        <f aca="false">VALUE(IF($D242="opř",$C242,0))+VALUE(IF($H242="opř",$G242,0))</f>
        <v>0</v>
      </c>
      <c r="AL242" s="148" t="n">
        <f aca="false">SUM(P242:AK242)</f>
        <v>0</v>
      </c>
    </row>
    <row r="243" customFormat="false" ht="12.75" hidden="false" customHeight="false" outlineLevel="0" collapsed="false">
      <c r="A243" s="204"/>
      <c r="B243" s="274"/>
      <c r="C243" s="275"/>
      <c r="P243" s="148" t="n">
        <f aca="false">VALUE(IF($D243="vyb",$C243,0))+VALUE(IF($H243="vyb",$G243,0))</f>
        <v>0</v>
      </c>
      <c r="Q243" s="148" t="n">
        <f aca="false">VALUE(IF($D243="mtv",$C243,0))+VALUE(IF($H243="mtv",$G243,0))</f>
        <v>0</v>
      </c>
      <c r="R243" s="148" t="n">
        <f aca="false">VALUE(IF($D243="mat",$C243,0))+VALUE(IF($H243="mat",$G243,0))</f>
        <v>0</v>
      </c>
      <c r="S243" s="148" t="n">
        <f aca="false">VALUE(IF($D243="pot",$C243,0))+VALUE(IF($H243="pot",$G243,0))</f>
        <v>0</v>
      </c>
      <c r="T243" s="148" t="n">
        <f aca="false">VALUE(IF($D243="táb",$C243,0))+VALUE(IF($H243="táb",$G243,0))</f>
        <v>0</v>
      </c>
      <c r="U243" s="148" t="n">
        <f aca="false">VALUE(IF($D243="oma",$C243,0))+VALUE(IF($H243="oma",$G243,0))</f>
        <v>0</v>
      </c>
      <c r="V243" s="148" t="n">
        <f aca="false">VALUE(IF($D243="ces",$C243,0))+VALUE(IF($H243="ces",$G243,0))</f>
        <v>0</v>
      </c>
      <c r="W243" s="148" t="n">
        <f aca="false">VALUE(IF($D243="poš",$C243,0))+VALUE(IF($H243="poš",$G243,0))</f>
        <v>0</v>
      </c>
      <c r="X243" s="148" t="n">
        <f aca="false">VALUE(IF($D243="tel",$C243,0))+VALUE(IF($H243="tel",$G243,0))</f>
        <v>0</v>
      </c>
      <c r="Y243" s="148" t="n">
        <f aca="false">VALUE(IF($D243="dop",$C243,0))+VALUE(IF($H243="dop",$G243,0))</f>
        <v>0</v>
      </c>
      <c r="Z243" s="148" t="n">
        <f aca="false">VALUE(IF($D243="nák",$C243,0))+VALUE(IF($H243="nák",$G243,0))</f>
        <v>0</v>
      </c>
      <c r="AA243" s="148" t="n">
        <f aca="false">VALUE(IF($D243="náj",$C243,0))+VALUE(IF($H243="náj",$G243,0))</f>
        <v>0</v>
      </c>
      <c r="AB243" s="148" t="n">
        <f aca="false">VALUE(IF($D243="půj",$C243,0))+VALUE(IF($H243="půj",$G243,0))</f>
        <v>0</v>
      </c>
      <c r="AC243" s="148" t="n">
        <f aca="false">VALUE(IF($D243="vst",$C243,0))+VALUE(IF($H243="vst",$G243,0))</f>
        <v>0</v>
      </c>
      <c r="AD243" s="148" t="n">
        <f aca="false">VALUE(IF($D243="kop",$C243,0))+VALUE(IF($H243="kop",$G243,0))</f>
        <v>0</v>
      </c>
      <c r="AE243" s="148" t="n">
        <f aca="false">VALUE(IF($D243="osl",$C243,0))+VALUE(IF($H243="osl",$G243,0))</f>
        <v>0</v>
      </c>
      <c r="AF243" s="148" t="n">
        <f aca="false">VALUE(IF($D243="vra",$C243,0))+VALUE(IF($H243="vra",$G243,0))</f>
        <v>0</v>
      </c>
      <c r="AG243" s="148" t="n">
        <f aca="false">VALUE(IF($D243="zho",$C243,0))+VALUE(IF($H243="zho",$G243,0))</f>
        <v>0</v>
      </c>
      <c r="AH243" s="148" t="n">
        <f aca="false">VALUE(IF($D243="zbú",$C243,0))+VALUE(IF($H243="zbú",$G243,0))</f>
        <v>0</v>
      </c>
      <c r="AI243" s="148" t="n">
        <f aca="false">VALUE(IF($D243="pří",$C243,0))+VALUE(IF($H243="pří",$G243,0))</f>
        <v>0</v>
      </c>
      <c r="AJ243" s="148" t="n">
        <f aca="false">VALUE(IF($D243="dot",$C243,0))+VALUE(IF($H243="dot",$G243,0))</f>
        <v>0</v>
      </c>
      <c r="AK243" s="148" t="n">
        <f aca="false">VALUE(IF($D243="opř",$C243,0))+VALUE(IF($H243="opř",$G243,0))</f>
        <v>0</v>
      </c>
      <c r="AL243" s="148" t="n">
        <f aca="false">SUM(P243:AK243)</f>
        <v>0</v>
      </c>
    </row>
    <row r="244" customFormat="false" ht="12.75" hidden="false" customHeight="false" outlineLevel="0" collapsed="false">
      <c r="A244" s="204"/>
      <c r="B244" s="274"/>
      <c r="C244" s="275"/>
      <c r="P244" s="148" t="n">
        <f aca="false">VALUE(IF($D244="vyb",$C244,0))+VALUE(IF($H244="vyb",$G244,0))</f>
        <v>0</v>
      </c>
      <c r="Q244" s="148" t="n">
        <f aca="false">VALUE(IF($D244="mtv",$C244,0))+VALUE(IF($H244="mtv",$G244,0))</f>
        <v>0</v>
      </c>
      <c r="R244" s="148" t="n">
        <f aca="false">VALUE(IF($D244="mat",$C244,0))+VALUE(IF($H244="mat",$G244,0))</f>
        <v>0</v>
      </c>
      <c r="S244" s="148" t="n">
        <f aca="false">VALUE(IF($D244="pot",$C244,0))+VALUE(IF($H244="pot",$G244,0))</f>
        <v>0</v>
      </c>
      <c r="T244" s="148" t="n">
        <f aca="false">VALUE(IF($D244="táb",$C244,0))+VALUE(IF($H244="táb",$G244,0))</f>
        <v>0</v>
      </c>
      <c r="U244" s="148" t="n">
        <f aca="false">VALUE(IF($D244="oma",$C244,0))+VALUE(IF($H244="oma",$G244,0))</f>
        <v>0</v>
      </c>
      <c r="V244" s="148" t="n">
        <f aca="false">VALUE(IF($D244="ces",$C244,0))+VALUE(IF($H244="ces",$G244,0))</f>
        <v>0</v>
      </c>
      <c r="W244" s="148" t="n">
        <f aca="false">VALUE(IF($D244="poš",$C244,0))+VALUE(IF($H244="poš",$G244,0))</f>
        <v>0</v>
      </c>
      <c r="X244" s="148" t="n">
        <f aca="false">VALUE(IF($D244="tel",$C244,0))+VALUE(IF($H244="tel",$G244,0))</f>
        <v>0</v>
      </c>
      <c r="Y244" s="148" t="n">
        <f aca="false">VALUE(IF($D244="dop",$C244,0))+VALUE(IF($H244="dop",$G244,0))</f>
        <v>0</v>
      </c>
      <c r="Z244" s="148" t="n">
        <f aca="false">VALUE(IF($D244="nák",$C244,0))+VALUE(IF($H244="nák",$G244,0))</f>
        <v>0</v>
      </c>
      <c r="AA244" s="148" t="n">
        <f aca="false">VALUE(IF($D244="náj",$C244,0))+VALUE(IF($H244="náj",$G244,0))</f>
        <v>0</v>
      </c>
      <c r="AB244" s="148" t="n">
        <f aca="false">VALUE(IF($D244="půj",$C244,0))+VALUE(IF($H244="půj",$G244,0))</f>
        <v>0</v>
      </c>
      <c r="AC244" s="148" t="n">
        <f aca="false">VALUE(IF($D244="vst",$C244,0))+VALUE(IF($H244="vst",$G244,0))</f>
        <v>0</v>
      </c>
      <c r="AD244" s="148" t="n">
        <f aca="false">VALUE(IF($D244="kop",$C244,0))+VALUE(IF($H244="kop",$G244,0))</f>
        <v>0</v>
      </c>
      <c r="AE244" s="148" t="n">
        <f aca="false">VALUE(IF($D244="osl",$C244,0))+VALUE(IF($H244="osl",$G244,0))</f>
        <v>0</v>
      </c>
      <c r="AF244" s="148" t="n">
        <f aca="false">VALUE(IF($D244="vra",$C244,0))+VALUE(IF($H244="vra",$G244,0))</f>
        <v>0</v>
      </c>
      <c r="AG244" s="148" t="n">
        <f aca="false">VALUE(IF($D244="zho",$C244,0))+VALUE(IF($H244="zho",$G244,0))</f>
        <v>0</v>
      </c>
      <c r="AH244" s="148" t="n">
        <f aca="false">VALUE(IF($D244="zbú",$C244,0))+VALUE(IF($H244="zbú",$G244,0))</f>
        <v>0</v>
      </c>
      <c r="AI244" s="148" t="n">
        <f aca="false">VALUE(IF($D244="pří",$C244,0))+VALUE(IF($H244="pří",$G244,0))</f>
        <v>0</v>
      </c>
      <c r="AJ244" s="148" t="n">
        <f aca="false">VALUE(IF($D244="dot",$C244,0))+VALUE(IF($H244="dot",$G244,0))</f>
        <v>0</v>
      </c>
      <c r="AK244" s="148" t="n">
        <f aca="false">VALUE(IF($D244="opř",$C244,0))+VALUE(IF($H244="opř",$G244,0))</f>
        <v>0</v>
      </c>
      <c r="AL244" s="148" t="n">
        <f aca="false">SUM(P244:AK244)</f>
        <v>0</v>
      </c>
    </row>
    <row r="245" customFormat="false" ht="12.75" hidden="false" customHeight="false" outlineLevel="0" collapsed="false">
      <c r="A245" s="204"/>
      <c r="B245" s="274"/>
      <c r="C245" s="275"/>
      <c r="P245" s="148" t="n">
        <f aca="false">VALUE(IF($D245="vyb",$C245,0))+VALUE(IF($H245="vyb",$G245,0))</f>
        <v>0</v>
      </c>
      <c r="Q245" s="148" t="n">
        <f aca="false">VALUE(IF($D245="mtv",$C245,0))+VALUE(IF($H245="mtv",$G245,0))</f>
        <v>0</v>
      </c>
      <c r="R245" s="148" t="n">
        <f aca="false">VALUE(IF($D245="mat",$C245,0))+VALUE(IF($H245="mat",$G245,0))</f>
        <v>0</v>
      </c>
      <c r="S245" s="148" t="n">
        <f aca="false">VALUE(IF($D245="pot",$C245,0))+VALUE(IF($H245="pot",$G245,0))</f>
        <v>0</v>
      </c>
      <c r="T245" s="148" t="n">
        <f aca="false">VALUE(IF($D245="táb",$C245,0))+VALUE(IF($H245="táb",$G245,0))</f>
        <v>0</v>
      </c>
      <c r="U245" s="148" t="n">
        <f aca="false">VALUE(IF($D245="oma",$C245,0))+VALUE(IF($H245="oma",$G245,0))</f>
        <v>0</v>
      </c>
      <c r="V245" s="148" t="n">
        <f aca="false">VALUE(IF($D245="ces",$C245,0))+VALUE(IF($H245="ces",$G245,0))</f>
        <v>0</v>
      </c>
      <c r="W245" s="148" t="n">
        <f aca="false">VALUE(IF($D245="poš",$C245,0))+VALUE(IF($H245="poš",$G245,0))</f>
        <v>0</v>
      </c>
      <c r="X245" s="148" t="n">
        <f aca="false">VALUE(IF($D245="tel",$C245,0))+VALUE(IF($H245="tel",$G245,0))</f>
        <v>0</v>
      </c>
      <c r="Y245" s="148" t="n">
        <f aca="false">VALUE(IF($D245="dop",$C245,0))+VALUE(IF($H245="dop",$G245,0))</f>
        <v>0</v>
      </c>
      <c r="Z245" s="148" t="n">
        <f aca="false">VALUE(IF($D245="nák",$C245,0))+VALUE(IF($H245="nák",$G245,0))</f>
        <v>0</v>
      </c>
      <c r="AA245" s="148" t="n">
        <f aca="false">VALUE(IF($D245="náj",$C245,0))+VALUE(IF($H245="náj",$G245,0))</f>
        <v>0</v>
      </c>
      <c r="AB245" s="148" t="n">
        <f aca="false">VALUE(IF($D245="půj",$C245,0))+VALUE(IF($H245="půj",$G245,0))</f>
        <v>0</v>
      </c>
      <c r="AC245" s="148" t="n">
        <f aca="false">VALUE(IF($D245="vst",$C245,0))+VALUE(IF($H245="vst",$G245,0))</f>
        <v>0</v>
      </c>
      <c r="AD245" s="148" t="n">
        <f aca="false">VALUE(IF($D245="kop",$C245,0))+VALUE(IF($H245="kop",$G245,0))</f>
        <v>0</v>
      </c>
      <c r="AE245" s="148" t="n">
        <f aca="false">VALUE(IF($D245="osl",$C245,0))+VALUE(IF($H245="osl",$G245,0))</f>
        <v>0</v>
      </c>
      <c r="AF245" s="148" t="n">
        <f aca="false">VALUE(IF($D245="vra",$C245,0))+VALUE(IF($H245="vra",$G245,0))</f>
        <v>0</v>
      </c>
      <c r="AG245" s="148" t="n">
        <f aca="false">VALUE(IF($D245="zho",$C245,0))+VALUE(IF($H245="zho",$G245,0))</f>
        <v>0</v>
      </c>
      <c r="AH245" s="148" t="n">
        <f aca="false">VALUE(IF($D245="zbú",$C245,0))+VALUE(IF($H245="zbú",$G245,0))</f>
        <v>0</v>
      </c>
      <c r="AI245" s="148" t="n">
        <f aca="false">VALUE(IF($D245="pří",$C245,0))+VALUE(IF($H245="pří",$G245,0))</f>
        <v>0</v>
      </c>
      <c r="AJ245" s="148" t="n">
        <f aca="false">VALUE(IF($D245="dot",$C245,0))+VALUE(IF($H245="dot",$G245,0))</f>
        <v>0</v>
      </c>
      <c r="AK245" s="148" t="n">
        <f aca="false">VALUE(IF($D245="opř",$C245,0))+VALUE(IF($H245="opř",$G245,0))</f>
        <v>0</v>
      </c>
      <c r="AL245" s="148" t="n">
        <f aca="false">SUM(P245:AK245)</f>
        <v>0</v>
      </c>
    </row>
    <row r="246" customFormat="false" ht="12.75" hidden="false" customHeight="false" outlineLevel="0" collapsed="false">
      <c r="A246" s="204"/>
      <c r="B246" s="274"/>
      <c r="C246" s="275"/>
      <c r="P246" s="148" t="n">
        <f aca="false">VALUE(IF($D246="vyb",$C246,0))+VALUE(IF($H246="vyb",$G246,0))</f>
        <v>0</v>
      </c>
      <c r="Q246" s="148" t="n">
        <f aca="false">VALUE(IF($D246="mtv",$C246,0))+VALUE(IF($H246="mtv",$G246,0))</f>
        <v>0</v>
      </c>
      <c r="R246" s="148" t="n">
        <f aca="false">VALUE(IF($D246="mat",$C246,0))+VALUE(IF($H246="mat",$G246,0))</f>
        <v>0</v>
      </c>
      <c r="S246" s="148" t="n">
        <f aca="false">VALUE(IF($D246="pot",$C246,0))+VALUE(IF($H246="pot",$G246,0))</f>
        <v>0</v>
      </c>
      <c r="T246" s="148" t="n">
        <f aca="false">VALUE(IF($D246="táb",$C246,0))+VALUE(IF($H246="táb",$G246,0))</f>
        <v>0</v>
      </c>
      <c r="U246" s="148" t="n">
        <f aca="false">VALUE(IF($D246="oma",$C246,0))+VALUE(IF($H246="oma",$G246,0))</f>
        <v>0</v>
      </c>
      <c r="V246" s="148" t="n">
        <f aca="false">VALUE(IF($D246="ces",$C246,0))+VALUE(IF($H246="ces",$G246,0))</f>
        <v>0</v>
      </c>
      <c r="W246" s="148" t="n">
        <f aca="false">VALUE(IF($D246="poš",$C246,0))+VALUE(IF($H246="poš",$G246,0))</f>
        <v>0</v>
      </c>
      <c r="X246" s="148" t="n">
        <f aca="false">VALUE(IF($D246="tel",$C246,0))+VALUE(IF($H246="tel",$G246,0))</f>
        <v>0</v>
      </c>
      <c r="Y246" s="148" t="n">
        <f aca="false">VALUE(IF($D246="dop",$C246,0))+VALUE(IF($H246="dop",$G246,0))</f>
        <v>0</v>
      </c>
      <c r="Z246" s="148" t="n">
        <f aca="false">VALUE(IF($D246="nák",$C246,0))+VALUE(IF($H246="nák",$G246,0))</f>
        <v>0</v>
      </c>
      <c r="AA246" s="148" t="n">
        <f aca="false">VALUE(IF($D246="náj",$C246,0))+VALUE(IF($H246="náj",$G246,0))</f>
        <v>0</v>
      </c>
      <c r="AB246" s="148" t="n">
        <f aca="false">VALUE(IF($D246="půj",$C246,0))+VALUE(IF($H246="půj",$G246,0))</f>
        <v>0</v>
      </c>
      <c r="AC246" s="148" t="n">
        <f aca="false">VALUE(IF($D246="vst",$C246,0))+VALUE(IF($H246="vst",$G246,0))</f>
        <v>0</v>
      </c>
      <c r="AD246" s="148" t="n">
        <f aca="false">VALUE(IF($D246="kop",$C246,0))+VALUE(IF($H246="kop",$G246,0))</f>
        <v>0</v>
      </c>
      <c r="AE246" s="148" t="n">
        <f aca="false">VALUE(IF($D246="osl",$C246,0))+VALUE(IF($H246="osl",$G246,0))</f>
        <v>0</v>
      </c>
      <c r="AF246" s="148" t="n">
        <f aca="false">VALUE(IF($D246="vra",$C246,0))+VALUE(IF($H246="vra",$G246,0))</f>
        <v>0</v>
      </c>
      <c r="AG246" s="148" t="n">
        <f aca="false">VALUE(IF($D246="zho",$C246,0))+VALUE(IF($H246="zho",$G246,0))</f>
        <v>0</v>
      </c>
      <c r="AH246" s="148" t="n">
        <f aca="false">VALUE(IF($D246="zbú",$C246,0))+VALUE(IF($H246="zbú",$G246,0))</f>
        <v>0</v>
      </c>
      <c r="AI246" s="148" t="n">
        <f aca="false">VALUE(IF($D246="pří",$C246,0))+VALUE(IF($H246="pří",$G246,0))</f>
        <v>0</v>
      </c>
      <c r="AJ246" s="148" t="n">
        <f aca="false">VALUE(IF($D246="dot",$C246,0))+VALUE(IF($H246="dot",$G246,0))</f>
        <v>0</v>
      </c>
      <c r="AK246" s="148" t="n">
        <f aca="false">VALUE(IF($D246="opř",$C246,0))+VALUE(IF($H246="opř",$G246,0))</f>
        <v>0</v>
      </c>
      <c r="AL246" s="148" t="n">
        <f aca="false">SUM(P246:AK246)</f>
        <v>0</v>
      </c>
    </row>
    <row r="247" customFormat="false" ht="12.75" hidden="false" customHeight="false" outlineLevel="0" collapsed="false">
      <c r="A247" s="204"/>
      <c r="B247" s="274"/>
      <c r="C247" s="275"/>
      <c r="P247" s="148" t="n">
        <f aca="false">VALUE(IF($D247="vyb",$C247,0))+VALUE(IF($H247="vyb",$G247,0))</f>
        <v>0</v>
      </c>
      <c r="Q247" s="148" t="n">
        <f aca="false">VALUE(IF($D247="mtv",$C247,0))+VALUE(IF($H247="mtv",$G247,0))</f>
        <v>0</v>
      </c>
      <c r="R247" s="148" t="n">
        <f aca="false">VALUE(IF($D247="mat",$C247,0))+VALUE(IF($H247="mat",$G247,0))</f>
        <v>0</v>
      </c>
      <c r="S247" s="148" t="n">
        <f aca="false">VALUE(IF($D247="pot",$C247,0))+VALUE(IF($H247="pot",$G247,0))</f>
        <v>0</v>
      </c>
      <c r="T247" s="148" t="n">
        <f aca="false">VALUE(IF($D247="táb",$C247,0))+VALUE(IF($H247="táb",$G247,0))</f>
        <v>0</v>
      </c>
      <c r="U247" s="148" t="n">
        <f aca="false">VALUE(IF($D247="oma",$C247,0))+VALUE(IF($H247="oma",$G247,0))</f>
        <v>0</v>
      </c>
      <c r="V247" s="148" t="n">
        <f aca="false">VALUE(IF($D247="ces",$C247,0))+VALUE(IF($H247="ces",$G247,0))</f>
        <v>0</v>
      </c>
      <c r="W247" s="148" t="n">
        <f aca="false">VALUE(IF($D247="poš",$C247,0))+VALUE(IF($H247="poš",$G247,0))</f>
        <v>0</v>
      </c>
      <c r="X247" s="148" t="n">
        <f aca="false">VALUE(IF($D247="tel",$C247,0))+VALUE(IF($H247="tel",$G247,0))</f>
        <v>0</v>
      </c>
      <c r="Y247" s="148" t="n">
        <f aca="false">VALUE(IF($D247="dop",$C247,0))+VALUE(IF($H247="dop",$G247,0))</f>
        <v>0</v>
      </c>
      <c r="Z247" s="148" t="n">
        <f aca="false">VALUE(IF($D247="nák",$C247,0))+VALUE(IF($H247="nák",$G247,0))</f>
        <v>0</v>
      </c>
      <c r="AA247" s="148" t="n">
        <f aca="false">VALUE(IF($D247="náj",$C247,0))+VALUE(IF($H247="náj",$G247,0))</f>
        <v>0</v>
      </c>
      <c r="AB247" s="148" t="n">
        <f aca="false">VALUE(IF($D247="půj",$C247,0))+VALUE(IF($H247="půj",$G247,0))</f>
        <v>0</v>
      </c>
      <c r="AC247" s="148" t="n">
        <f aca="false">VALUE(IF($D247="vst",$C247,0))+VALUE(IF($H247="vst",$G247,0))</f>
        <v>0</v>
      </c>
      <c r="AD247" s="148" t="n">
        <f aca="false">VALUE(IF($D247="kop",$C247,0))+VALUE(IF($H247="kop",$G247,0))</f>
        <v>0</v>
      </c>
      <c r="AE247" s="148" t="n">
        <f aca="false">VALUE(IF($D247="osl",$C247,0))+VALUE(IF($H247="osl",$G247,0))</f>
        <v>0</v>
      </c>
      <c r="AF247" s="148" t="n">
        <f aca="false">VALUE(IF($D247="vra",$C247,0))+VALUE(IF($H247="vra",$G247,0))</f>
        <v>0</v>
      </c>
      <c r="AG247" s="148" t="n">
        <f aca="false">VALUE(IF($D247="zho",$C247,0))+VALUE(IF($H247="zho",$G247,0))</f>
        <v>0</v>
      </c>
      <c r="AH247" s="148" t="n">
        <f aca="false">VALUE(IF($D247="zbú",$C247,0))+VALUE(IF($H247="zbú",$G247,0))</f>
        <v>0</v>
      </c>
      <c r="AI247" s="148" t="n">
        <f aca="false">VALUE(IF($D247="pří",$C247,0))+VALUE(IF($H247="pří",$G247,0))</f>
        <v>0</v>
      </c>
      <c r="AJ247" s="148" t="n">
        <f aca="false">VALUE(IF($D247="dot",$C247,0))+VALUE(IF($H247="dot",$G247,0))</f>
        <v>0</v>
      </c>
      <c r="AK247" s="148" t="n">
        <f aca="false">VALUE(IF($D247="opř",$C247,0))+VALUE(IF($H247="opř",$G247,0))</f>
        <v>0</v>
      </c>
      <c r="AL247" s="148" t="n">
        <f aca="false">SUM(P247:AK247)</f>
        <v>0</v>
      </c>
    </row>
    <row r="248" customFormat="false" ht="12.75" hidden="false" customHeight="false" outlineLevel="0" collapsed="false">
      <c r="A248" s="204"/>
      <c r="B248" s="274"/>
      <c r="C248" s="275"/>
      <c r="P248" s="148" t="n">
        <f aca="false">VALUE(IF($D248="vyb",$C248,0))+VALUE(IF($H248="vyb",$G248,0))</f>
        <v>0</v>
      </c>
      <c r="Q248" s="148" t="n">
        <f aca="false">VALUE(IF($D248="mtv",$C248,0))+VALUE(IF($H248="mtv",$G248,0))</f>
        <v>0</v>
      </c>
      <c r="R248" s="148" t="n">
        <f aca="false">VALUE(IF($D248="mat",$C248,0))+VALUE(IF($H248="mat",$G248,0))</f>
        <v>0</v>
      </c>
      <c r="S248" s="148" t="n">
        <f aca="false">VALUE(IF($D248="pot",$C248,0))+VALUE(IF($H248="pot",$G248,0))</f>
        <v>0</v>
      </c>
      <c r="T248" s="148" t="n">
        <f aca="false">VALUE(IF($D248="táb",$C248,0))+VALUE(IF($H248="táb",$G248,0))</f>
        <v>0</v>
      </c>
      <c r="U248" s="148" t="n">
        <f aca="false">VALUE(IF($D248="oma",$C248,0))+VALUE(IF($H248="oma",$G248,0))</f>
        <v>0</v>
      </c>
      <c r="V248" s="148" t="n">
        <f aca="false">VALUE(IF($D248="ces",$C248,0))+VALUE(IF($H248="ces",$G248,0))</f>
        <v>0</v>
      </c>
      <c r="W248" s="148" t="n">
        <f aca="false">VALUE(IF($D248="poš",$C248,0))+VALUE(IF($H248="poš",$G248,0))</f>
        <v>0</v>
      </c>
      <c r="X248" s="148" t="n">
        <f aca="false">VALUE(IF($D248="tel",$C248,0))+VALUE(IF($H248="tel",$G248,0))</f>
        <v>0</v>
      </c>
      <c r="Y248" s="148" t="n">
        <f aca="false">VALUE(IF($D248="dop",$C248,0))+VALUE(IF($H248="dop",$G248,0))</f>
        <v>0</v>
      </c>
      <c r="Z248" s="148" t="n">
        <f aca="false">VALUE(IF($D248="nák",$C248,0))+VALUE(IF($H248="nák",$G248,0))</f>
        <v>0</v>
      </c>
      <c r="AA248" s="148" t="n">
        <f aca="false">VALUE(IF($D248="náj",$C248,0))+VALUE(IF($H248="náj",$G248,0))</f>
        <v>0</v>
      </c>
      <c r="AB248" s="148" t="n">
        <f aca="false">VALUE(IF($D248="půj",$C248,0))+VALUE(IF($H248="půj",$G248,0))</f>
        <v>0</v>
      </c>
      <c r="AC248" s="148" t="n">
        <f aca="false">VALUE(IF($D248="vst",$C248,0))+VALUE(IF($H248="vst",$G248,0))</f>
        <v>0</v>
      </c>
      <c r="AD248" s="148" t="n">
        <f aca="false">VALUE(IF($D248="kop",$C248,0))+VALUE(IF($H248="kop",$G248,0))</f>
        <v>0</v>
      </c>
      <c r="AE248" s="148" t="n">
        <f aca="false">VALUE(IF($D248="osl",$C248,0))+VALUE(IF($H248="osl",$G248,0))</f>
        <v>0</v>
      </c>
      <c r="AF248" s="148" t="n">
        <f aca="false">VALUE(IF($D248="vra",$C248,0))+VALUE(IF($H248="vra",$G248,0))</f>
        <v>0</v>
      </c>
      <c r="AG248" s="148" t="n">
        <f aca="false">VALUE(IF($D248="zho",$C248,0))+VALUE(IF($H248="zho",$G248,0))</f>
        <v>0</v>
      </c>
      <c r="AH248" s="148" t="n">
        <f aca="false">VALUE(IF($D248="zbú",$C248,0))+VALUE(IF($H248="zbú",$G248,0))</f>
        <v>0</v>
      </c>
      <c r="AI248" s="148" t="n">
        <f aca="false">VALUE(IF($D248="pří",$C248,0))+VALUE(IF($H248="pří",$G248,0))</f>
        <v>0</v>
      </c>
      <c r="AJ248" s="148" t="n">
        <f aca="false">VALUE(IF($D248="dot",$C248,0))+VALUE(IF($H248="dot",$G248,0))</f>
        <v>0</v>
      </c>
      <c r="AK248" s="148" t="n">
        <f aca="false">VALUE(IF($D248="opř",$C248,0))+VALUE(IF($H248="opř",$G248,0))</f>
        <v>0</v>
      </c>
      <c r="AL248" s="148" t="n">
        <f aca="false">SUM(P248:AK248)</f>
        <v>0</v>
      </c>
    </row>
    <row r="249" customFormat="false" ht="12.75" hidden="false" customHeight="false" outlineLevel="0" collapsed="false">
      <c r="A249" s="204"/>
      <c r="B249" s="274"/>
      <c r="C249" s="275"/>
      <c r="P249" s="148" t="n">
        <f aca="false">VALUE(IF($D249="vyb",$C249,0))+VALUE(IF($H249="vyb",$G249,0))</f>
        <v>0</v>
      </c>
      <c r="Q249" s="148" t="n">
        <f aca="false">VALUE(IF($D249="mtv",$C249,0))+VALUE(IF($H249="mtv",$G249,0))</f>
        <v>0</v>
      </c>
      <c r="R249" s="148" t="n">
        <f aca="false">VALUE(IF($D249="mat",$C249,0))+VALUE(IF($H249="mat",$G249,0))</f>
        <v>0</v>
      </c>
      <c r="S249" s="148" t="n">
        <f aca="false">VALUE(IF($D249="pot",$C249,0))+VALUE(IF($H249="pot",$G249,0))</f>
        <v>0</v>
      </c>
      <c r="T249" s="148" t="n">
        <f aca="false">VALUE(IF($D249="táb",$C249,0))+VALUE(IF($H249="táb",$G249,0))</f>
        <v>0</v>
      </c>
      <c r="U249" s="148" t="n">
        <f aca="false">VALUE(IF($D249="oma",$C249,0))+VALUE(IF($H249="oma",$G249,0))</f>
        <v>0</v>
      </c>
      <c r="V249" s="148" t="n">
        <f aca="false">VALUE(IF($D249="ces",$C249,0))+VALUE(IF($H249="ces",$G249,0))</f>
        <v>0</v>
      </c>
      <c r="W249" s="148" t="n">
        <f aca="false">VALUE(IF($D249="poš",$C249,0))+VALUE(IF($H249="poš",$G249,0))</f>
        <v>0</v>
      </c>
      <c r="X249" s="148" t="n">
        <f aca="false">VALUE(IF($D249="tel",$C249,0))+VALUE(IF($H249="tel",$G249,0))</f>
        <v>0</v>
      </c>
      <c r="Y249" s="148" t="n">
        <f aca="false">VALUE(IF($D249="dop",$C249,0))+VALUE(IF($H249="dop",$G249,0))</f>
        <v>0</v>
      </c>
      <c r="Z249" s="148" t="n">
        <f aca="false">VALUE(IF($D249="nák",$C249,0))+VALUE(IF($H249="nák",$G249,0))</f>
        <v>0</v>
      </c>
      <c r="AA249" s="148" t="n">
        <f aca="false">VALUE(IF($D249="náj",$C249,0))+VALUE(IF($H249="náj",$G249,0))</f>
        <v>0</v>
      </c>
      <c r="AB249" s="148" t="n">
        <f aca="false">VALUE(IF($D249="půj",$C249,0))+VALUE(IF($H249="půj",$G249,0))</f>
        <v>0</v>
      </c>
      <c r="AC249" s="148" t="n">
        <f aca="false">VALUE(IF($D249="vst",$C249,0))+VALUE(IF($H249="vst",$G249,0))</f>
        <v>0</v>
      </c>
      <c r="AD249" s="148" t="n">
        <f aca="false">VALUE(IF($D249="kop",$C249,0))+VALUE(IF($H249="kop",$G249,0))</f>
        <v>0</v>
      </c>
      <c r="AE249" s="148" t="n">
        <f aca="false">VALUE(IF($D249="osl",$C249,0))+VALUE(IF($H249="osl",$G249,0))</f>
        <v>0</v>
      </c>
      <c r="AF249" s="148" t="n">
        <f aca="false">VALUE(IF($D249="vra",$C249,0))+VALUE(IF($H249="vra",$G249,0))</f>
        <v>0</v>
      </c>
      <c r="AG249" s="148" t="n">
        <f aca="false">VALUE(IF($D249="zho",$C249,0))+VALUE(IF($H249="zho",$G249,0))</f>
        <v>0</v>
      </c>
      <c r="AH249" s="148" t="n">
        <f aca="false">VALUE(IF($D249="zbú",$C249,0))+VALUE(IF($H249="zbú",$G249,0))</f>
        <v>0</v>
      </c>
      <c r="AI249" s="148" t="n">
        <f aca="false">VALUE(IF($D249="pří",$C249,0))+VALUE(IF($H249="pří",$G249,0))</f>
        <v>0</v>
      </c>
      <c r="AJ249" s="148" t="n">
        <f aca="false">VALUE(IF($D249="dot",$C249,0))+VALUE(IF($H249="dot",$G249,0))</f>
        <v>0</v>
      </c>
      <c r="AK249" s="148" t="n">
        <f aca="false">VALUE(IF($D249="opř",$C249,0))+VALUE(IF($H249="opř",$G249,0))</f>
        <v>0</v>
      </c>
      <c r="AL249" s="148" t="n">
        <f aca="false">SUM(P249:AK249)</f>
        <v>0</v>
      </c>
    </row>
    <row r="250" customFormat="false" ht="12.75" hidden="false" customHeight="false" outlineLevel="0" collapsed="false">
      <c r="A250" s="204"/>
      <c r="B250" s="274"/>
      <c r="C250" s="275"/>
      <c r="P250" s="148" t="n">
        <f aca="false">VALUE(IF($D250="vyb",$C250,0))+VALUE(IF($H250="vyb",$G250,0))</f>
        <v>0</v>
      </c>
      <c r="Q250" s="148" t="n">
        <f aca="false">VALUE(IF($D250="mtv",$C250,0))+VALUE(IF($H250="mtv",$G250,0))</f>
        <v>0</v>
      </c>
      <c r="R250" s="148" t="n">
        <f aca="false">VALUE(IF($D250="mat",$C250,0))+VALUE(IF($H250="mat",$G250,0))</f>
        <v>0</v>
      </c>
      <c r="S250" s="148" t="n">
        <f aca="false">VALUE(IF($D250="pot",$C250,0))+VALUE(IF($H250="pot",$G250,0))</f>
        <v>0</v>
      </c>
      <c r="T250" s="148" t="n">
        <f aca="false">VALUE(IF($D250="táb",$C250,0))+VALUE(IF($H250="táb",$G250,0))</f>
        <v>0</v>
      </c>
      <c r="U250" s="148" t="n">
        <f aca="false">VALUE(IF($D250="oma",$C250,0))+VALUE(IF($H250="oma",$G250,0))</f>
        <v>0</v>
      </c>
      <c r="V250" s="148" t="n">
        <f aca="false">VALUE(IF($D250="ces",$C250,0))+VALUE(IF($H250="ces",$G250,0))</f>
        <v>0</v>
      </c>
      <c r="W250" s="148" t="n">
        <f aca="false">VALUE(IF($D250="poš",$C250,0))+VALUE(IF($H250="poš",$G250,0))</f>
        <v>0</v>
      </c>
      <c r="X250" s="148" t="n">
        <f aca="false">VALUE(IF($D250="tel",$C250,0))+VALUE(IF($H250="tel",$G250,0))</f>
        <v>0</v>
      </c>
      <c r="Y250" s="148" t="n">
        <f aca="false">VALUE(IF($D250="dop",$C250,0))+VALUE(IF($H250="dop",$G250,0))</f>
        <v>0</v>
      </c>
      <c r="Z250" s="148" t="n">
        <f aca="false">VALUE(IF($D250="nák",$C250,0))+VALUE(IF($H250="nák",$G250,0))</f>
        <v>0</v>
      </c>
      <c r="AA250" s="148" t="n">
        <f aca="false">VALUE(IF($D250="náj",$C250,0))+VALUE(IF($H250="náj",$G250,0))</f>
        <v>0</v>
      </c>
      <c r="AB250" s="148" t="n">
        <f aca="false">VALUE(IF($D250="půj",$C250,0))+VALUE(IF($H250="půj",$G250,0))</f>
        <v>0</v>
      </c>
      <c r="AC250" s="148" t="n">
        <f aca="false">VALUE(IF($D250="vst",$C250,0))+VALUE(IF($H250="vst",$G250,0))</f>
        <v>0</v>
      </c>
      <c r="AD250" s="148" t="n">
        <f aca="false">VALUE(IF($D250="kop",$C250,0))+VALUE(IF($H250="kop",$G250,0))</f>
        <v>0</v>
      </c>
      <c r="AE250" s="148" t="n">
        <f aca="false">VALUE(IF($D250="osl",$C250,0))+VALUE(IF($H250="osl",$G250,0))</f>
        <v>0</v>
      </c>
      <c r="AF250" s="148" t="n">
        <f aca="false">VALUE(IF($D250="vra",$C250,0))+VALUE(IF($H250="vra",$G250,0))</f>
        <v>0</v>
      </c>
      <c r="AG250" s="148" t="n">
        <f aca="false">VALUE(IF($D250="zho",$C250,0))+VALUE(IF($H250="zho",$G250,0))</f>
        <v>0</v>
      </c>
      <c r="AH250" s="148" t="n">
        <f aca="false">VALUE(IF($D250="zbú",$C250,0))+VALUE(IF($H250="zbú",$G250,0))</f>
        <v>0</v>
      </c>
      <c r="AI250" s="148" t="n">
        <f aca="false">VALUE(IF($D250="pří",$C250,0))+VALUE(IF($H250="pří",$G250,0))</f>
        <v>0</v>
      </c>
      <c r="AJ250" s="148" t="n">
        <f aca="false">VALUE(IF($D250="dot",$C250,0))+VALUE(IF($H250="dot",$G250,0))</f>
        <v>0</v>
      </c>
      <c r="AK250" s="148" t="n">
        <f aca="false">VALUE(IF($D250="opř",$C250,0))+VALUE(IF($H250="opř",$G250,0))</f>
        <v>0</v>
      </c>
      <c r="AL250" s="148" t="n">
        <f aca="false">SUM(P250:AK250)</f>
        <v>0</v>
      </c>
    </row>
    <row r="251" customFormat="false" ht="12.75" hidden="false" customHeight="false" outlineLevel="0" collapsed="false">
      <c r="A251" s="204"/>
      <c r="B251" s="274"/>
      <c r="C251" s="275"/>
      <c r="P251" s="148" t="n">
        <f aca="false">VALUE(IF($D251="vyb",$C251,0))+VALUE(IF($H251="vyb",$G251,0))</f>
        <v>0</v>
      </c>
      <c r="Q251" s="148" t="n">
        <f aca="false">VALUE(IF($D251="mtv",$C251,0))+VALUE(IF($H251="mtv",$G251,0))</f>
        <v>0</v>
      </c>
      <c r="R251" s="148" t="n">
        <f aca="false">VALUE(IF($D251="mat",$C251,0))+VALUE(IF($H251="mat",$G251,0))</f>
        <v>0</v>
      </c>
      <c r="S251" s="148" t="n">
        <f aca="false">VALUE(IF($D251="pot",$C251,0))+VALUE(IF($H251="pot",$G251,0))</f>
        <v>0</v>
      </c>
      <c r="T251" s="148" t="n">
        <f aca="false">VALUE(IF($D251="táb",$C251,0))+VALUE(IF($H251="táb",$G251,0))</f>
        <v>0</v>
      </c>
      <c r="U251" s="148" t="n">
        <f aca="false">VALUE(IF($D251="oma",$C251,0))+VALUE(IF($H251="oma",$G251,0))</f>
        <v>0</v>
      </c>
      <c r="V251" s="148" t="n">
        <f aca="false">VALUE(IF($D251="ces",$C251,0))+VALUE(IF($H251="ces",$G251,0))</f>
        <v>0</v>
      </c>
      <c r="W251" s="148" t="n">
        <f aca="false">VALUE(IF($D251="poš",$C251,0))+VALUE(IF($H251="poš",$G251,0))</f>
        <v>0</v>
      </c>
      <c r="X251" s="148" t="n">
        <f aca="false">VALUE(IF($D251="tel",$C251,0))+VALUE(IF($H251="tel",$G251,0))</f>
        <v>0</v>
      </c>
      <c r="Y251" s="148" t="n">
        <f aca="false">VALUE(IF($D251="dop",$C251,0))+VALUE(IF($H251="dop",$G251,0))</f>
        <v>0</v>
      </c>
      <c r="Z251" s="148" t="n">
        <f aca="false">VALUE(IF($D251="nák",$C251,0))+VALUE(IF($H251="nák",$G251,0))</f>
        <v>0</v>
      </c>
      <c r="AA251" s="148" t="n">
        <f aca="false">VALUE(IF($D251="náj",$C251,0))+VALUE(IF($H251="náj",$G251,0))</f>
        <v>0</v>
      </c>
      <c r="AB251" s="148" t="n">
        <f aca="false">VALUE(IF($D251="půj",$C251,0))+VALUE(IF($H251="půj",$G251,0))</f>
        <v>0</v>
      </c>
      <c r="AC251" s="148" t="n">
        <f aca="false">VALUE(IF($D251="vst",$C251,0))+VALUE(IF($H251="vst",$G251,0))</f>
        <v>0</v>
      </c>
      <c r="AD251" s="148" t="n">
        <f aca="false">VALUE(IF($D251="kop",$C251,0))+VALUE(IF($H251="kop",$G251,0))</f>
        <v>0</v>
      </c>
      <c r="AE251" s="148" t="n">
        <f aca="false">VALUE(IF($D251="osl",$C251,0))+VALUE(IF($H251="osl",$G251,0))</f>
        <v>0</v>
      </c>
      <c r="AF251" s="148" t="n">
        <f aca="false">VALUE(IF($D251="vra",$C251,0))+VALUE(IF($H251="vra",$G251,0))</f>
        <v>0</v>
      </c>
      <c r="AG251" s="148" t="n">
        <f aca="false">VALUE(IF($D251="zho",$C251,0))+VALUE(IF($H251="zho",$G251,0))</f>
        <v>0</v>
      </c>
      <c r="AH251" s="148" t="n">
        <f aca="false">VALUE(IF($D251="zbú",$C251,0))+VALUE(IF($H251="zbú",$G251,0))</f>
        <v>0</v>
      </c>
      <c r="AI251" s="148" t="n">
        <f aca="false">VALUE(IF($D251="pří",$C251,0))+VALUE(IF($H251="pří",$G251,0))</f>
        <v>0</v>
      </c>
      <c r="AJ251" s="148" t="n">
        <f aca="false">VALUE(IF($D251="dot",$C251,0))+VALUE(IF($H251="dot",$G251,0))</f>
        <v>0</v>
      </c>
      <c r="AK251" s="148" t="n">
        <f aca="false">VALUE(IF($D251="opř",$C251,0))+VALUE(IF($H251="opř",$G251,0))</f>
        <v>0</v>
      </c>
      <c r="AL251" s="148" t="n">
        <f aca="false">SUM(P251:AK251)</f>
        <v>0</v>
      </c>
    </row>
    <row r="252" customFormat="false" ht="12.75" hidden="false" customHeight="false" outlineLevel="0" collapsed="false">
      <c r="A252" s="204"/>
      <c r="B252" s="274"/>
      <c r="C252" s="275"/>
      <c r="P252" s="148" t="n">
        <f aca="false">VALUE(IF($D252="vyb",$C252,0))+VALUE(IF($H252="vyb",$G252,0))</f>
        <v>0</v>
      </c>
      <c r="Q252" s="148" t="n">
        <f aca="false">VALUE(IF($D252="mtv",$C252,0))+VALUE(IF($H252="mtv",$G252,0))</f>
        <v>0</v>
      </c>
      <c r="R252" s="148" t="n">
        <f aca="false">VALUE(IF($D252="mat",$C252,0))+VALUE(IF($H252="mat",$G252,0))</f>
        <v>0</v>
      </c>
      <c r="S252" s="148" t="n">
        <f aca="false">VALUE(IF($D252="pot",$C252,0))+VALUE(IF($H252="pot",$G252,0))</f>
        <v>0</v>
      </c>
      <c r="T252" s="148" t="n">
        <f aca="false">VALUE(IF($D252="táb",$C252,0))+VALUE(IF($H252="táb",$G252,0))</f>
        <v>0</v>
      </c>
      <c r="U252" s="148" t="n">
        <f aca="false">VALUE(IF($D252="oma",$C252,0))+VALUE(IF($H252="oma",$G252,0))</f>
        <v>0</v>
      </c>
      <c r="V252" s="148" t="n">
        <f aca="false">VALUE(IF($D252="ces",$C252,0))+VALUE(IF($H252="ces",$G252,0))</f>
        <v>0</v>
      </c>
      <c r="W252" s="148" t="n">
        <f aca="false">VALUE(IF($D252="poš",$C252,0))+VALUE(IF($H252="poš",$G252,0))</f>
        <v>0</v>
      </c>
      <c r="X252" s="148" t="n">
        <f aca="false">VALUE(IF($D252="tel",$C252,0))+VALUE(IF($H252="tel",$G252,0))</f>
        <v>0</v>
      </c>
      <c r="Y252" s="148" t="n">
        <f aca="false">VALUE(IF($D252="dop",$C252,0))+VALUE(IF($H252="dop",$G252,0))</f>
        <v>0</v>
      </c>
      <c r="Z252" s="148" t="n">
        <f aca="false">VALUE(IF($D252="nák",$C252,0))+VALUE(IF($H252="nák",$G252,0))</f>
        <v>0</v>
      </c>
      <c r="AA252" s="148" t="n">
        <f aca="false">VALUE(IF($D252="náj",$C252,0))+VALUE(IF($H252="náj",$G252,0))</f>
        <v>0</v>
      </c>
      <c r="AB252" s="148" t="n">
        <f aca="false">VALUE(IF($D252="půj",$C252,0))+VALUE(IF($H252="půj",$G252,0))</f>
        <v>0</v>
      </c>
      <c r="AC252" s="148" t="n">
        <f aca="false">VALUE(IF($D252="vst",$C252,0))+VALUE(IF($H252="vst",$G252,0))</f>
        <v>0</v>
      </c>
      <c r="AD252" s="148" t="n">
        <f aca="false">VALUE(IF($D252="kop",$C252,0))+VALUE(IF($H252="kop",$G252,0))</f>
        <v>0</v>
      </c>
      <c r="AE252" s="148" t="n">
        <f aca="false">VALUE(IF($D252="osl",$C252,0))+VALUE(IF($H252="osl",$G252,0))</f>
        <v>0</v>
      </c>
      <c r="AF252" s="148" t="n">
        <f aca="false">VALUE(IF($D252="vra",$C252,0))+VALUE(IF($H252="vra",$G252,0))</f>
        <v>0</v>
      </c>
      <c r="AG252" s="148" t="n">
        <f aca="false">VALUE(IF($D252="zho",$C252,0))+VALUE(IF($H252="zho",$G252,0))</f>
        <v>0</v>
      </c>
      <c r="AH252" s="148" t="n">
        <f aca="false">VALUE(IF($D252="zbú",$C252,0))+VALUE(IF($H252="zbú",$G252,0))</f>
        <v>0</v>
      </c>
      <c r="AI252" s="148" t="n">
        <f aca="false">VALUE(IF($D252="pří",$C252,0))+VALUE(IF($H252="pří",$G252,0))</f>
        <v>0</v>
      </c>
      <c r="AJ252" s="148" t="n">
        <f aca="false">VALUE(IF($D252="dot",$C252,0))+VALUE(IF($H252="dot",$G252,0))</f>
        <v>0</v>
      </c>
      <c r="AK252" s="148" t="n">
        <f aca="false">VALUE(IF($D252="opř",$C252,0))+VALUE(IF($H252="opř",$G252,0))</f>
        <v>0</v>
      </c>
      <c r="AL252" s="148" t="n">
        <f aca="false">SUM(P252:AK252)</f>
        <v>0</v>
      </c>
    </row>
    <row r="253" customFormat="false" ht="12.75" hidden="false" customHeight="false" outlineLevel="0" collapsed="false">
      <c r="A253" s="204"/>
      <c r="B253" s="274"/>
      <c r="C253" s="275"/>
      <c r="P253" s="148" t="n">
        <f aca="false">VALUE(IF($D253="vyb",$C253,0))+VALUE(IF($H253="vyb",$G253,0))</f>
        <v>0</v>
      </c>
      <c r="Q253" s="148" t="n">
        <f aca="false">VALUE(IF($D253="mtv",$C253,0))+VALUE(IF($H253="mtv",$G253,0))</f>
        <v>0</v>
      </c>
      <c r="R253" s="148" t="n">
        <f aca="false">VALUE(IF($D253="mat",$C253,0))+VALUE(IF($H253="mat",$G253,0))</f>
        <v>0</v>
      </c>
      <c r="S253" s="148" t="n">
        <f aca="false">VALUE(IF($D253="pot",$C253,0))+VALUE(IF($H253="pot",$G253,0))</f>
        <v>0</v>
      </c>
      <c r="T253" s="148" t="n">
        <f aca="false">VALUE(IF($D253="táb",$C253,0))+VALUE(IF($H253="táb",$G253,0))</f>
        <v>0</v>
      </c>
      <c r="U253" s="148" t="n">
        <f aca="false">VALUE(IF($D253="oma",$C253,0))+VALUE(IF($H253="oma",$G253,0))</f>
        <v>0</v>
      </c>
      <c r="V253" s="148" t="n">
        <f aca="false">VALUE(IF($D253="ces",$C253,0))+VALUE(IF($H253="ces",$G253,0))</f>
        <v>0</v>
      </c>
      <c r="W253" s="148" t="n">
        <f aca="false">VALUE(IF($D253="poš",$C253,0))+VALUE(IF($H253="poš",$G253,0))</f>
        <v>0</v>
      </c>
      <c r="X253" s="148" t="n">
        <f aca="false">VALUE(IF($D253="tel",$C253,0))+VALUE(IF($H253="tel",$G253,0))</f>
        <v>0</v>
      </c>
      <c r="Y253" s="148" t="n">
        <f aca="false">VALUE(IF($D253="dop",$C253,0))+VALUE(IF($H253="dop",$G253,0))</f>
        <v>0</v>
      </c>
      <c r="Z253" s="148" t="n">
        <f aca="false">VALUE(IF($D253="nák",$C253,0))+VALUE(IF($H253="nák",$G253,0))</f>
        <v>0</v>
      </c>
      <c r="AA253" s="148" t="n">
        <f aca="false">VALUE(IF($D253="náj",$C253,0))+VALUE(IF($H253="náj",$G253,0))</f>
        <v>0</v>
      </c>
      <c r="AB253" s="148" t="n">
        <f aca="false">VALUE(IF($D253="půj",$C253,0))+VALUE(IF($H253="půj",$G253,0))</f>
        <v>0</v>
      </c>
      <c r="AC253" s="148" t="n">
        <f aca="false">VALUE(IF($D253="vst",$C253,0))+VALUE(IF($H253="vst",$G253,0))</f>
        <v>0</v>
      </c>
      <c r="AD253" s="148" t="n">
        <f aca="false">VALUE(IF($D253="kop",$C253,0))+VALUE(IF($H253="kop",$G253,0))</f>
        <v>0</v>
      </c>
      <c r="AE253" s="148" t="n">
        <f aca="false">VALUE(IF($D253="osl",$C253,0))+VALUE(IF($H253="osl",$G253,0))</f>
        <v>0</v>
      </c>
      <c r="AF253" s="148" t="n">
        <f aca="false">VALUE(IF($D253="vra",$C253,0))+VALUE(IF($H253="vra",$G253,0))</f>
        <v>0</v>
      </c>
      <c r="AG253" s="148" t="n">
        <f aca="false">VALUE(IF($D253="zho",$C253,0))+VALUE(IF($H253="zho",$G253,0))</f>
        <v>0</v>
      </c>
      <c r="AH253" s="148" t="n">
        <f aca="false">VALUE(IF($D253="zbú",$C253,0))+VALUE(IF($H253="zbú",$G253,0))</f>
        <v>0</v>
      </c>
      <c r="AI253" s="148" t="n">
        <f aca="false">VALUE(IF($D253="pří",$C253,0))+VALUE(IF($H253="pří",$G253,0))</f>
        <v>0</v>
      </c>
      <c r="AJ253" s="148" t="n">
        <f aca="false">VALUE(IF($D253="dot",$C253,0))+VALUE(IF($H253="dot",$G253,0))</f>
        <v>0</v>
      </c>
      <c r="AK253" s="148" t="n">
        <f aca="false">VALUE(IF($D253="opř",$C253,0))+VALUE(IF($H253="opř",$G253,0))</f>
        <v>0</v>
      </c>
      <c r="AL253" s="148" t="n">
        <f aca="false">SUM(P253:AK253)</f>
        <v>0</v>
      </c>
    </row>
    <row r="254" customFormat="false" ht="12.75" hidden="false" customHeight="false" outlineLevel="0" collapsed="false">
      <c r="A254" s="204"/>
      <c r="B254" s="274"/>
      <c r="C254" s="275"/>
      <c r="P254" s="148" t="n">
        <f aca="false">VALUE(IF($D254="vyb",$C254,0))+VALUE(IF($H254="vyb",$G254,0))</f>
        <v>0</v>
      </c>
      <c r="Q254" s="148" t="n">
        <f aca="false">VALUE(IF($D254="mtv",$C254,0))+VALUE(IF($H254="mtv",$G254,0))</f>
        <v>0</v>
      </c>
      <c r="R254" s="148" t="n">
        <f aca="false">VALUE(IF($D254="mat",$C254,0))+VALUE(IF($H254="mat",$G254,0))</f>
        <v>0</v>
      </c>
      <c r="S254" s="148" t="n">
        <f aca="false">VALUE(IF($D254="pot",$C254,0))+VALUE(IF($H254="pot",$G254,0))</f>
        <v>0</v>
      </c>
      <c r="T254" s="148" t="n">
        <f aca="false">VALUE(IF($D254="táb",$C254,0))+VALUE(IF($H254="táb",$G254,0))</f>
        <v>0</v>
      </c>
      <c r="U254" s="148" t="n">
        <f aca="false">VALUE(IF($D254="oma",$C254,0))+VALUE(IF($H254="oma",$G254,0))</f>
        <v>0</v>
      </c>
      <c r="V254" s="148" t="n">
        <f aca="false">VALUE(IF($D254="ces",$C254,0))+VALUE(IF($H254="ces",$G254,0))</f>
        <v>0</v>
      </c>
      <c r="W254" s="148" t="n">
        <f aca="false">VALUE(IF($D254="poš",$C254,0))+VALUE(IF($H254="poš",$G254,0))</f>
        <v>0</v>
      </c>
      <c r="X254" s="148" t="n">
        <f aca="false">VALUE(IF($D254="tel",$C254,0))+VALUE(IF($H254="tel",$G254,0))</f>
        <v>0</v>
      </c>
      <c r="Y254" s="148" t="n">
        <f aca="false">VALUE(IF($D254="dop",$C254,0))+VALUE(IF($H254="dop",$G254,0))</f>
        <v>0</v>
      </c>
      <c r="Z254" s="148" t="n">
        <f aca="false">VALUE(IF($D254="nák",$C254,0))+VALUE(IF($H254="nák",$G254,0))</f>
        <v>0</v>
      </c>
      <c r="AA254" s="148" t="n">
        <f aca="false">VALUE(IF($D254="náj",$C254,0))+VALUE(IF($H254="náj",$G254,0))</f>
        <v>0</v>
      </c>
      <c r="AB254" s="148" t="n">
        <f aca="false">VALUE(IF($D254="půj",$C254,0))+VALUE(IF($H254="půj",$G254,0))</f>
        <v>0</v>
      </c>
      <c r="AC254" s="148" t="n">
        <f aca="false">VALUE(IF($D254="vst",$C254,0))+VALUE(IF($H254="vst",$G254,0))</f>
        <v>0</v>
      </c>
      <c r="AD254" s="148" t="n">
        <f aca="false">VALUE(IF($D254="kop",$C254,0))+VALUE(IF($H254="kop",$G254,0))</f>
        <v>0</v>
      </c>
      <c r="AE254" s="148" t="n">
        <f aca="false">VALUE(IF($D254="osl",$C254,0))+VALUE(IF($H254="osl",$G254,0))</f>
        <v>0</v>
      </c>
      <c r="AF254" s="148" t="n">
        <f aca="false">VALUE(IF($D254="vra",$C254,0))+VALUE(IF($H254="vra",$G254,0))</f>
        <v>0</v>
      </c>
      <c r="AG254" s="148" t="n">
        <f aca="false">VALUE(IF($D254="zho",$C254,0))+VALUE(IF($H254="zho",$G254,0))</f>
        <v>0</v>
      </c>
      <c r="AH254" s="148" t="n">
        <f aca="false">VALUE(IF($D254="zbú",$C254,0))+VALUE(IF($H254="zbú",$G254,0))</f>
        <v>0</v>
      </c>
      <c r="AI254" s="148" t="n">
        <f aca="false">VALUE(IF($D254="pří",$C254,0))+VALUE(IF($H254="pří",$G254,0))</f>
        <v>0</v>
      </c>
      <c r="AJ254" s="148" t="n">
        <f aca="false">VALUE(IF($D254="dot",$C254,0))+VALUE(IF($H254="dot",$G254,0))</f>
        <v>0</v>
      </c>
      <c r="AK254" s="148" t="n">
        <f aca="false">VALUE(IF($D254="opř",$C254,0))+VALUE(IF($H254="opř",$G254,0))</f>
        <v>0</v>
      </c>
      <c r="AL254" s="148" t="n">
        <f aca="false">SUM(P254:AK254)</f>
        <v>0</v>
      </c>
    </row>
    <row r="255" customFormat="false" ht="12.75" hidden="false" customHeight="false" outlineLevel="0" collapsed="false">
      <c r="A255" s="204"/>
      <c r="B255" s="274"/>
      <c r="C255" s="275"/>
      <c r="P255" s="148" t="n">
        <f aca="false">VALUE(IF($D255="vyb",$C255,0))+VALUE(IF($H255="vyb",$G255,0))</f>
        <v>0</v>
      </c>
      <c r="Q255" s="148" t="n">
        <f aca="false">VALUE(IF($D255="mtv",$C255,0))+VALUE(IF($H255="mtv",$G255,0))</f>
        <v>0</v>
      </c>
      <c r="R255" s="148" t="n">
        <f aca="false">VALUE(IF($D255="mat",$C255,0))+VALUE(IF($H255="mat",$G255,0))</f>
        <v>0</v>
      </c>
      <c r="S255" s="148" t="n">
        <f aca="false">VALUE(IF($D255="pot",$C255,0))+VALUE(IF($H255="pot",$G255,0))</f>
        <v>0</v>
      </c>
      <c r="T255" s="148" t="n">
        <f aca="false">VALUE(IF($D255="táb",$C255,0))+VALUE(IF($H255="táb",$G255,0))</f>
        <v>0</v>
      </c>
      <c r="U255" s="148" t="n">
        <f aca="false">VALUE(IF($D255="oma",$C255,0))+VALUE(IF($H255="oma",$G255,0))</f>
        <v>0</v>
      </c>
      <c r="V255" s="148" t="n">
        <f aca="false">VALUE(IF($D255="ces",$C255,0))+VALUE(IF($H255="ces",$G255,0))</f>
        <v>0</v>
      </c>
      <c r="W255" s="148" t="n">
        <f aca="false">VALUE(IF($D255="poš",$C255,0))+VALUE(IF($H255="poš",$G255,0))</f>
        <v>0</v>
      </c>
      <c r="X255" s="148" t="n">
        <f aca="false">VALUE(IF($D255="tel",$C255,0))+VALUE(IF($H255="tel",$G255,0))</f>
        <v>0</v>
      </c>
      <c r="Y255" s="148" t="n">
        <f aca="false">VALUE(IF($D255="dop",$C255,0))+VALUE(IF($H255="dop",$G255,0))</f>
        <v>0</v>
      </c>
      <c r="Z255" s="148" t="n">
        <f aca="false">VALUE(IF($D255="nák",$C255,0))+VALUE(IF($H255="nák",$G255,0))</f>
        <v>0</v>
      </c>
      <c r="AA255" s="148" t="n">
        <f aca="false">VALUE(IF($D255="náj",$C255,0))+VALUE(IF($H255="náj",$G255,0))</f>
        <v>0</v>
      </c>
      <c r="AB255" s="148" t="n">
        <f aca="false">VALUE(IF($D255="půj",$C255,0))+VALUE(IF($H255="půj",$G255,0))</f>
        <v>0</v>
      </c>
      <c r="AC255" s="148" t="n">
        <f aca="false">VALUE(IF($D255="vst",$C255,0))+VALUE(IF($H255="vst",$G255,0))</f>
        <v>0</v>
      </c>
      <c r="AD255" s="148" t="n">
        <f aca="false">VALUE(IF($D255="kop",$C255,0))+VALUE(IF($H255="kop",$G255,0))</f>
        <v>0</v>
      </c>
      <c r="AE255" s="148" t="n">
        <f aca="false">VALUE(IF($D255="osl",$C255,0))+VALUE(IF($H255="osl",$G255,0))</f>
        <v>0</v>
      </c>
      <c r="AF255" s="148" t="n">
        <f aca="false">VALUE(IF($D255="vra",$C255,0))+VALUE(IF($H255="vra",$G255,0))</f>
        <v>0</v>
      </c>
      <c r="AG255" s="148" t="n">
        <f aca="false">VALUE(IF($D255="zho",$C255,0))+VALUE(IF($H255="zho",$G255,0))</f>
        <v>0</v>
      </c>
      <c r="AH255" s="148" t="n">
        <f aca="false">VALUE(IF($D255="zbú",$C255,0))+VALUE(IF($H255="zbú",$G255,0))</f>
        <v>0</v>
      </c>
      <c r="AI255" s="148" t="n">
        <f aca="false">VALUE(IF($D255="pří",$C255,0))+VALUE(IF($H255="pří",$G255,0))</f>
        <v>0</v>
      </c>
      <c r="AJ255" s="148" t="n">
        <f aca="false">VALUE(IF($D255="dot",$C255,0))+VALUE(IF($H255="dot",$G255,0))</f>
        <v>0</v>
      </c>
      <c r="AK255" s="148" t="n">
        <f aca="false">VALUE(IF($D255="opř",$C255,0))+VALUE(IF($H255="opř",$G255,0))</f>
        <v>0</v>
      </c>
      <c r="AL255" s="148" t="n">
        <f aca="false">SUM(P255:AK255)</f>
        <v>0</v>
      </c>
    </row>
    <row r="256" customFormat="false" ht="12.75" hidden="false" customHeight="false" outlineLevel="0" collapsed="false">
      <c r="A256" s="204"/>
      <c r="B256" s="274"/>
      <c r="C256" s="275"/>
      <c r="P256" s="148" t="n">
        <f aca="false">VALUE(IF($D256="vyb",$C256,0))+VALUE(IF($H256="vyb",$G256,0))</f>
        <v>0</v>
      </c>
      <c r="Q256" s="148" t="n">
        <f aca="false">VALUE(IF($D256="mtv",$C256,0))+VALUE(IF($H256="mtv",$G256,0))</f>
        <v>0</v>
      </c>
      <c r="R256" s="148" t="n">
        <f aca="false">VALUE(IF($D256="mat",$C256,0))+VALUE(IF($H256="mat",$G256,0))</f>
        <v>0</v>
      </c>
      <c r="S256" s="148" t="n">
        <f aca="false">VALUE(IF($D256="pot",$C256,0))+VALUE(IF($H256="pot",$G256,0))</f>
        <v>0</v>
      </c>
      <c r="T256" s="148" t="n">
        <f aca="false">VALUE(IF($D256="táb",$C256,0))+VALUE(IF($H256="táb",$G256,0))</f>
        <v>0</v>
      </c>
      <c r="U256" s="148" t="n">
        <f aca="false">VALUE(IF($D256="oma",$C256,0))+VALUE(IF($H256="oma",$G256,0))</f>
        <v>0</v>
      </c>
      <c r="V256" s="148" t="n">
        <f aca="false">VALUE(IF($D256="ces",$C256,0))+VALUE(IF($H256="ces",$G256,0))</f>
        <v>0</v>
      </c>
      <c r="W256" s="148" t="n">
        <f aca="false">VALUE(IF($D256="poš",$C256,0))+VALUE(IF($H256="poš",$G256,0))</f>
        <v>0</v>
      </c>
      <c r="X256" s="148" t="n">
        <f aca="false">VALUE(IF($D256="tel",$C256,0))+VALUE(IF($H256="tel",$G256,0))</f>
        <v>0</v>
      </c>
      <c r="Y256" s="148" t="n">
        <f aca="false">VALUE(IF($D256="dop",$C256,0))+VALUE(IF($H256="dop",$G256,0))</f>
        <v>0</v>
      </c>
      <c r="Z256" s="148" t="n">
        <f aca="false">VALUE(IF($D256="nák",$C256,0))+VALUE(IF($H256="nák",$G256,0))</f>
        <v>0</v>
      </c>
      <c r="AA256" s="148" t="n">
        <f aca="false">VALUE(IF($D256="náj",$C256,0))+VALUE(IF($H256="náj",$G256,0))</f>
        <v>0</v>
      </c>
      <c r="AB256" s="148" t="n">
        <f aca="false">VALUE(IF($D256="půj",$C256,0))+VALUE(IF($H256="půj",$G256,0))</f>
        <v>0</v>
      </c>
      <c r="AC256" s="148" t="n">
        <f aca="false">VALUE(IF($D256="vst",$C256,0))+VALUE(IF($H256="vst",$G256,0))</f>
        <v>0</v>
      </c>
      <c r="AD256" s="148" t="n">
        <f aca="false">VALUE(IF($D256="kop",$C256,0))+VALUE(IF($H256="kop",$G256,0))</f>
        <v>0</v>
      </c>
      <c r="AE256" s="148" t="n">
        <f aca="false">VALUE(IF($D256="osl",$C256,0))+VALUE(IF($H256="osl",$G256,0))</f>
        <v>0</v>
      </c>
      <c r="AF256" s="148" t="n">
        <f aca="false">VALUE(IF($D256="vra",$C256,0))+VALUE(IF($H256="vra",$G256,0))</f>
        <v>0</v>
      </c>
      <c r="AG256" s="148" t="n">
        <f aca="false">VALUE(IF($D256="zho",$C256,0))+VALUE(IF($H256="zho",$G256,0))</f>
        <v>0</v>
      </c>
      <c r="AH256" s="148" t="n">
        <f aca="false">VALUE(IF($D256="zbú",$C256,0))+VALUE(IF($H256="zbú",$G256,0))</f>
        <v>0</v>
      </c>
      <c r="AI256" s="148" t="n">
        <f aca="false">VALUE(IF($D256="pří",$C256,0))+VALUE(IF($H256="pří",$G256,0))</f>
        <v>0</v>
      </c>
      <c r="AJ256" s="148" t="n">
        <f aca="false">VALUE(IF($D256="dot",$C256,0))+VALUE(IF($H256="dot",$G256,0))</f>
        <v>0</v>
      </c>
      <c r="AK256" s="148" t="n">
        <f aca="false">VALUE(IF($D256="opř",$C256,0))+VALUE(IF($H256="opř",$G256,0))</f>
        <v>0</v>
      </c>
      <c r="AL256" s="148" t="n">
        <f aca="false">SUM(P256:AK256)</f>
        <v>0</v>
      </c>
    </row>
    <row r="257" customFormat="false" ht="12.75" hidden="false" customHeight="false" outlineLevel="0" collapsed="false">
      <c r="A257" s="204"/>
      <c r="B257" s="274"/>
      <c r="C257" s="275"/>
      <c r="P257" s="148" t="n">
        <f aca="false">VALUE(IF($D257="vyb",$C257,0))+VALUE(IF($H257="vyb",$G257,0))</f>
        <v>0</v>
      </c>
      <c r="Q257" s="148" t="n">
        <f aca="false">VALUE(IF($D257="mtv",$C257,0))+VALUE(IF($H257="mtv",$G257,0))</f>
        <v>0</v>
      </c>
      <c r="R257" s="148" t="n">
        <f aca="false">VALUE(IF($D257="mat",$C257,0))+VALUE(IF($H257="mat",$G257,0))</f>
        <v>0</v>
      </c>
      <c r="S257" s="148" t="n">
        <f aca="false">VALUE(IF($D257="pot",$C257,0))+VALUE(IF($H257="pot",$G257,0))</f>
        <v>0</v>
      </c>
      <c r="T257" s="148" t="n">
        <f aca="false">VALUE(IF($D257="táb",$C257,0))+VALUE(IF($H257="táb",$G257,0))</f>
        <v>0</v>
      </c>
      <c r="U257" s="148" t="n">
        <f aca="false">VALUE(IF($D257="oma",$C257,0))+VALUE(IF($H257="oma",$G257,0))</f>
        <v>0</v>
      </c>
      <c r="V257" s="148" t="n">
        <f aca="false">VALUE(IF($D257="ces",$C257,0))+VALUE(IF($H257="ces",$G257,0))</f>
        <v>0</v>
      </c>
      <c r="W257" s="148" t="n">
        <f aca="false">VALUE(IF($D257="poš",$C257,0))+VALUE(IF($H257="poš",$G257,0))</f>
        <v>0</v>
      </c>
      <c r="X257" s="148" t="n">
        <f aca="false">VALUE(IF($D257="tel",$C257,0))+VALUE(IF($H257="tel",$G257,0))</f>
        <v>0</v>
      </c>
      <c r="Y257" s="148" t="n">
        <f aca="false">VALUE(IF($D257="dop",$C257,0))+VALUE(IF($H257="dop",$G257,0))</f>
        <v>0</v>
      </c>
      <c r="Z257" s="148" t="n">
        <f aca="false">VALUE(IF($D257="nák",$C257,0))+VALUE(IF($H257="nák",$G257,0))</f>
        <v>0</v>
      </c>
      <c r="AA257" s="148" t="n">
        <f aca="false">VALUE(IF($D257="náj",$C257,0))+VALUE(IF($H257="náj",$G257,0))</f>
        <v>0</v>
      </c>
      <c r="AB257" s="148" t="n">
        <f aca="false">VALUE(IF($D257="půj",$C257,0))+VALUE(IF($H257="půj",$G257,0))</f>
        <v>0</v>
      </c>
      <c r="AC257" s="148" t="n">
        <f aca="false">VALUE(IF($D257="vst",$C257,0))+VALUE(IF($H257="vst",$G257,0))</f>
        <v>0</v>
      </c>
      <c r="AD257" s="148" t="n">
        <f aca="false">VALUE(IF($D257="kop",$C257,0))+VALUE(IF($H257="kop",$G257,0))</f>
        <v>0</v>
      </c>
      <c r="AE257" s="148" t="n">
        <f aca="false">VALUE(IF($D257="osl",$C257,0))+VALUE(IF($H257="osl",$G257,0))</f>
        <v>0</v>
      </c>
      <c r="AF257" s="148" t="n">
        <f aca="false">VALUE(IF($D257="vra",$C257,0))+VALUE(IF($H257="vra",$G257,0))</f>
        <v>0</v>
      </c>
      <c r="AG257" s="148" t="n">
        <f aca="false">VALUE(IF($D257="zho",$C257,0))+VALUE(IF($H257="zho",$G257,0))</f>
        <v>0</v>
      </c>
      <c r="AH257" s="148" t="n">
        <f aca="false">VALUE(IF($D257="zbú",$C257,0))+VALUE(IF($H257="zbú",$G257,0))</f>
        <v>0</v>
      </c>
      <c r="AI257" s="148" t="n">
        <f aca="false">VALUE(IF($D257="pří",$C257,0))+VALUE(IF($H257="pří",$G257,0))</f>
        <v>0</v>
      </c>
      <c r="AJ257" s="148" t="n">
        <f aca="false">VALUE(IF($D257="dot",$C257,0))+VALUE(IF($H257="dot",$G257,0))</f>
        <v>0</v>
      </c>
      <c r="AK257" s="148" t="n">
        <f aca="false">VALUE(IF($D257="opř",$C257,0))+VALUE(IF($H257="opř",$G257,0))</f>
        <v>0</v>
      </c>
      <c r="AL257" s="148" t="n">
        <f aca="false">SUM(P257:AK257)</f>
        <v>0</v>
      </c>
    </row>
    <row r="258" customFormat="false" ht="12.75" hidden="false" customHeight="false" outlineLevel="0" collapsed="false">
      <c r="A258" s="204"/>
      <c r="B258" s="274"/>
      <c r="C258" s="275"/>
      <c r="P258" s="148" t="n">
        <f aca="false">VALUE(IF($D258="vyb",$C258,0))+VALUE(IF($H258="vyb",$G258,0))</f>
        <v>0</v>
      </c>
      <c r="Q258" s="148" t="n">
        <f aca="false">VALUE(IF($D258="mtv",$C258,0))+VALUE(IF($H258="mtv",$G258,0))</f>
        <v>0</v>
      </c>
      <c r="R258" s="148" t="n">
        <f aca="false">VALUE(IF($D258="mat",$C258,0))+VALUE(IF($H258="mat",$G258,0))</f>
        <v>0</v>
      </c>
      <c r="S258" s="148" t="n">
        <f aca="false">VALUE(IF($D258="pot",$C258,0))+VALUE(IF($H258="pot",$G258,0))</f>
        <v>0</v>
      </c>
      <c r="T258" s="148" t="n">
        <f aca="false">VALUE(IF($D258="táb",$C258,0))+VALUE(IF($H258="táb",$G258,0))</f>
        <v>0</v>
      </c>
      <c r="U258" s="148" t="n">
        <f aca="false">VALUE(IF($D258="oma",$C258,0))+VALUE(IF($H258="oma",$G258,0))</f>
        <v>0</v>
      </c>
      <c r="V258" s="148" t="n">
        <f aca="false">VALUE(IF($D258="ces",$C258,0))+VALUE(IF($H258="ces",$G258,0))</f>
        <v>0</v>
      </c>
      <c r="W258" s="148" t="n">
        <f aca="false">VALUE(IF($D258="poš",$C258,0))+VALUE(IF($H258="poš",$G258,0))</f>
        <v>0</v>
      </c>
      <c r="X258" s="148" t="n">
        <f aca="false">VALUE(IF($D258="tel",$C258,0))+VALUE(IF($H258="tel",$G258,0))</f>
        <v>0</v>
      </c>
      <c r="Y258" s="148" t="n">
        <f aca="false">VALUE(IF($D258="dop",$C258,0))+VALUE(IF($H258="dop",$G258,0))</f>
        <v>0</v>
      </c>
      <c r="Z258" s="148" t="n">
        <f aca="false">VALUE(IF($D258="nák",$C258,0))+VALUE(IF($H258="nák",$G258,0))</f>
        <v>0</v>
      </c>
      <c r="AA258" s="148" t="n">
        <f aca="false">VALUE(IF($D258="náj",$C258,0))+VALUE(IF($H258="náj",$G258,0))</f>
        <v>0</v>
      </c>
      <c r="AB258" s="148" t="n">
        <f aca="false">VALUE(IF($D258="půj",$C258,0))+VALUE(IF($H258="půj",$G258,0))</f>
        <v>0</v>
      </c>
      <c r="AC258" s="148" t="n">
        <f aca="false">VALUE(IF($D258="vst",$C258,0))+VALUE(IF($H258="vst",$G258,0))</f>
        <v>0</v>
      </c>
      <c r="AD258" s="148" t="n">
        <f aca="false">VALUE(IF($D258="kop",$C258,0))+VALUE(IF($H258="kop",$G258,0))</f>
        <v>0</v>
      </c>
      <c r="AE258" s="148" t="n">
        <f aca="false">VALUE(IF($D258="osl",$C258,0))+VALUE(IF($H258="osl",$G258,0))</f>
        <v>0</v>
      </c>
      <c r="AF258" s="148" t="n">
        <f aca="false">VALUE(IF($D258="vra",$C258,0))+VALUE(IF($H258="vra",$G258,0))</f>
        <v>0</v>
      </c>
      <c r="AG258" s="148" t="n">
        <f aca="false">VALUE(IF($D258="zho",$C258,0))+VALUE(IF($H258="zho",$G258,0))</f>
        <v>0</v>
      </c>
      <c r="AH258" s="148" t="n">
        <f aca="false">VALUE(IF($D258="zbú",$C258,0))+VALUE(IF($H258="zbú",$G258,0))</f>
        <v>0</v>
      </c>
      <c r="AI258" s="148" t="n">
        <f aca="false">VALUE(IF($D258="pří",$C258,0))+VALUE(IF($H258="pří",$G258,0))</f>
        <v>0</v>
      </c>
      <c r="AJ258" s="148" t="n">
        <f aca="false">VALUE(IF($D258="dot",$C258,0))+VALUE(IF($H258="dot",$G258,0))</f>
        <v>0</v>
      </c>
      <c r="AK258" s="148" t="n">
        <f aca="false">VALUE(IF($D258="opř",$C258,0))+VALUE(IF($H258="opř",$G258,0))</f>
        <v>0</v>
      </c>
      <c r="AL258" s="148" t="n">
        <f aca="false">SUM(P258:AK258)</f>
        <v>0</v>
      </c>
    </row>
    <row r="259" customFormat="false" ht="12.75" hidden="false" customHeight="false" outlineLevel="0" collapsed="false">
      <c r="A259" s="204"/>
      <c r="B259" s="274"/>
      <c r="C259" s="275"/>
      <c r="P259" s="148" t="n">
        <f aca="false">VALUE(IF($D259="vyb",$C259,0))+VALUE(IF($H259="vyb",$G259,0))</f>
        <v>0</v>
      </c>
      <c r="Q259" s="148" t="n">
        <f aca="false">VALUE(IF($D259="mtv",$C259,0))+VALUE(IF($H259="mtv",$G259,0))</f>
        <v>0</v>
      </c>
      <c r="R259" s="148" t="n">
        <f aca="false">VALUE(IF($D259="mat",$C259,0))+VALUE(IF($H259="mat",$G259,0))</f>
        <v>0</v>
      </c>
      <c r="S259" s="148" t="n">
        <f aca="false">VALUE(IF($D259="pot",$C259,0))+VALUE(IF($H259="pot",$G259,0))</f>
        <v>0</v>
      </c>
      <c r="T259" s="148" t="n">
        <f aca="false">VALUE(IF($D259="táb",$C259,0))+VALUE(IF($H259="táb",$G259,0))</f>
        <v>0</v>
      </c>
      <c r="U259" s="148" t="n">
        <f aca="false">VALUE(IF($D259="oma",$C259,0))+VALUE(IF($H259="oma",$G259,0))</f>
        <v>0</v>
      </c>
      <c r="V259" s="148" t="n">
        <f aca="false">VALUE(IF($D259="ces",$C259,0))+VALUE(IF($H259="ces",$G259,0))</f>
        <v>0</v>
      </c>
      <c r="W259" s="148" t="n">
        <f aca="false">VALUE(IF($D259="poš",$C259,0))+VALUE(IF($H259="poš",$G259,0))</f>
        <v>0</v>
      </c>
      <c r="X259" s="148" t="n">
        <f aca="false">VALUE(IF($D259="tel",$C259,0))+VALUE(IF($H259="tel",$G259,0))</f>
        <v>0</v>
      </c>
      <c r="Y259" s="148" t="n">
        <f aca="false">VALUE(IF($D259="dop",$C259,0))+VALUE(IF($H259="dop",$G259,0))</f>
        <v>0</v>
      </c>
      <c r="Z259" s="148" t="n">
        <f aca="false">VALUE(IF($D259="nák",$C259,0))+VALUE(IF($H259="nák",$G259,0))</f>
        <v>0</v>
      </c>
      <c r="AA259" s="148" t="n">
        <f aca="false">VALUE(IF($D259="náj",$C259,0))+VALUE(IF($H259="náj",$G259,0))</f>
        <v>0</v>
      </c>
      <c r="AB259" s="148" t="n">
        <f aca="false">VALUE(IF($D259="půj",$C259,0))+VALUE(IF($H259="půj",$G259,0))</f>
        <v>0</v>
      </c>
      <c r="AC259" s="148" t="n">
        <f aca="false">VALUE(IF($D259="vst",$C259,0))+VALUE(IF($H259="vst",$G259,0))</f>
        <v>0</v>
      </c>
      <c r="AD259" s="148" t="n">
        <f aca="false">VALUE(IF($D259="kop",$C259,0))+VALUE(IF($H259="kop",$G259,0))</f>
        <v>0</v>
      </c>
      <c r="AE259" s="148" t="n">
        <f aca="false">VALUE(IF($D259="osl",$C259,0))+VALUE(IF($H259="osl",$G259,0))</f>
        <v>0</v>
      </c>
      <c r="AF259" s="148" t="n">
        <f aca="false">VALUE(IF($D259="vra",$C259,0))+VALUE(IF($H259="vra",$G259,0))</f>
        <v>0</v>
      </c>
      <c r="AG259" s="148" t="n">
        <f aca="false">VALUE(IF($D259="zho",$C259,0))+VALUE(IF($H259="zho",$G259,0))</f>
        <v>0</v>
      </c>
      <c r="AH259" s="148" t="n">
        <f aca="false">VALUE(IF($D259="zbú",$C259,0))+VALUE(IF($H259="zbú",$G259,0))</f>
        <v>0</v>
      </c>
      <c r="AI259" s="148" t="n">
        <f aca="false">VALUE(IF($D259="pří",$C259,0))+VALUE(IF($H259="pří",$G259,0))</f>
        <v>0</v>
      </c>
      <c r="AJ259" s="148" t="n">
        <f aca="false">VALUE(IF($D259="dot",$C259,0))+VALUE(IF($H259="dot",$G259,0))</f>
        <v>0</v>
      </c>
      <c r="AK259" s="148" t="n">
        <f aca="false">VALUE(IF($D259="opř",$C259,0))+VALUE(IF($H259="opř",$G259,0))</f>
        <v>0</v>
      </c>
      <c r="AL259" s="148" t="n">
        <f aca="false">SUM(P259:AK259)</f>
        <v>0</v>
      </c>
    </row>
    <row r="260" customFormat="false" ht="12.75" hidden="false" customHeight="false" outlineLevel="0" collapsed="false">
      <c r="A260" s="204"/>
      <c r="B260" s="274"/>
      <c r="C260" s="275"/>
      <c r="P260" s="148" t="n">
        <f aca="false">VALUE(IF($D260="vyb",$C260,0))+VALUE(IF($H260="vyb",$G260,0))</f>
        <v>0</v>
      </c>
      <c r="Q260" s="148" t="n">
        <f aca="false">VALUE(IF($D260="mtv",$C260,0))+VALUE(IF($H260="mtv",$G260,0))</f>
        <v>0</v>
      </c>
      <c r="R260" s="148" t="n">
        <f aca="false">VALUE(IF($D260="mat",$C260,0))+VALUE(IF($H260="mat",$G260,0))</f>
        <v>0</v>
      </c>
      <c r="S260" s="148" t="n">
        <f aca="false">VALUE(IF($D260="pot",$C260,0))+VALUE(IF($H260="pot",$G260,0))</f>
        <v>0</v>
      </c>
      <c r="T260" s="148" t="n">
        <f aca="false">VALUE(IF($D260="táb",$C260,0))+VALUE(IF($H260="táb",$G260,0))</f>
        <v>0</v>
      </c>
      <c r="U260" s="148" t="n">
        <f aca="false">VALUE(IF($D260="oma",$C260,0))+VALUE(IF($H260="oma",$G260,0))</f>
        <v>0</v>
      </c>
      <c r="V260" s="148" t="n">
        <f aca="false">VALUE(IF($D260="ces",$C260,0))+VALUE(IF($H260="ces",$G260,0))</f>
        <v>0</v>
      </c>
      <c r="W260" s="148" t="n">
        <f aca="false">VALUE(IF($D260="poš",$C260,0))+VALUE(IF($H260="poš",$G260,0))</f>
        <v>0</v>
      </c>
      <c r="X260" s="148" t="n">
        <f aca="false">VALUE(IF($D260="tel",$C260,0))+VALUE(IF($H260="tel",$G260,0))</f>
        <v>0</v>
      </c>
      <c r="Y260" s="148" t="n">
        <f aca="false">VALUE(IF($D260="dop",$C260,0))+VALUE(IF($H260="dop",$G260,0))</f>
        <v>0</v>
      </c>
      <c r="Z260" s="148" t="n">
        <f aca="false">VALUE(IF($D260="nák",$C260,0))+VALUE(IF($H260="nák",$G260,0))</f>
        <v>0</v>
      </c>
      <c r="AA260" s="148" t="n">
        <f aca="false">VALUE(IF($D260="náj",$C260,0))+VALUE(IF($H260="náj",$G260,0))</f>
        <v>0</v>
      </c>
      <c r="AB260" s="148" t="n">
        <f aca="false">VALUE(IF($D260="půj",$C260,0))+VALUE(IF($H260="půj",$G260,0))</f>
        <v>0</v>
      </c>
      <c r="AC260" s="148" t="n">
        <f aca="false">VALUE(IF($D260="vst",$C260,0))+VALUE(IF($H260="vst",$G260,0))</f>
        <v>0</v>
      </c>
      <c r="AD260" s="148" t="n">
        <f aca="false">VALUE(IF($D260="kop",$C260,0))+VALUE(IF($H260="kop",$G260,0))</f>
        <v>0</v>
      </c>
      <c r="AE260" s="148" t="n">
        <f aca="false">VALUE(IF($D260="osl",$C260,0))+VALUE(IF($H260="osl",$G260,0))</f>
        <v>0</v>
      </c>
      <c r="AF260" s="148" t="n">
        <f aca="false">VALUE(IF($D260="vra",$C260,0))+VALUE(IF($H260="vra",$G260,0))</f>
        <v>0</v>
      </c>
      <c r="AG260" s="148" t="n">
        <f aca="false">VALUE(IF($D260="zho",$C260,0))+VALUE(IF($H260="zho",$G260,0))</f>
        <v>0</v>
      </c>
      <c r="AH260" s="148" t="n">
        <f aca="false">VALUE(IF($D260="zbú",$C260,0))+VALUE(IF($H260="zbú",$G260,0))</f>
        <v>0</v>
      </c>
      <c r="AI260" s="148" t="n">
        <f aca="false">VALUE(IF($D260="pří",$C260,0))+VALUE(IF($H260="pří",$G260,0))</f>
        <v>0</v>
      </c>
      <c r="AJ260" s="148" t="n">
        <f aca="false">VALUE(IF($D260="dot",$C260,0))+VALUE(IF($H260="dot",$G260,0))</f>
        <v>0</v>
      </c>
      <c r="AK260" s="148" t="n">
        <f aca="false">VALUE(IF($D260="opř",$C260,0))+VALUE(IF($H260="opř",$G260,0))</f>
        <v>0</v>
      </c>
      <c r="AL260" s="148" t="n">
        <f aca="false">SUM(P260:AK260)</f>
        <v>0</v>
      </c>
    </row>
    <row r="261" customFormat="false" ht="12.75" hidden="false" customHeight="false" outlineLevel="0" collapsed="false">
      <c r="A261" s="204"/>
      <c r="B261" s="274"/>
      <c r="C261" s="275"/>
      <c r="P261" s="148" t="n">
        <f aca="false">VALUE(IF($D261="vyb",$C261,0))+VALUE(IF($H261="vyb",$G261,0))</f>
        <v>0</v>
      </c>
      <c r="Q261" s="148" t="n">
        <f aca="false">VALUE(IF($D261="mtv",$C261,0))+VALUE(IF($H261="mtv",$G261,0))</f>
        <v>0</v>
      </c>
      <c r="R261" s="148" t="n">
        <f aca="false">VALUE(IF($D261="mat",$C261,0))+VALUE(IF($H261="mat",$G261,0))</f>
        <v>0</v>
      </c>
      <c r="S261" s="148" t="n">
        <f aca="false">VALUE(IF($D261="pot",$C261,0))+VALUE(IF($H261="pot",$G261,0))</f>
        <v>0</v>
      </c>
      <c r="T261" s="148" t="n">
        <f aca="false">VALUE(IF($D261="táb",$C261,0))+VALUE(IF($H261="táb",$G261,0))</f>
        <v>0</v>
      </c>
      <c r="U261" s="148" t="n">
        <f aca="false">VALUE(IF($D261="oma",$C261,0))+VALUE(IF($H261="oma",$G261,0))</f>
        <v>0</v>
      </c>
      <c r="V261" s="148" t="n">
        <f aca="false">VALUE(IF($D261="ces",$C261,0))+VALUE(IF($H261="ces",$G261,0))</f>
        <v>0</v>
      </c>
      <c r="W261" s="148" t="n">
        <f aca="false">VALUE(IF($D261="poš",$C261,0))+VALUE(IF($H261="poš",$G261,0))</f>
        <v>0</v>
      </c>
      <c r="X261" s="148" t="n">
        <f aca="false">VALUE(IF($D261="tel",$C261,0))+VALUE(IF($H261="tel",$G261,0))</f>
        <v>0</v>
      </c>
      <c r="Y261" s="148" t="n">
        <f aca="false">VALUE(IF($D261="dop",$C261,0))+VALUE(IF($H261="dop",$G261,0))</f>
        <v>0</v>
      </c>
      <c r="Z261" s="148" t="n">
        <f aca="false">VALUE(IF($D261="nák",$C261,0))+VALUE(IF($H261="nák",$G261,0))</f>
        <v>0</v>
      </c>
      <c r="AA261" s="148" t="n">
        <f aca="false">VALUE(IF($D261="náj",$C261,0))+VALUE(IF($H261="náj",$G261,0))</f>
        <v>0</v>
      </c>
      <c r="AB261" s="148" t="n">
        <f aca="false">VALUE(IF($D261="půj",$C261,0))+VALUE(IF($H261="půj",$G261,0))</f>
        <v>0</v>
      </c>
      <c r="AC261" s="148" t="n">
        <f aca="false">VALUE(IF($D261="vst",$C261,0))+VALUE(IF($H261="vst",$G261,0))</f>
        <v>0</v>
      </c>
      <c r="AD261" s="148" t="n">
        <f aca="false">VALUE(IF($D261="kop",$C261,0))+VALUE(IF($H261="kop",$G261,0))</f>
        <v>0</v>
      </c>
      <c r="AE261" s="148" t="n">
        <f aca="false">VALUE(IF($D261="osl",$C261,0))+VALUE(IF($H261="osl",$G261,0))</f>
        <v>0</v>
      </c>
      <c r="AF261" s="148" t="n">
        <f aca="false">VALUE(IF($D261="vra",$C261,0))+VALUE(IF($H261="vra",$G261,0))</f>
        <v>0</v>
      </c>
      <c r="AG261" s="148" t="n">
        <f aca="false">VALUE(IF($D261="zho",$C261,0))+VALUE(IF($H261="zho",$G261,0))</f>
        <v>0</v>
      </c>
      <c r="AH261" s="148" t="n">
        <f aca="false">VALUE(IF($D261="zbú",$C261,0))+VALUE(IF($H261="zbú",$G261,0))</f>
        <v>0</v>
      </c>
      <c r="AI261" s="148" t="n">
        <f aca="false">VALUE(IF($D261="pří",$C261,0))+VALUE(IF($H261="pří",$G261,0))</f>
        <v>0</v>
      </c>
      <c r="AJ261" s="148" t="n">
        <f aca="false">VALUE(IF($D261="dot",$C261,0))+VALUE(IF($H261="dot",$G261,0))</f>
        <v>0</v>
      </c>
      <c r="AK261" s="148" t="n">
        <f aca="false">VALUE(IF($D261="opř",$C261,0))+VALUE(IF($H261="opř",$G261,0))</f>
        <v>0</v>
      </c>
      <c r="AL261" s="148" t="n">
        <f aca="false">SUM(P261:AK261)</f>
        <v>0</v>
      </c>
    </row>
    <row r="262" customFormat="false" ht="12.75" hidden="false" customHeight="false" outlineLevel="0" collapsed="false">
      <c r="A262" s="204"/>
      <c r="B262" s="274"/>
      <c r="C262" s="275"/>
      <c r="P262" s="148" t="n">
        <f aca="false">VALUE(IF($D262="vyb",$C262,0))+VALUE(IF($H262="vyb",$G262,0))</f>
        <v>0</v>
      </c>
      <c r="Q262" s="148" t="n">
        <f aca="false">VALUE(IF($D262="mtv",$C262,0))+VALUE(IF($H262="mtv",$G262,0))</f>
        <v>0</v>
      </c>
      <c r="R262" s="148" t="n">
        <f aca="false">VALUE(IF($D262="mat",$C262,0))+VALUE(IF($H262="mat",$G262,0))</f>
        <v>0</v>
      </c>
      <c r="S262" s="148" t="n">
        <f aca="false">VALUE(IF($D262="pot",$C262,0))+VALUE(IF($H262="pot",$G262,0))</f>
        <v>0</v>
      </c>
      <c r="T262" s="148" t="n">
        <f aca="false">VALUE(IF($D262="táb",$C262,0))+VALUE(IF($H262="táb",$G262,0))</f>
        <v>0</v>
      </c>
      <c r="U262" s="148" t="n">
        <f aca="false">VALUE(IF($D262="oma",$C262,0))+VALUE(IF($H262="oma",$G262,0))</f>
        <v>0</v>
      </c>
      <c r="V262" s="148" t="n">
        <f aca="false">VALUE(IF($D262="ces",$C262,0))+VALUE(IF($H262="ces",$G262,0))</f>
        <v>0</v>
      </c>
      <c r="W262" s="148" t="n">
        <f aca="false">VALUE(IF($D262="poš",$C262,0))+VALUE(IF($H262="poš",$G262,0))</f>
        <v>0</v>
      </c>
      <c r="X262" s="148" t="n">
        <f aca="false">VALUE(IF($D262="tel",$C262,0))+VALUE(IF($H262="tel",$G262,0))</f>
        <v>0</v>
      </c>
      <c r="Y262" s="148" t="n">
        <f aca="false">VALUE(IF($D262="dop",$C262,0))+VALUE(IF($H262="dop",$G262,0))</f>
        <v>0</v>
      </c>
      <c r="Z262" s="148" t="n">
        <f aca="false">VALUE(IF($D262="nák",$C262,0))+VALUE(IF($H262="nák",$G262,0))</f>
        <v>0</v>
      </c>
      <c r="AA262" s="148" t="n">
        <f aca="false">VALUE(IF($D262="náj",$C262,0))+VALUE(IF($H262="náj",$G262,0))</f>
        <v>0</v>
      </c>
      <c r="AB262" s="148" t="n">
        <f aca="false">VALUE(IF($D262="půj",$C262,0))+VALUE(IF($H262="půj",$G262,0))</f>
        <v>0</v>
      </c>
      <c r="AC262" s="148" t="n">
        <f aca="false">VALUE(IF($D262="vst",$C262,0))+VALUE(IF($H262="vst",$G262,0))</f>
        <v>0</v>
      </c>
      <c r="AD262" s="148" t="n">
        <f aca="false">VALUE(IF($D262="kop",$C262,0))+VALUE(IF($H262="kop",$G262,0))</f>
        <v>0</v>
      </c>
      <c r="AE262" s="148" t="n">
        <f aca="false">VALUE(IF($D262="osl",$C262,0))+VALUE(IF($H262="osl",$G262,0))</f>
        <v>0</v>
      </c>
      <c r="AF262" s="148" t="n">
        <f aca="false">VALUE(IF($D262="vra",$C262,0))+VALUE(IF($H262="vra",$G262,0))</f>
        <v>0</v>
      </c>
      <c r="AG262" s="148" t="n">
        <f aca="false">VALUE(IF($D262="zho",$C262,0))+VALUE(IF($H262="zho",$G262,0))</f>
        <v>0</v>
      </c>
      <c r="AH262" s="148" t="n">
        <f aca="false">VALUE(IF($D262="zbú",$C262,0))+VALUE(IF($H262="zbú",$G262,0))</f>
        <v>0</v>
      </c>
      <c r="AI262" s="148" t="n">
        <f aca="false">VALUE(IF($D262="pří",$C262,0))+VALUE(IF($H262="pří",$G262,0))</f>
        <v>0</v>
      </c>
      <c r="AJ262" s="148" t="n">
        <f aca="false">VALUE(IF($D262="dot",$C262,0))+VALUE(IF($H262="dot",$G262,0))</f>
        <v>0</v>
      </c>
      <c r="AK262" s="148" t="n">
        <f aca="false">VALUE(IF($D262="opř",$C262,0))+VALUE(IF($H262="opř",$G262,0))</f>
        <v>0</v>
      </c>
      <c r="AL262" s="148" t="n">
        <f aca="false">SUM(P262:AK262)</f>
        <v>0</v>
      </c>
    </row>
    <row r="263" customFormat="false" ht="12.75" hidden="false" customHeight="false" outlineLevel="0" collapsed="false">
      <c r="A263" s="204"/>
      <c r="B263" s="274"/>
      <c r="C263" s="275"/>
      <c r="P263" s="148" t="n">
        <f aca="false">VALUE(IF($D263="vyb",$C263,0))+VALUE(IF($H263="vyb",$G263,0))</f>
        <v>0</v>
      </c>
      <c r="Q263" s="148" t="n">
        <f aca="false">VALUE(IF($D263="mtv",$C263,0))+VALUE(IF($H263="mtv",$G263,0))</f>
        <v>0</v>
      </c>
      <c r="R263" s="148" t="n">
        <f aca="false">VALUE(IF($D263="mat",$C263,0))+VALUE(IF($H263="mat",$G263,0))</f>
        <v>0</v>
      </c>
      <c r="S263" s="148" t="n">
        <f aca="false">VALUE(IF($D263="pot",$C263,0))+VALUE(IF($H263="pot",$G263,0))</f>
        <v>0</v>
      </c>
      <c r="T263" s="148" t="n">
        <f aca="false">VALUE(IF($D263="táb",$C263,0))+VALUE(IF($H263="táb",$G263,0))</f>
        <v>0</v>
      </c>
      <c r="U263" s="148" t="n">
        <f aca="false">VALUE(IF($D263="oma",$C263,0))+VALUE(IF($H263="oma",$G263,0))</f>
        <v>0</v>
      </c>
      <c r="V263" s="148" t="n">
        <f aca="false">VALUE(IF($D263="ces",$C263,0))+VALUE(IF($H263="ces",$G263,0))</f>
        <v>0</v>
      </c>
      <c r="W263" s="148" t="n">
        <f aca="false">VALUE(IF($D263="poš",$C263,0))+VALUE(IF($H263="poš",$G263,0))</f>
        <v>0</v>
      </c>
      <c r="X263" s="148" t="n">
        <f aca="false">VALUE(IF($D263="tel",$C263,0))+VALUE(IF($H263="tel",$G263,0))</f>
        <v>0</v>
      </c>
      <c r="Y263" s="148" t="n">
        <f aca="false">VALUE(IF($D263="dop",$C263,0))+VALUE(IF($H263="dop",$G263,0))</f>
        <v>0</v>
      </c>
      <c r="Z263" s="148" t="n">
        <f aca="false">VALUE(IF($D263="nák",$C263,0))+VALUE(IF($H263="nák",$G263,0))</f>
        <v>0</v>
      </c>
      <c r="AA263" s="148" t="n">
        <f aca="false">VALUE(IF($D263="náj",$C263,0))+VALUE(IF($H263="náj",$G263,0))</f>
        <v>0</v>
      </c>
      <c r="AB263" s="148" t="n">
        <f aca="false">VALUE(IF($D263="půj",$C263,0))+VALUE(IF($H263="půj",$G263,0))</f>
        <v>0</v>
      </c>
      <c r="AC263" s="148" t="n">
        <f aca="false">VALUE(IF($D263="vst",$C263,0))+VALUE(IF($H263="vst",$G263,0))</f>
        <v>0</v>
      </c>
      <c r="AD263" s="148" t="n">
        <f aca="false">VALUE(IF($D263="kop",$C263,0))+VALUE(IF($H263="kop",$G263,0))</f>
        <v>0</v>
      </c>
      <c r="AE263" s="148" t="n">
        <f aca="false">VALUE(IF($D263="osl",$C263,0))+VALUE(IF($H263="osl",$G263,0))</f>
        <v>0</v>
      </c>
      <c r="AF263" s="148" t="n">
        <f aca="false">VALUE(IF($D263="vra",$C263,0))+VALUE(IF($H263="vra",$G263,0))</f>
        <v>0</v>
      </c>
      <c r="AG263" s="148" t="n">
        <f aca="false">VALUE(IF($D263="zho",$C263,0))+VALUE(IF($H263="zho",$G263,0))</f>
        <v>0</v>
      </c>
      <c r="AH263" s="148" t="n">
        <f aca="false">VALUE(IF($D263="zbú",$C263,0))+VALUE(IF($H263="zbú",$G263,0))</f>
        <v>0</v>
      </c>
      <c r="AI263" s="148" t="n">
        <f aca="false">VALUE(IF($D263="pří",$C263,0))+VALUE(IF($H263="pří",$G263,0))</f>
        <v>0</v>
      </c>
      <c r="AJ263" s="148" t="n">
        <f aca="false">VALUE(IF($D263="dot",$C263,0))+VALUE(IF($H263="dot",$G263,0))</f>
        <v>0</v>
      </c>
      <c r="AK263" s="148" t="n">
        <f aca="false">VALUE(IF($D263="opř",$C263,0))+VALUE(IF($H263="opř",$G263,0))</f>
        <v>0</v>
      </c>
      <c r="AL263" s="148" t="n">
        <f aca="false">SUM(P263:AK263)</f>
        <v>0</v>
      </c>
    </row>
    <row r="264" customFormat="false" ht="12.75" hidden="false" customHeight="false" outlineLevel="0" collapsed="false">
      <c r="A264" s="204"/>
      <c r="B264" s="274"/>
      <c r="C264" s="275"/>
      <c r="P264" s="148" t="n">
        <f aca="false">VALUE(IF($D264="vyb",$C264,0))+VALUE(IF($H264="vyb",$G264,0))</f>
        <v>0</v>
      </c>
      <c r="Q264" s="148" t="n">
        <f aca="false">VALUE(IF($D264="mtv",$C264,0))+VALUE(IF($H264="mtv",$G264,0))</f>
        <v>0</v>
      </c>
      <c r="R264" s="148" t="n">
        <f aca="false">VALUE(IF($D264="mat",$C264,0))+VALUE(IF($H264="mat",$G264,0))</f>
        <v>0</v>
      </c>
      <c r="S264" s="148" t="n">
        <f aca="false">VALUE(IF($D264="pot",$C264,0))+VALUE(IF($H264="pot",$G264,0))</f>
        <v>0</v>
      </c>
      <c r="T264" s="148" t="n">
        <f aca="false">VALUE(IF($D264="táb",$C264,0))+VALUE(IF($H264="táb",$G264,0))</f>
        <v>0</v>
      </c>
      <c r="U264" s="148" t="n">
        <f aca="false">VALUE(IF($D264="oma",$C264,0))+VALUE(IF($H264="oma",$G264,0))</f>
        <v>0</v>
      </c>
      <c r="V264" s="148" t="n">
        <f aca="false">VALUE(IF($D264="ces",$C264,0))+VALUE(IF($H264="ces",$G264,0))</f>
        <v>0</v>
      </c>
      <c r="W264" s="148" t="n">
        <f aca="false">VALUE(IF($D264="poš",$C264,0))+VALUE(IF($H264="poš",$G264,0))</f>
        <v>0</v>
      </c>
      <c r="X264" s="148" t="n">
        <f aca="false">VALUE(IF($D264="tel",$C264,0))+VALUE(IF($H264="tel",$G264,0))</f>
        <v>0</v>
      </c>
      <c r="Y264" s="148" t="n">
        <f aca="false">VALUE(IF($D264="dop",$C264,0))+VALUE(IF($H264="dop",$G264,0))</f>
        <v>0</v>
      </c>
      <c r="Z264" s="148" t="n">
        <f aca="false">VALUE(IF($D264="nák",$C264,0))+VALUE(IF($H264="nák",$G264,0))</f>
        <v>0</v>
      </c>
      <c r="AA264" s="148" t="n">
        <f aca="false">VALUE(IF($D264="náj",$C264,0))+VALUE(IF($H264="náj",$G264,0))</f>
        <v>0</v>
      </c>
      <c r="AB264" s="148" t="n">
        <f aca="false">VALUE(IF($D264="půj",$C264,0))+VALUE(IF($H264="půj",$G264,0))</f>
        <v>0</v>
      </c>
      <c r="AC264" s="148" t="n">
        <f aca="false">VALUE(IF($D264="vst",$C264,0))+VALUE(IF($H264="vst",$G264,0))</f>
        <v>0</v>
      </c>
      <c r="AD264" s="148" t="n">
        <f aca="false">VALUE(IF($D264="kop",$C264,0))+VALUE(IF($H264="kop",$G264,0))</f>
        <v>0</v>
      </c>
      <c r="AE264" s="148" t="n">
        <f aca="false">VALUE(IF($D264="osl",$C264,0))+VALUE(IF($H264="osl",$G264,0))</f>
        <v>0</v>
      </c>
      <c r="AF264" s="148" t="n">
        <f aca="false">VALUE(IF($D264="vra",$C264,0))+VALUE(IF($H264="vra",$G264,0))</f>
        <v>0</v>
      </c>
      <c r="AG264" s="148" t="n">
        <f aca="false">VALUE(IF($D264="zho",$C264,0))+VALUE(IF($H264="zho",$G264,0))</f>
        <v>0</v>
      </c>
      <c r="AH264" s="148" t="n">
        <f aca="false">VALUE(IF($D264="zbú",$C264,0))+VALUE(IF($H264="zbú",$G264,0))</f>
        <v>0</v>
      </c>
      <c r="AI264" s="148" t="n">
        <f aca="false">VALUE(IF($D264="pří",$C264,0))+VALUE(IF($H264="pří",$G264,0))</f>
        <v>0</v>
      </c>
      <c r="AJ264" s="148" t="n">
        <f aca="false">VALUE(IF($D264="dot",$C264,0))+VALUE(IF($H264="dot",$G264,0))</f>
        <v>0</v>
      </c>
      <c r="AK264" s="148" t="n">
        <f aca="false">VALUE(IF($D264="opř",$C264,0))+VALUE(IF($H264="opř",$G264,0))</f>
        <v>0</v>
      </c>
      <c r="AL264" s="148" t="n">
        <f aca="false">SUM(P264:AK264)</f>
        <v>0</v>
      </c>
    </row>
    <row r="265" customFormat="false" ht="12.75" hidden="false" customHeight="false" outlineLevel="0" collapsed="false">
      <c r="A265" s="204"/>
      <c r="B265" s="274"/>
      <c r="C265" s="275"/>
      <c r="P265" s="148" t="n">
        <f aca="false">VALUE(IF($D265="vyb",$C265,0))+VALUE(IF($H265="vyb",$G265,0))</f>
        <v>0</v>
      </c>
      <c r="Q265" s="148" t="n">
        <f aca="false">VALUE(IF($D265="mtv",$C265,0))+VALUE(IF($H265="mtv",$G265,0))</f>
        <v>0</v>
      </c>
      <c r="R265" s="148" t="n">
        <f aca="false">VALUE(IF($D265="mat",$C265,0))+VALUE(IF($H265="mat",$G265,0))</f>
        <v>0</v>
      </c>
      <c r="S265" s="148" t="n">
        <f aca="false">VALUE(IF($D265="pot",$C265,0))+VALUE(IF($H265="pot",$G265,0))</f>
        <v>0</v>
      </c>
      <c r="T265" s="148" t="n">
        <f aca="false">VALUE(IF($D265="táb",$C265,0))+VALUE(IF($H265="táb",$G265,0))</f>
        <v>0</v>
      </c>
      <c r="U265" s="148" t="n">
        <f aca="false">VALUE(IF($D265="oma",$C265,0))+VALUE(IF($H265="oma",$G265,0))</f>
        <v>0</v>
      </c>
      <c r="V265" s="148" t="n">
        <f aca="false">VALUE(IF($D265="ces",$C265,0))+VALUE(IF($H265="ces",$G265,0))</f>
        <v>0</v>
      </c>
      <c r="W265" s="148" t="n">
        <f aca="false">VALUE(IF($D265="poš",$C265,0))+VALUE(IF($H265="poš",$G265,0))</f>
        <v>0</v>
      </c>
      <c r="X265" s="148" t="n">
        <f aca="false">VALUE(IF($D265="tel",$C265,0))+VALUE(IF($H265="tel",$G265,0))</f>
        <v>0</v>
      </c>
      <c r="Y265" s="148" t="n">
        <f aca="false">VALUE(IF($D265="dop",$C265,0))+VALUE(IF($H265="dop",$G265,0))</f>
        <v>0</v>
      </c>
      <c r="Z265" s="148" t="n">
        <f aca="false">VALUE(IF($D265="nák",$C265,0))+VALUE(IF($H265="nák",$G265,0))</f>
        <v>0</v>
      </c>
      <c r="AA265" s="148" t="n">
        <f aca="false">VALUE(IF($D265="náj",$C265,0))+VALUE(IF($H265="náj",$G265,0))</f>
        <v>0</v>
      </c>
      <c r="AB265" s="148" t="n">
        <f aca="false">VALUE(IF($D265="půj",$C265,0))+VALUE(IF($H265="půj",$G265,0))</f>
        <v>0</v>
      </c>
      <c r="AC265" s="148" t="n">
        <f aca="false">VALUE(IF($D265="vst",$C265,0))+VALUE(IF($H265="vst",$G265,0))</f>
        <v>0</v>
      </c>
      <c r="AD265" s="148" t="n">
        <f aca="false">VALUE(IF($D265="kop",$C265,0))+VALUE(IF($H265="kop",$G265,0))</f>
        <v>0</v>
      </c>
      <c r="AE265" s="148" t="n">
        <f aca="false">VALUE(IF($D265="osl",$C265,0))+VALUE(IF($H265="osl",$G265,0))</f>
        <v>0</v>
      </c>
      <c r="AF265" s="148" t="n">
        <f aca="false">VALUE(IF($D265="vra",$C265,0))+VALUE(IF($H265="vra",$G265,0))</f>
        <v>0</v>
      </c>
      <c r="AG265" s="148" t="n">
        <f aca="false">VALUE(IF($D265="zho",$C265,0))+VALUE(IF($H265="zho",$G265,0))</f>
        <v>0</v>
      </c>
      <c r="AH265" s="148" t="n">
        <f aca="false">VALUE(IF($D265="zbú",$C265,0))+VALUE(IF($H265="zbú",$G265,0))</f>
        <v>0</v>
      </c>
      <c r="AI265" s="148" t="n">
        <f aca="false">VALUE(IF($D265="pří",$C265,0))+VALUE(IF($H265="pří",$G265,0))</f>
        <v>0</v>
      </c>
      <c r="AJ265" s="148" t="n">
        <f aca="false">VALUE(IF($D265="dot",$C265,0))+VALUE(IF($H265="dot",$G265,0))</f>
        <v>0</v>
      </c>
      <c r="AK265" s="148" t="n">
        <f aca="false">VALUE(IF($D265="opř",$C265,0))+VALUE(IF($H265="opř",$G265,0))</f>
        <v>0</v>
      </c>
      <c r="AL265" s="148" t="n">
        <f aca="false">SUM(P265:AK265)</f>
        <v>0</v>
      </c>
    </row>
    <row r="266" customFormat="false" ht="12.75" hidden="false" customHeight="false" outlineLevel="0" collapsed="false">
      <c r="A266" s="276"/>
      <c r="B266" s="274"/>
      <c r="C266" s="275"/>
      <c r="P266" s="148" t="n">
        <f aca="false">VALUE(IF($D266="vyb",$C266,0))+VALUE(IF($H266="vyb",$G266,0))</f>
        <v>0</v>
      </c>
      <c r="Q266" s="148" t="n">
        <f aca="false">VALUE(IF($D266="mtv",$C266,0))+VALUE(IF($H266="mtv",$G266,0))</f>
        <v>0</v>
      </c>
      <c r="R266" s="148" t="n">
        <f aca="false">VALUE(IF($D266="mat",$C266,0))+VALUE(IF($H266="mat",$G266,0))</f>
        <v>0</v>
      </c>
      <c r="S266" s="148" t="n">
        <f aca="false">VALUE(IF($D266="pot",$C266,0))+VALUE(IF($H266="pot",$G266,0))</f>
        <v>0</v>
      </c>
      <c r="T266" s="148" t="n">
        <f aca="false">VALUE(IF($D266="táb",$C266,0))+VALUE(IF($H266="táb",$G266,0))</f>
        <v>0</v>
      </c>
      <c r="U266" s="148" t="n">
        <f aca="false">VALUE(IF($D266="oma",$C266,0))+VALUE(IF($H266="oma",$G266,0))</f>
        <v>0</v>
      </c>
      <c r="V266" s="148" t="n">
        <f aca="false">VALUE(IF($D266="ces",$C266,0))+VALUE(IF($H266="ces",$G266,0))</f>
        <v>0</v>
      </c>
      <c r="W266" s="148" t="n">
        <f aca="false">VALUE(IF($D266="poš",$C266,0))+VALUE(IF($H266="poš",$G266,0))</f>
        <v>0</v>
      </c>
      <c r="X266" s="148" t="n">
        <f aca="false">VALUE(IF($D266="tel",$C266,0))+VALUE(IF($H266="tel",$G266,0))</f>
        <v>0</v>
      </c>
      <c r="Y266" s="148" t="n">
        <f aca="false">VALUE(IF($D266="dop",$C266,0))+VALUE(IF($H266="dop",$G266,0))</f>
        <v>0</v>
      </c>
      <c r="Z266" s="148" t="n">
        <f aca="false">VALUE(IF($D266="nák",$C266,0))+VALUE(IF($H266="nák",$G266,0))</f>
        <v>0</v>
      </c>
      <c r="AA266" s="148" t="n">
        <f aca="false">VALUE(IF($D266="náj",$C266,0))+VALUE(IF($H266="náj",$G266,0))</f>
        <v>0</v>
      </c>
      <c r="AB266" s="148" t="n">
        <f aca="false">VALUE(IF($D266="půj",$C266,0))+VALUE(IF($H266="půj",$G266,0))</f>
        <v>0</v>
      </c>
      <c r="AC266" s="148" t="n">
        <f aca="false">VALUE(IF($D266="vst",$C266,0))+VALUE(IF($H266="vst",$G266,0))</f>
        <v>0</v>
      </c>
      <c r="AD266" s="148" t="n">
        <f aca="false">VALUE(IF($D266="kop",$C266,0))+VALUE(IF($H266="kop",$G266,0))</f>
        <v>0</v>
      </c>
      <c r="AE266" s="148" t="n">
        <f aca="false">VALUE(IF($D266="osl",$C266,0))+VALUE(IF($H266="osl",$G266,0))</f>
        <v>0</v>
      </c>
      <c r="AF266" s="148" t="n">
        <f aca="false">VALUE(IF($D266="vra",$C266,0))+VALUE(IF($H266="vra",$G266,0))</f>
        <v>0</v>
      </c>
      <c r="AG266" s="148" t="n">
        <f aca="false">VALUE(IF($D266="zho",$C266,0))+VALUE(IF($H266="zho",$G266,0))</f>
        <v>0</v>
      </c>
      <c r="AH266" s="148" t="n">
        <f aca="false">VALUE(IF($D266="zbú",$C266,0))+VALUE(IF($H266="zbú",$G266,0))</f>
        <v>0</v>
      </c>
      <c r="AI266" s="148" t="n">
        <f aca="false">VALUE(IF($D266="pří",$C266,0))+VALUE(IF($H266="pří",$G266,0))</f>
        <v>0</v>
      </c>
      <c r="AJ266" s="148" t="n">
        <f aca="false">VALUE(IF($D266="dot",$C266,0))+VALUE(IF($H266="dot",$G266,0))</f>
        <v>0</v>
      </c>
      <c r="AK266" s="148" t="n">
        <f aca="false">VALUE(IF($D266="opř",$C266,0))+VALUE(IF($H266="opř",$G266,0))</f>
        <v>0</v>
      </c>
      <c r="AL266" s="148" t="n">
        <f aca="false">SUM(P266:AK266)</f>
        <v>0</v>
      </c>
    </row>
    <row r="267" customFormat="false" ht="12.75" hidden="false" customHeight="false" outlineLevel="0" collapsed="false">
      <c r="A267" s="276"/>
      <c r="B267" s="274"/>
      <c r="C267" s="275"/>
      <c r="P267" s="148" t="n">
        <f aca="false">VALUE(IF($D267="vyb",$C267,0))+VALUE(IF($H267="vyb",$G267,0))</f>
        <v>0</v>
      </c>
      <c r="Q267" s="148" t="n">
        <f aca="false">VALUE(IF($D267="mtv",$C267,0))+VALUE(IF($H267="mtv",$G267,0))</f>
        <v>0</v>
      </c>
      <c r="R267" s="148" t="n">
        <f aca="false">VALUE(IF($D267="mat",$C267,0))+VALUE(IF($H267="mat",$G267,0))</f>
        <v>0</v>
      </c>
      <c r="S267" s="148" t="n">
        <f aca="false">VALUE(IF($D267="pot",$C267,0))+VALUE(IF($H267="pot",$G267,0))</f>
        <v>0</v>
      </c>
      <c r="T267" s="148" t="n">
        <f aca="false">VALUE(IF($D267="táb",$C267,0))+VALUE(IF($H267="táb",$G267,0))</f>
        <v>0</v>
      </c>
      <c r="U267" s="148" t="n">
        <f aca="false">VALUE(IF($D267="oma",$C267,0))+VALUE(IF($H267="oma",$G267,0))</f>
        <v>0</v>
      </c>
      <c r="V267" s="148" t="n">
        <f aca="false">VALUE(IF($D267="ces",$C267,0))+VALUE(IF($H267="ces",$G267,0))</f>
        <v>0</v>
      </c>
      <c r="W267" s="148" t="n">
        <f aca="false">VALUE(IF($D267="poš",$C267,0))+VALUE(IF($H267="poš",$G267,0))</f>
        <v>0</v>
      </c>
      <c r="X267" s="148" t="n">
        <f aca="false">VALUE(IF($D267="tel",$C267,0))+VALUE(IF($H267="tel",$G267,0))</f>
        <v>0</v>
      </c>
      <c r="Y267" s="148" t="n">
        <f aca="false">VALUE(IF($D267="dop",$C267,0))+VALUE(IF($H267="dop",$G267,0))</f>
        <v>0</v>
      </c>
      <c r="Z267" s="148" t="n">
        <f aca="false">VALUE(IF($D267="nák",$C267,0))+VALUE(IF($H267="nák",$G267,0))</f>
        <v>0</v>
      </c>
      <c r="AA267" s="148" t="n">
        <f aca="false">VALUE(IF($D267="náj",$C267,0))+VALUE(IF($H267="náj",$G267,0))</f>
        <v>0</v>
      </c>
      <c r="AB267" s="148" t="n">
        <f aca="false">VALUE(IF($D267="půj",$C267,0))+VALUE(IF($H267="půj",$G267,0))</f>
        <v>0</v>
      </c>
      <c r="AC267" s="148" t="n">
        <f aca="false">VALUE(IF($D267="vst",$C267,0))+VALUE(IF($H267="vst",$G267,0))</f>
        <v>0</v>
      </c>
      <c r="AD267" s="148" t="n">
        <f aca="false">VALUE(IF($D267="kop",$C267,0))+VALUE(IF($H267="kop",$G267,0))</f>
        <v>0</v>
      </c>
      <c r="AE267" s="148" t="n">
        <f aca="false">VALUE(IF($D267="osl",$C267,0))+VALUE(IF($H267="osl",$G267,0))</f>
        <v>0</v>
      </c>
      <c r="AF267" s="148" t="n">
        <f aca="false">VALUE(IF($D267="vra",$C267,0))+VALUE(IF($H267="vra",$G267,0))</f>
        <v>0</v>
      </c>
      <c r="AG267" s="148" t="n">
        <f aca="false">VALUE(IF($D267="zho",$C267,0))+VALUE(IF($H267="zho",$G267,0))</f>
        <v>0</v>
      </c>
      <c r="AH267" s="148" t="n">
        <f aca="false">VALUE(IF($D267="zbú",$C267,0))+VALUE(IF($H267="zbú",$G267,0))</f>
        <v>0</v>
      </c>
      <c r="AI267" s="148" t="n">
        <f aca="false">VALUE(IF($D267="pří",$C267,0))+VALUE(IF($H267="pří",$G267,0))</f>
        <v>0</v>
      </c>
      <c r="AJ267" s="148" t="n">
        <f aca="false">VALUE(IF($D267="dot",$C267,0))+VALUE(IF($H267="dot",$G267,0))</f>
        <v>0</v>
      </c>
      <c r="AK267" s="148" t="n">
        <f aca="false">VALUE(IF($D267="opř",$C267,0))+VALUE(IF($H267="opř",$G267,0))</f>
        <v>0</v>
      </c>
      <c r="AL267" s="148" t="n">
        <f aca="false">SUM(P267:AK267)</f>
        <v>0</v>
      </c>
    </row>
    <row r="268" customFormat="false" ht="12.75" hidden="false" customHeight="false" outlineLevel="0" collapsed="false">
      <c r="A268" s="276"/>
      <c r="B268" s="274"/>
      <c r="C268" s="275"/>
      <c r="P268" s="148" t="n">
        <f aca="false">VALUE(IF($D268="vyb",$C268,0))+VALUE(IF($H268="vyb",$G268,0))</f>
        <v>0</v>
      </c>
      <c r="Q268" s="148" t="n">
        <f aca="false">VALUE(IF($D268="mtv",$C268,0))+VALUE(IF($H268="mtv",$G268,0))</f>
        <v>0</v>
      </c>
      <c r="R268" s="148" t="n">
        <f aca="false">VALUE(IF($D268="mat",$C268,0))+VALUE(IF($H268="mat",$G268,0))</f>
        <v>0</v>
      </c>
      <c r="S268" s="148" t="n">
        <f aca="false">VALUE(IF($D268="pot",$C268,0))+VALUE(IF($H268="pot",$G268,0))</f>
        <v>0</v>
      </c>
      <c r="T268" s="148" t="n">
        <f aca="false">VALUE(IF($D268="táb",$C268,0))+VALUE(IF($H268="táb",$G268,0))</f>
        <v>0</v>
      </c>
      <c r="U268" s="148" t="n">
        <f aca="false">VALUE(IF($D268="oma",$C268,0))+VALUE(IF($H268="oma",$G268,0))</f>
        <v>0</v>
      </c>
      <c r="V268" s="148" t="n">
        <f aca="false">VALUE(IF($D268="ces",$C268,0))+VALUE(IF($H268="ces",$G268,0))</f>
        <v>0</v>
      </c>
      <c r="W268" s="148" t="n">
        <f aca="false">VALUE(IF($D268="poš",$C268,0))+VALUE(IF($H268="poš",$G268,0))</f>
        <v>0</v>
      </c>
      <c r="X268" s="148" t="n">
        <f aca="false">VALUE(IF($D268="tel",$C268,0))+VALUE(IF($H268="tel",$G268,0))</f>
        <v>0</v>
      </c>
      <c r="Y268" s="148" t="n">
        <f aca="false">VALUE(IF($D268="dop",$C268,0))+VALUE(IF($H268="dop",$G268,0))</f>
        <v>0</v>
      </c>
      <c r="Z268" s="148" t="n">
        <f aca="false">VALUE(IF($D268="nák",$C268,0))+VALUE(IF($H268="nák",$G268,0))</f>
        <v>0</v>
      </c>
      <c r="AA268" s="148" t="n">
        <f aca="false">VALUE(IF($D268="náj",$C268,0))+VALUE(IF($H268="náj",$G268,0))</f>
        <v>0</v>
      </c>
      <c r="AB268" s="148" t="n">
        <f aca="false">VALUE(IF($D268="půj",$C268,0))+VALUE(IF($H268="půj",$G268,0))</f>
        <v>0</v>
      </c>
      <c r="AC268" s="148" t="n">
        <f aca="false">VALUE(IF($D268="vst",$C268,0))+VALUE(IF($H268="vst",$G268,0))</f>
        <v>0</v>
      </c>
      <c r="AD268" s="148" t="n">
        <f aca="false">VALUE(IF($D268="kop",$C268,0))+VALUE(IF($H268="kop",$G268,0))</f>
        <v>0</v>
      </c>
      <c r="AE268" s="148" t="n">
        <f aca="false">VALUE(IF($D268="osl",$C268,0))+VALUE(IF($H268="osl",$G268,0))</f>
        <v>0</v>
      </c>
      <c r="AF268" s="148" t="n">
        <f aca="false">VALUE(IF($D268="vra",$C268,0))+VALUE(IF($H268="vra",$G268,0))</f>
        <v>0</v>
      </c>
      <c r="AG268" s="148" t="n">
        <f aca="false">VALUE(IF($D268="zho",$C268,0))+VALUE(IF($H268="zho",$G268,0))</f>
        <v>0</v>
      </c>
      <c r="AH268" s="148" t="n">
        <f aca="false">VALUE(IF($D268="zbú",$C268,0))+VALUE(IF($H268="zbú",$G268,0))</f>
        <v>0</v>
      </c>
      <c r="AI268" s="148" t="n">
        <f aca="false">VALUE(IF($D268="pří",$C268,0))+VALUE(IF($H268="pří",$G268,0))</f>
        <v>0</v>
      </c>
      <c r="AJ268" s="148" t="n">
        <f aca="false">VALUE(IF($D268="dot",$C268,0))+VALUE(IF($H268="dot",$G268,0))</f>
        <v>0</v>
      </c>
      <c r="AK268" s="148" t="n">
        <f aca="false">VALUE(IF($D268="opř",$C268,0))+VALUE(IF($H268="opř",$G268,0))</f>
        <v>0</v>
      </c>
      <c r="AL268" s="148" t="n">
        <f aca="false">SUM(P268:AK268)</f>
        <v>0</v>
      </c>
    </row>
    <row r="269" customFormat="false" ht="12.75" hidden="false" customHeight="false" outlineLevel="0" collapsed="false">
      <c r="A269" s="276"/>
      <c r="B269" s="274"/>
      <c r="C269" s="275"/>
      <c r="P269" s="148" t="n">
        <f aca="false">VALUE(IF($D269="vyb",$C269,0))+VALUE(IF($H269="vyb",$G269,0))</f>
        <v>0</v>
      </c>
      <c r="Q269" s="148" t="n">
        <f aca="false">VALUE(IF($D269="mtv",$C269,0))+VALUE(IF($H269="mtv",$G269,0))</f>
        <v>0</v>
      </c>
      <c r="R269" s="148" t="n">
        <f aca="false">VALUE(IF($D269="mat",$C269,0))+VALUE(IF($H269="mat",$G269,0))</f>
        <v>0</v>
      </c>
      <c r="S269" s="148" t="n">
        <f aca="false">VALUE(IF($D269="pot",$C269,0))+VALUE(IF($H269="pot",$G269,0))</f>
        <v>0</v>
      </c>
      <c r="T269" s="148" t="n">
        <f aca="false">VALUE(IF($D269="táb",$C269,0))+VALUE(IF($H269="táb",$G269,0))</f>
        <v>0</v>
      </c>
      <c r="U269" s="148" t="n">
        <f aca="false">VALUE(IF($D269="oma",$C269,0))+VALUE(IF($H269="oma",$G269,0))</f>
        <v>0</v>
      </c>
      <c r="V269" s="148" t="n">
        <f aca="false">VALUE(IF($D269="ces",$C269,0))+VALUE(IF($H269="ces",$G269,0))</f>
        <v>0</v>
      </c>
      <c r="W269" s="148" t="n">
        <f aca="false">VALUE(IF($D269="poš",$C269,0))+VALUE(IF($H269="poš",$G269,0))</f>
        <v>0</v>
      </c>
      <c r="X269" s="148" t="n">
        <f aca="false">VALUE(IF($D269="tel",$C269,0))+VALUE(IF($H269="tel",$G269,0))</f>
        <v>0</v>
      </c>
      <c r="Y269" s="148" t="n">
        <f aca="false">VALUE(IF($D269="dop",$C269,0))+VALUE(IF($H269="dop",$G269,0))</f>
        <v>0</v>
      </c>
      <c r="Z269" s="148" t="n">
        <f aca="false">VALUE(IF($D269="nák",$C269,0))+VALUE(IF($H269="nák",$G269,0))</f>
        <v>0</v>
      </c>
      <c r="AA269" s="148" t="n">
        <f aca="false">VALUE(IF($D269="náj",$C269,0))+VALUE(IF($H269="náj",$G269,0))</f>
        <v>0</v>
      </c>
      <c r="AB269" s="148" t="n">
        <f aca="false">VALUE(IF($D269="půj",$C269,0))+VALUE(IF($H269="půj",$G269,0))</f>
        <v>0</v>
      </c>
      <c r="AC269" s="148" t="n">
        <f aca="false">VALUE(IF($D269="vst",$C269,0))+VALUE(IF($H269="vst",$G269,0))</f>
        <v>0</v>
      </c>
      <c r="AD269" s="148" t="n">
        <f aca="false">VALUE(IF($D269="kop",$C269,0))+VALUE(IF($H269="kop",$G269,0))</f>
        <v>0</v>
      </c>
      <c r="AE269" s="148" t="n">
        <f aca="false">VALUE(IF($D269="osl",$C269,0))+VALUE(IF($H269="osl",$G269,0))</f>
        <v>0</v>
      </c>
      <c r="AF269" s="148" t="n">
        <f aca="false">VALUE(IF($D269="vra",$C269,0))+VALUE(IF($H269="vra",$G269,0))</f>
        <v>0</v>
      </c>
      <c r="AG269" s="148" t="n">
        <f aca="false">VALUE(IF($D269="zho",$C269,0))+VALUE(IF($H269="zho",$G269,0))</f>
        <v>0</v>
      </c>
      <c r="AH269" s="148" t="n">
        <f aca="false">VALUE(IF($D269="zbú",$C269,0))+VALUE(IF($H269="zbú",$G269,0))</f>
        <v>0</v>
      </c>
      <c r="AI269" s="148" t="n">
        <f aca="false">VALUE(IF($D269="pří",$C269,0))+VALUE(IF($H269="pří",$G269,0))</f>
        <v>0</v>
      </c>
      <c r="AJ269" s="148" t="n">
        <f aca="false">VALUE(IF($D269="dot",$C269,0))+VALUE(IF($H269="dot",$G269,0))</f>
        <v>0</v>
      </c>
      <c r="AK269" s="148" t="n">
        <f aca="false">VALUE(IF($D269="opř",$C269,0))+VALUE(IF($H269="opř",$G269,0))</f>
        <v>0</v>
      </c>
      <c r="AL269" s="148" t="n">
        <f aca="false">SUM(P269:AK269)</f>
        <v>0</v>
      </c>
    </row>
    <row r="270" customFormat="false" ht="12.75" hidden="false" customHeight="false" outlineLevel="0" collapsed="false">
      <c r="A270" s="276"/>
      <c r="B270" s="274"/>
      <c r="C270" s="275"/>
      <c r="P270" s="148" t="n">
        <f aca="false">VALUE(IF($D270="vyb",$C270,0))+VALUE(IF($H270="vyb",$G270,0))</f>
        <v>0</v>
      </c>
      <c r="Q270" s="148" t="n">
        <f aca="false">VALUE(IF($D270="mtv",$C270,0))+VALUE(IF($H270="mtv",$G270,0))</f>
        <v>0</v>
      </c>
      <c r="R270" s="148" t="n">
        <f aca="false">VALUE(IF($D270="mat",$C270,0))+VALUE(IF($H270="mat",$G270,0))</f>
        <v>0</v>
      </c>
      <c r="S270" s="148" t="n">
        <f aca="false">VALUE(IF($D270="pot",$C270,0))+VALUE(IF($H270="pot",$G270,0))</f>
        <v>0</v>
      </c>
      <c r="T270" s="148" t="n">
        <f aca="false">VALUE(IF($D270="táb",$C270,0))+VALUE(IF($H270="táb",$G270,0))</f>
        <v>0</v>
      </c>
      <c r="U270" s="148" t="n">
        <f aca="false">VALUE(IF($D270="oma",$C270,0))+VALUE(IF($H270="oma",$G270,0))</f>
        <v>0</v>
      </c>
      <c r="V270" s="148" t="n">
        <f aca="false">VALUE(IF($D270="ces",$C270,0))+VALUE(IF($H270="ces",$G270,0))</f>
        <v>0</v>
      </c>
      <c r="W270" s="148" t="n">
        <f aca="false">VALUE(IF($D270="poš",$C270,0))+VALUE(IF($H270="poš",$G270,0))</f>
        <v>0</v>
      </c>
      <c r="X270" s="148" t="n">
        <f aca="false">VALUE(IF($D270="tel",$C270,0))+VALUE(IF($H270="tel",$G270,0))</f>
        <v>0</v>
      </c>
      <c r="Y270" s="148" t="n">
        <f aca="false">VALUE(IF($D270="dop",$C270,0))+VALUE(IF($H270="dop",$G270,0))</f>
        <v>0</v>
      </c>
      <c r="Z270" s="148" t="n">
        <f aca="false">VALUE(IF($D270="nák",$C270,0))+VALUE(IF($H270="nák",$G270,0))</f>
        <v>0</v>
      </c>
      <c r="AA270" s="148" t="n">
        <f aca="false">VALUE(IF($D270="náj",$C270,0))+VALUE(IF($H270="náj",$G270,0))</f>
        <v>0</v>
      </c>
      <c r="AB270" s="148" t="n">
        <f aca="false">VALUE(IF($D270="půj",$C270,0))+VALUE(IF($H270="půj",$G270,0))</f>
        <v>0</v>
      </c>
      <c r="AC270" s="148" t="n">
        <f aca="false">VALUE(IF($D270="vst",$C270,0))+VALUE(IF($H270="vst",$G270,0))</f>
        <v>0</v>
      </c>
      <c r="AD270" s="148" t="n">
        <f aca="false">VALUE(IF($D270="kop",$C270,0))+VALUE(IF($H270="kop",$G270,0))</f>
        <v>0</v>
      </c>
      <c r="AE270" s="148" t="n">
        <f aca="false">VALUE(IF($D270="osl",$C270,0))+VALUE(IF($H270="osl",$G270,0))</f>
        <v>0</v>
      </c>
      <c r="AF270" s="148" t="n">
        <f aca="false">VALUE(IF($D270="vra",$C270,0))+VALUE(IF($H270="vra",$G270,0))</f>
        <v>0</v>
      </c>
      <c r="AG270" s="148" t="n">
        <f aca="false">VALUE(IF($D270="zho",$C270,0))+VALUE(IF($H270="zho",$G270,0))</f>
        <v>0</v>
      </c>
      <c r="AH270" s="148" t="n">
        <f aca="false">VALUE(IF($D270="zbú",$C270,0))+VALUE(IF($H270="zbú",$G270,0))</f>
        <v>0</v>
      </c>
      <c r="AI270" s="148" t="n">
        <f aca="false">VALUE(IF($D270="pří",$C270,0))+VALUE(IF($H270="pří",$G270,0))</f>
        <v>0</v>
      </c>
      <c r="AJ270" s="148" t="n">
        <f aca="false">VALUE(IF($D270="dot",$C270,0))+VALUE(IF($H270="dot",$G270,0))</f>
        <v>0</v>
      </c>
      <c r="AK270" s="148" t="n">
        <f aca="false">VALUE(IF($D270="opř",$C270,0))+VALUE(IF($H270="opř",$G270,0))</f>
        <v>0</v>
      </c>
      <c r="AL270" s="148" t="n">
        <f aca="false">SUM(P270:AK270)</f>
        <v>0</v>
      </c>
    </row>
    <row r="271" customFormat="false" ht="12.75" hidden="false" customHeight="false" outlineLevel="0" collapsed="false">
      <c r="A271" s="276"/>
      <c r="B271" s="274"/>
      <c r="C271" s="275"/>
      <c r="P271" s="148" t="n">
        <f aca="false">VALUE(IF($D271="vyb",$C271,0))+VALUE(IF($H271="vyb",$G271,0))</f>
        <v>0</v>
      </c>
      <c r="Q271" s="148" t="n">
        <f aca="false">VALUE(IF($D271="mtv",$C271,0))+VALUE(IF($H271="mtv",$G271,0))</f>
        <v>0</v>
      </c>
      <c r="R271" s="148" t="n">
        <f aca="false">VALUE(IF($D271="mat",$C271,0))+VALUE(IF($H271="mat",$G271,0))</f>
        <v>0</v>
      </c>
      <c r="S271" s="148" t="n">
        <f aca="false">VALUE(IF($D271="pot",$C271,0))+VALUE(IF($H271="pot",$G271,0))</f>
        <v>0</v>
      </c>
      <c r="T271" s="148" t="n">
        <f aca="false">VALUE(IF($D271="táb",$C271,0))+VALUE(IF($H271="táb",$G271,0))</f>
        <v>0</v>
      </c>
      <c r="U271" s="148" t="n">
        <f aca="false">VALUE(IF($D271="oma",$C271,0))+VALUE(IF($H271="oma",$G271,0))</f>
        <v>0</v>
      </c>
      <c r="V271" s="148" t="n">
        <f aca="false">VALUE(IF($D271="ces",$C271,0))+VALUE(IF($H271="ces",$G271,0))</f>
        <v>0</v>
      </c>
      <c r="W271" s="148" t="n">
        <f aca="false">VALUE(IF($D271="poš",$C271,0))+VALUE(IF($H271="poš",$G271,0))</f>
        <v>0</v>
      </c>
      <c r="X271" s="148" t="n">
        <f aca="false">VALUE(IF($D271="tel",$C271,0))+VALUE(IF($H271="tel",$G271,0))</f>
        <v>0</v>
      </c>
      <c r="Y271" s="148" t="n">
        <f aca="false">VALUE(IF($D271="dop",$C271,0))+VALUE(IF($H271="dop",$G271,0))</f>
        <v>0</v>
      </c>
      <c r="Z271" s="148" t="n">
        <f aca="false">VALUE(IF($D271="nák",$C271,0))+VALUE(IF($H271="nák",$G271,0))</f>
        <v>0</v>
      </c>
      <c r="AA271" s="148" t="n">
        <f aca="false">VALUE(IF($D271="náj",$C271,0))+VALUE(IF($H271="náj",$G271,0))</f>
        <v>0</v>
      </c>
      <c r="AB271" s="148" t="n">
        <f aca="false">VALUE(IF($D271="půj",$C271,0))+VALUE(IF($H271="půj",$G271,0))</f>
        <v>0</v>
      </c>
      <c r="AC271" s="148" t="n">
        <f aca="false">VALUE(IF($D271="vst",$C271,0))+VALUE(IF($H271="vst",$G271,0))</f>
        <v>0</v>
      </c>
      <c r="AD271" s="148" t="n">
        <f aca="false">VALUE(IF($D271="kop",$C271,0))+VALUE(IF($H271="kop",$G271,0))</f>
        <v>0</v>
      </c>
      <c r="AE271" s="148" t="n">
        <f aca="false">VALUE(IF($D271="osl",$C271,0))+VALUE(IF($H271="osl",$G271,0))</f>
        <v>0</v>
      </c>
      <c r="AF271" s="148" t="n">
        <f aca="false">VALUE(IF($D271="vra",$C271,0))+VALUE(IF($H271="vra",$G271,0))</f>
        <v>0</v>
      </c>
      <c r="AG271" s="148" t="n">
        <f aca="false">VALUE(IF($D271="zho",$C271,0))+VALUE(IF($H271="zho",$G271,0))</f>
        <v>0</v>
      </c>
      <c r="AH271" s="148" t="n">
        <f aca="false">VALUE(IF($D271="zbú",$C271,0))+VALUE(IF($H271="zbú",$G271,0))</f>
        <v>0</v>
      </c>
      <c r="AI271" s="148" t="n">
        <f aca="false">VALUE(IF($D271="pří",$C271,0))+VALUE(IF($H271="pří",$G271,0))</f>
        <v>0</v>
      </c>
      <c r="AJ271" s="148" t="n">
        <f aca="false">VALUE(IF($D271="dot",$C271,0))+VALUE(IF($H271="dot",$G271,0))</f>
        <v>0</v>
      </c>
      <c r="AK271" s="148" t="n">
        <f aca="false">VALUE(IF($D271="opř",$C271,0))+VALUE(IF($H271="opř",$G271,0))</f>
        <v>0</v>
      </c>
      <c r="AL271" s="148" t="n">
        <f aca="false">SUM(P271:AK271)</f>
        <v>0</v>
      </c>
    </row>
    <row r="272" customFormat="false" ht="12.75" hidden="false" customHeight="false" outlineLevel="0" collapsed="false">
      <c r="A272" s="276"/>
      <c r="B272" s="274"/>
      <c r="C272" s="275"/>
      <c r="P272" s="148" t="n">
        <f aca="false">VALUE(IF($D272="vyb",$C272,0))+VALUE(IF($H272="vyb",$G272,0))</f>
        <v>0</v>
      </c>
      <c r="Q272" s="148" t="n">
        <f aca="false">VALUE(IF($D272="mtv",$C272,0))+VALUE(IF($H272="mtv",$G272,0))</f>
        <v>0</v>
      </c>
      <c r="R272" s="148" t="n">
        <f aca="false">VALUE(IF($D272="mat",$C272,0))+VALUE(IF($H272="mat",$G272,0))</f>
        <v>0</v>
      </c>
      <c r="S272" s="148" t="n">
        <f aca="false">VALUE(IF($D272="pot",$C272,0))+VALUE(IF($H272="pot",$G272,0))</f>
        <v>0</v>
      </c>
      <c r="T272" s="148" t="n">
        <f aca="false">VALUE(IF($D272="táb",$C272,0))+VALUE(IF($H272="táb",$G272,0))</f>
        <v>0</v>
      </c>
      <c r="U272" s="148" t="n">
        <f aca="false">VALUE(IF($D272="oma",$C272,0))+VALUE(IF($H272="oma",$G272,0))</f>
        <v>0</v>
      </c>
      <c r="V272" s="148" t="n">
        <f aca="false">VALUE(IF($D272="ces",$C272,0))+VALUE(IF($H272="ces",$G272,0))</f>
        <v>0</v>
      </c>
      <c r="W272" s="148" t="n">
        <f aca="false">VALUE(IF($D272="poš",$C272,0))+VALUE(IF($H272="poš",$G272,0))</f>
        <v>0</v>
      </c>
      <c r="X272" s="148" t="n">
        <f aca="false">VALUE(IF($D272="tel",$C272,0))+VALUE(IF($H272="tel",$G272,0))</f>
        <v>0</v>
      </c>
      <c r="Y272" s="148" t="n">
        <f aca="false">VALUE(IF($D272="dop",$C272,0))+VALUE(IF($H272="dop",$G272,0))</f>
        <v>0</v>
      </c>
      <c r="Z272" s="148" t="n">
        <f aca="false">VALUE(IF($D272="nák",$C272,0))+VALUE(IF($H272="nák",$G272,0))</f>
        <v>0</v>
      </c>
      <c r="AA272" s="148" t="n">
        <f aca="false">VALUE(IF($D272="náj",$C272,0))+VALUE(IF($H272="náj",$G272,0))</f>
        <v>0</v>
      </c>
      <c r="AB272" s="148" t="n">
        <f aca="false">VALUE(IF($D272="půj",$C272,0))+VALUE(IF($H272="půj",$G272,0))</f>
        <v>0</v>
      </c>
      <c r="AC272" s="148" t="n">
        <f aca="false">VALUE(IF($D272="vst",$C272,0))+VALUE(IF($H272="vst",$G272,0))</f>
        <v>0</v>
      </c>
      <c r="AD272" s="148" t="n">
        <f aca="false">VALUE(IF($D272="kop",$C272,0))+VALUE(IF($H272="kop",$G272,0))</f>
        <v>0</v>
      </c>
      <c r="AE272" s="148" t="n">
        <f aca="false">VALUE(IF($D272="osl",$C272,0))+VALUE(IF($H272="osl",$G272,0))</f>
        <v>0</v>
      </c>
      <c r="AF272" s="148" t="n">
        <f aca="false">VALUE(IF($D272="vra",$C272,0))+VALUE(IF($H272="vra",$G272,0))</f>
        <v>0</v>
      </c>
      <c r="AG272" s="148" t="n">
        <f aca="false">VALUE(IF($D272="zho",$C272,0))+VALUE(IF($H272="zho",$G272,0))</f>
        <v>0</v>
      </c>
      <c r="AH272" s="148" t="n">
        <f aca="false">VALUE(IF($D272="zbú",$C272,0))+VALUE(IF($H272="zbú",$G272,0))</f>
        <v>0</v>
      </c>
      <c r="AI272" s="148" t="n">
        <f aca="false">VALUE(IF($D272="pří",$C272,0))+VALUE(IF($H272="pří",$G272,0))</f>
        <v>0</v>
      </c>
      <c r="AJ272" s="148" t="n">
        <f aca="false">VALUE(IF($D272="dot",$C272,0))+VALUE(IF($H272="dot",$G272,0))</f>
        <v>0</v>
      </c>
      <c r="AK272" s="148" t="n">
        <f aca="false">VALUE(IF($D272="opř",$C272,0))+VALUE(IF($H272="opř",$G272,0))</f>
        <v>0</v>
      </c>
      <c r="AL272" s="148" t="n">
        <f aca="false">SUM(P272:AK272)</f>
        <v>0</v>
      </c>
    </row>
    <row r="273" customFormat="false" ht="12.75" hidden="false" customHeight="false" outlineLevel="0" collapsed="false">
      <c r="A273" s="276"/>
      <c r="B273" s="274"/>
      <c r="C273" s="275"/>
      <c r="P273" s="148" t="n">
        <f aca="false">VALUE(IF($D273="vyb",$C273,0))+VALUE(IF($H273="vyb",$G273,0))</f>
        <v>0</v>
      </c>
      <c r="Q273" s="148" t="n">
        <f aca="false">VALUE(IF($D273="mtv",$C273,0))+VALUE(IF($H273="mtv",$G273,0))</f>
        <v>0</v>
      </c>
      <c r="R273" s="148" t="n">
        <f aca="false">VALUE(IF($D273="mat",$C273,0))+VALUE(IF($H273="mat",$G273,0))</f>
        <v>0</v>
      </c>
      <c r="S273" s="148" t="n">
        <f aca="false">VALUE(IF($D273="pot",$C273,0))+VALUE(IF($H273="pot",$G273,0))</f>
        <v>0</v>
      </c>
      <c r="T273" s="148" t="n">
        <f aca="false">VALUE(IF($D273="táb",$C273,0))+VALUE(IF($H273="táb",$G273,0))</f>
        <v>0</v>
      </c>
      <c r="U273" s="148" t="n">
        <f aca="false">VALUE(IF($D273="oma",$C273,0))+VALUE(IF($H273="oma",$G273,0))</f>
        <v>0</v>
      </c>
      <c r="V273" s="148" t="n">
        <f aca="false">VALUE(IF($D273="ces",$C273,0))+VALUE(IF($H273="ces",$G273,0))</f>
        <v>0</v>
      </c>
      <c r="W273" s="148" t="n">
        <f aca="false">VALUE(IF($D273="poš",$C273,0))+VALUE(IF($H273="poš",$G273,0))</f>
        <v>0</v>
      </c>
      <c r="X273" s="148" t="n">
        <f aca="false">VALUE(IF($D273="tel",$C273,0))+VALUE(IF($H273="tel",$G273,0))</f>
        <v>0</v>
      </c>
      <c r="Y273" s="148" t="n">
        <f aca="false">VALUE(IF($D273="dop",$C273,0))+VALUE(IF($H273="dop",$G273,0))</f>
        <v>0</v>
      </c>
      <c r="Z273" s="148" t="n">
        <f aca="false">VALUE(IF($D273="nák",$C273,0))+VALUE(IF($H273="nák",$G273,0))</f>
        <v>0</v>
      </c>
      <c r="AA273" s="148" t="n">
        <f aca="false">VALUE(IF($D273="náj",$C273,0))+VALUE(IF($H273="náj",$G273,0))</f>
        <v>0</v>
      </c>
      <c r="AB273" s="148" t="n">
        <f aca="false">VALUE(IF($D273="půj",$C273,0))+VALUE(IF($H273="půj",$G273,0))</f>
        <v>0</v>
      </c>
      <c r="AC273" s="148" t="n">
        <f aca="false">VALUE(IF($D273="vst",$C273,0))+VALUE(IF($H273="vst",$G273,0))</f>
        <v>0</v>
      </c>
      <c r="AD273" s="148" t="n">
        <f aca="false">VALUE(IF($D273="kop",$C273,0))+VALUE(IF($H273="kop",$G273,0))</f>
        <v>0</v>
      </c>
      <c r="AE273" s="148" t="n">
        <f aca="false">VALUE(IF($D273="osl",$C273,0))+VALUE(IF($H273="osl",$G273,0))</f>
        <v>0</v>
      </c>
      <c r="AF273" s="148" t="n">
        <f aca="false">VALUE(IF($D273="vra",$C273,0))+VALUE(IF($H273="vra",$G273,0))</f>
        <v>0</v>
      </c>
      <c r="AG273" s="148" t="n">
        <f aca="false">VALUE(IF($D273="zho",$C273,0))+VALUE(IF($H273="zho",$G273,0))</f>
        <v>0</v>
      </c>
      <c r="AH273" s="148" t="n">
        <f aca="false">VALUE(IF($D273="zbú",$C273,0))+VALUE(IF($H273="zbú",$G273,0))</f>
        <v>0</v>
      </c>
      <c r="AI273" s="148" t="n">
        <f aca="false">VALUE(IF($D273="pří",$C273,0))+VALUE(IF($H273="pří",$G273,0))</f>
        <v>0</v>
      </c>
      <c r="AJ273" s="148" t="n">
        <f aca="false">VALUE(IF($D273="dot",$C273,0))+VALUE(IF($H273="dot",$G273,0))</f>
        <v>0</v>
      </c>
      <c r="AK273" s="148" t="n">
        <f aca="false">VALUE(IF($D273="opř",$C273,0))+VALUE(IF($H273="opř",$G273,0))</f>
        <v>0</v>
      </c>
      <c r="AL273" s="148" t="n">
        <f aca="false">SUM(P273:AK273)</f>
        <v>0</v>
      </c>
    </row>
    <row r="274" customFormat="false" ht="12.75" hidden="false" customHeight="false" outlineLevel="0" collapsed="false">
      <c r="A274" s="276"/>
      <c r="B274" s="274"/>
      <c r="C274" s="275"/>
      <c r="P274" s="148" t="n">
        <f aca="false">VALUE(IF($D274="vyb",$C274,0))+VALUE(IF($H274="vyb",$G274,0))</f>
        <v>0</v>
      </c>
      <c r="Q274" s="148" t="n">
        <f aca="false">VALUE(IF($D274="mtv",$C274,0))+VALUE(IF($H274="mtv",$G274,0))</f>
        <v>0</v>
      </c>
      <c r="R274" s="148" t="n">
        <f aca="false">VALUE(IF($D274="mat",$C274,0))+VALUE(IF($H274="mat",$G274,0))</f>
        <v>0</v>
      </c>
      <c r="S274" s="148" t="n">
        <f aca="false">VALUE(IF($D274="pot",$C274,0))+VALUE(IF($H274="pot",$G274,0))</f>
        <v>0</v>
      </c>
      <c r="T274" s="148" t="n">
        <f aca="false">VALUE(IF($D274="táb",$C274,0))+VALUE(IF($H274="táb",$G274,0))</f>
        <v>0</v>
      </c>
      <c r="U274" s="148" t="n">
        <f aca="false">VALUE(IF($D274="oma",$C274,0))+VALUE(IF($H274="oma",$G274,0))</f>
        <v>0</v>
      </c>
      <c r="V274" s="148" t="n">
        <f aca="false">VALUE(IF($D274="ces",$C274,0))+VALUE(IF($H274="ces",$G274,0))</f>
        <v>0</v>
      </c>
      <c r="W274" s="148" t="n">
        <f aca="false">VALUE(IF($D274="poš",$C274,0))+VALUE(IF($H274="poš",$G274,0))</f>
        <v>0</v>
      </c>
      <c r="X274" s="148" t="n">
        <f aca="false">VALUE(IF($D274="tel",$C274,0))+VALUE(IF($H274="tel",$G274,0))</f>
        <v>0</v>
      </c>
      <c r="Y274" s="148" t="n">
        <f aca="false">VALUE(IF($D274="dop",$C274,0))+VALUE(IF($H274="dop",$G274,0))</f>
        <v>0</v>
      </c>
      <c r="Z274" s="148" t="n">
        <f aca="false">VALUE(IF($D274="nák",$C274,0))+VALUE(IF($H274="nák",$G274,0))</f>
        <v>0</v>
      </c>
      <c r="AA274" s="148" t="n">
        <f aca="false">VALUE(IF($D274="náj",$C274,0))+VALUE(IF($H274="náj",$G274,0))</f>
        <v>0</v>
      </c>
      <c r="AB274" s="148" t="n">
        <f aca="false">VALUE(IF($D274="půj",$C274,0))+VALUE(IF($H274="půj",$G274,0))</f>
        <v>0</v>
      </c>
      <c r="AC274" s="148" t="n">
        <f aca="false">VALUE(IF($D274="vst",$C274,0))+VALUE(IF($H274="vst",$G274,0))</f>
        <v>0</v>
      </c>
      <c r="AD274" s="148" t="n">
        <f aca="false">VALUE(IF($D274="kop",$C274,0))+VALUE(IF($H274="kop",$G274,0))</f>
        <v>0</v>
      </c>
      <c r="AE274" s="148" t="n">
        <f aca="false">VALUE(IF($D274="osl",$C274,0))+VALUE(IF($H274="osl",$G274,0))</f>
        <v>0</v>
      </c>
      <c r="AF274" s="148" t="n">
        <f aca="false">VALUE(IF($D274="vra",$C274,0))+VALUE(IF($H274="vra",$G274,0))</f>
        <v>0</v>
      </c>
      <c r="AG274" s="148" t="n">
        <f aca="false">VALUE(IF($D274="zho",$C274,0))+VALUE(IF($H274="zho",$G274,0))</f>
        <v>0</v>
      </c>
      <c r="AH274" s="148" t="n">
        <f aca="false">VALUE(IF($D274="zbú",$C274,0))+VALUE(IF($H274="zbú",$G274,0))</f>
        <v>0</v>
      </c>
      <c r="AI274" s="148" t="n">
        <f aca="false">VALUE(IF($D274="pří",$C274,0))+VALUE(IF($H274="pří",$G274,0))</f>
        <v>0</v>
      </c>
      <c r="AJ274" s="148" t="n">
        <f aca="false">VALUE(IF($D274="dot",$C274,0))+VALUE(IF($H274="dot",$G274,0))</f>
        <v>0</v>
      </c>
      <c r="AK274" s="148" t="n">
        <f aca="false">VALUE(IF($D274="opř",$C274,0))+VALUE(IF($H274="opř",$G274,0))</f>
        <v>0</v>
      </c>
      <c r="AL274" s="148" t="n">
        <f aca="false">SUM(P274:AK274)</f>
        <v>0</v>
      </c>
    </row>
    <row r="275" customFormat="false" ht="12.75" hidden="false" customHeight="false" outlineLevel="0" collapsed="false">
      <c r="A275" s="276"/>
      <c r="B275" s="274"/>
      <c r="C275" s="275"/>
      <c r="P275" s="148" t="n">
        <f aca="false">VALUE(IF($D275="vyb",$C275,0))+VALUE(IF($H275="vyb",$G275,0))</f>
        <v>0</v>
      </c>
      <c r="Q275" s="148" t="n">
        <f aca="false">VALUE(IF($D275="mtv",$C275,0))+VALUE(IF($H275="mtv",$G275,0))</f>
        <v>0</v>
      </c>
      <c r="R275" s="148" t="n">
        <f aca="false">VALUE(IF($D275="mat",$C275,0))+VALUE(IF($H275="mat",$G275,0))</f>
        <v>0</v>
      </c>
      <c r="S275" s="148" t="n">
        <f aca="false">VALUE(IF($D275="pot",$C275,0))+VALUE(IF($H275="pot",$G275,0))</f>
        <v>0</v>
      </c>
      <c r="T275" s="148" t="n">
        <f aca="false">VALUE(IF($D275="táb",$C275,0))+VALUE(IF($H275="táb",$G275,0))</f>
        <v>0</v>
      </c>
      <c r="U275" s="148" t="n">
        <f aca="false">VALUE(IF($D275="oma",$C275,0))+VALUE(IF($H275="oma",$G275,0))</f>
        <v>0</v>
      </c>
      <c r="V275" s="148" t="n">
        <f aca="false">VALUE(IF($D275="ces",$C275,0))+VALUE(IF($H275="ces",$G275,0))</f>
        <v>0</v>
      </c>
      <c r="W275" s="148" t="n">
        <f aca="false">VALUE(IF($D275="poš",$C275,0))+VALUE(IF($H275="poš",$G275,0))</f>
        <v>0</v>
      </c>
      <c r="X275" s="148" t="n">
        <f aca="false">VALUE(IF($D275="tel",$C275,0))+VALUE(IF($H275="tel",$G275,0))</f>
        <v>0</v>
      </c>
      <c r="Y275" s="148" t="n">
        <f aca="false">VALUE(IF($D275="dop",$C275,0))+VALUE(IF($H275="dop",$G275,0))</f>
        <v>0</v>
      </c>
      <c r="Z275" s="148" t="n">
        <f aca="false">VALUE(IF($D275="nák",$C275,0))+VALUE(IF($H275="nák",$G275,0))</f>
        <v>0</v>
      </c>
      <c r="AA275" s="148" t="n">
        <f aca="false">VALUE(IF($D275="náj",$C275,0))+VALUE(IF($H275="náj",$G275,0))</f>
        <v>0</v>
      </c>
      <c r="AB275" s="148" t="n">
        <f aca="false">VALUE(IF($D275="půj",$C275,0))+VALUE(IF($H275="půj",$G275,0))</f>
        <v>0</v>
      </c>
      <c r="AC275" s="148" t="n">
        <f aca="false">VALUE(IF($D275="vst",$C275,0))+VALUE(IF($H275="vst",$G275,0))</f>
        <v>0</v>
      </c>
      <c r="AD275" s="148" t="n">
        <f aca="false">VALUE(IF($D275="kop",$C275,0))+VALUE(IF($H275="kop",$G275,0))</f>
        <v>0</v>
      </c>
      <c r="AE275" s="148" t="n">
        <f aca="false">VALUE(IF($D275="osl",$C275,0))+VALUE(IF($H275="osl",$G275,0))</f>
        <v>0</v>
      </c>
      <c r="AF275" s="148" t="n">
        <f aca="false">VALUE(IF($D275="vra",$C275,0))+VALUE(IF($H275="vra",$G275,0))</f>
        <v>0</v>
      </c>
      <c r="AG275" s="148" t="n">
        <f aca="false">VALUE(IF($D275="zho",$C275,0))+VALUE(IF($H275="zho",$G275,0))</f>
        <v>0</v>
      </c>
      <c r="AH275" s="148" t="n">
        <f aca="false">VALUE(IF($D275="zbú",$C275,0))+VALUE(IF($H275="zbú",$G275,0))</f>
        <v>0</v>
      </c>
      <c r="AI275" s="148" t="n">
        <f aca="false">VALUE(IF($D275="pří",$C275,0))+VALUE(IF($H275="pří",$G275,0))</f>
        <v>0</v>
      </c>
      <c r="AJ275" s="148" t="n">
        <f aca="false">VALUE(IF($D275="dot",$C275,0))+VALUE(IF($H275="dot",$G275,0))</f>
        <v>0</v>
      </c>
      <c r="AK275" s="148" t="n">
        <f aca="false">VALUE(IF($D275="opř",$C275,0))+VALUE(IF($H275="opř",$G275,0))</f>
        <v>0</v>
      </c>
      <c r="AL275" s="148" t="n">
        <f aca="false">SUM(P275:AK275)</f>
        <v>0</v>
      </c>
    </row>
    <row r="276" customFormat="false" ht="12.75" hidden="false" customHeight="false" outlineLevel="0" collapsed="false">
      <c r="P276" s="148" t="n">
        <f aca="false">VALUE(IF($D276="vyb",$C276,0))+VALUE(IF($H276="vyb",$G276,0))</f>
        <v>0</v>
      </c>
      <c r="Q276" s="148" t="n">
        <f aca="false">VALUE(IF($D276="mtv",$C276,0))+VALUE(IF($H276="mtv",$G276,0))</f>
        <v>0</v>
      </c>
      <c r="R276" s="148" t="n">
        <f aca="false">VALUE(IF($D276="mat",$C276,0))+VALUE(IF($H276="mat",$G276,0))</f>
        <v>0</v>
      </c>
      <c r="S276" s="148" t="n">
        <f aca="false">VALUE(IF($D276="pot",$C276,0))+VALUE(IF($H276="pot",$G276,0))</f>
        <v>0</v>
      </c>
      <c r="T276" s="148" t="n">
        <f aca="false">VALUE(IF($D276="táb",$C276,0))+VALUE(IF($H276="táb",$G276,0))</f>
        <v>0</v>
      </c>
      <c r="U276" s="148" t="n">
        <f aca="false">VALUE(IF($D276="oma",$C276,0))+VALUE(IF($H276="oma",$G276,0))</f>
        <v>0</v>
      </c>
      <c r="V276" s="148" t="n">
        <f aca="false">VALUE(IF($D276="ces",$C276,0))+VALUE(IF($H276="ces",$G276,0))</f>
        <v>0</v>
      </c>
      <c r="W276" s="148" t="n">
        <f aca="false">VALUE(IF($D276="poš",$C276,0))+VALUE(IF($H276="poš",$G276,0))</f>
        <v>0</v>
      </c>
      <c r="X276" s="148" t="n">
        <f aca="false">VALUE(IF($D276="tel",$C276,0))+VALUE(IF($H276="tel",$G276,0))</f>
        <v>0</v>
      </c>
      <c r="Y276" s="148" t="n">
        <f aca="false">VALUE(IF($D276="dop",$C276,0))+VALUE(IF($H276="dop",$G276,0))</f>
        <v>0</v>
      </c>
      <c r="Z276" s="148" t="n">
        <f aca="false">VALUE(IF($D276="nák",$C276,0))+VALUE(IF($H276="nák",$G276,0))</f>
        <v>0</v>
      </c>
      <c r="AA276" s="148" t="n">
        <f aca="false">VALUE(IF($D276="náj",$C276,0))+VALUE(IF($H276="náj",$G276,0))</f>
        <v>0</v>
      </c>
      <c r="AB276" s="148" t="n">
        <f aca="false">VALUE(IF($D276="půj",$C276,0))+VALUE(IF($H276="půj",$G276,0))</f>
        <v>0</v>
      </c>
      <c r="AC276" s="148" t="n">
        <f aca="false">VALUE(IF($D276="vst",$C276,0))+VALUE(IF($H276="vst",$G276,0))</f>
        <v>0</v>
      </c>
      <c r="AD276" s="148" t="n">
        <f aca="false">VALUE(IF($D276="kop",$C276,0))+VALUE(IF($H276="kop",$G276,0))</f>
        <v>0</v>
      </c>
      <c r="AE276" s="148" t="n">
        <f aca="false">VALUE(IF($D276="osl",$C276,0))+VALUE(IF($H276="osl",$G276,0))</f>
        <v>0</v>
      </c>
      <c r="AF276" s="148" t="n">
        <f aca="false">VALUE(IF($D276="vra",$C276,0))+VALUE(IF($H276="vra",$G276,0))</f>
        <v>0</v>
      </c>
      <c r="AG276" s="148" t="n">
        <f aca="false">VALUE(IF($D276="zho",$C276,0))+VALUE(IF($H276="zho",$G276,0))</f>
        <v>0</v>
      </c>
      <c r="AH276" s="148" t="n">
        <f aca="false">VALUE(IF($D276="zbú",$C276,0))+VALUE(IF($H276="zbú",$G276,0))</f>
        <v>0</v>
      </c>
      <c r="AI276" s="148" t="n">
        <f aca="false">VALUE(IF($D276="pří",$C276,0))+VALUE(IF($H276="pří",$G276,0))</f>
        <v>0</v>
      </c>
      <c r="AJ276" s="148" t="n">
        <f aca="false">VALUE(IF($D276="dot",$C276,0))+VALUE(IF($H276="dot",$G276,0))</f>
        <v>0</v>
      </c>
      <c r="AK276" s="148" t="n">
        <f aca="false">VALUE(IF($D276="opř",$C276,0))+VALUE(IF($H276="opř",$G276,0))</f>
        <v>0</v>
      </c>
      <c r="AL276" s="148" t="n">
        <f aca="false">SUM(P276:AK276)</f>
        <v>0</v>
      </c>
    </row>
    <row r="277" customFormat="false" ht="12.75" hidden="false" customHeight="false" outlineLevel="0" collapsed="false">
      <c r="P277" s="148" t="n">
        <f aca="false">VALUE(IF($D277="vyb",$C277,0))+VALUE(IF($H277="vyb",$G277,0))</f>
        <v>0</v>
      </c>
      <c r="Q277" s="148" t="n">
        <f aca="false">VALUE(IF($D277="mtv",$C277,0))+VALUE(IF($H277="mtv",$G277,0))</f>
        <v>0</v>
      </c>
      <c r="R277" s="148" t="n">
        <f aca="false">VALUE(IF($D277="mat",$C277,0))+VALUE(IF($H277="mat",$G277,0))</f>
        <v>0</v>
      </c>
      <c r="S277" s="148" t="n">
        <f aca="false">VALUE(IF($D277="pot",$C277,0))+VALUE(IF($H277="pot",$G277,0))</f>
        <v>0</v>
      </c>
      <c r="T277" s="148" t="n">
        <f aca="false">VALUE(IF($D277="táb",$C277,0))+VALUE(IF($H277="táb",$G277,0))</f>
        <v>0</v>
      </c>
      <c r="U277" s="148" t="n">
        <f aca="false">VALUE(IF($D277="oma",$C277,0))+VALUE(IF($H277="oma",$G277,0))</f>
        <v>0</v>
      </c>
      <c r="V277" s="148" t="n">
        <f aca="false">VALUE(IF($D277="ces",$C277,0))+VALUE(IF($H277="ces",$G277,0))</f>
        <v>0</v>
      </c>
      <c r="W277" s="148" t="n">
        <f aca="false">VALUE(IF($D277="poš",$C277,0))+VALUE(IF($H277="poš",$G277,0))</f>
        <v>0</v>
      </c>
      <c r="X277" s="148" t="n">
        <f aca="false">VALUE(IF($D277="tel",$C277,0))+VALUE(IF($H277="tel",$G277,0))</f>
        <v>0</v>
      </c>
      <c r="Y277" s="148" t="n">
        <f aca="false">VALUE(IF($D277="dop",$C277,0))+VALUE(IF($H277="dop",$G277,0))</f>
        <v>0</v>
      </c>
      <c r="Z277" s="148" t="n">
        <f aca="false">VALUE(IF($D277="nák",$C277,0))+VALUE(IF($H277="nák",$G277,0))</f>
        <v>0</v>
      </c>
      <c r="AA277" s="148" t="n">
        <f aca="false">VALUE(IF($D277="náj",$C277,0))+VALUE(IF($H277="náj",$G277,0))</f>
        <v>0</v>
      </c>
      <c r="AB277" s="148" t="n">
        <f aca="false">VALUE(IF($D277="půj",$C277,0))+VALUE(IF($H277="půj",$G277,0))</f>
        <v>0</v>
      </c>
      <c r="AC277" s="148" t="n">
        <f aca="false">VALUE(IF($D277="vst",$C277,0))+VALUE(IF($H277="vst",$G277,0))</f>
        <v>0</v>
      </c>
      <c r="AD277" s="148" t="n">
        <f aca="false">VALUE(IF($D277="kop",$C277,0))+VALUE(IF($H277="kop",$G277,0))</f>
        <v>0</v>
      </c>
      <c r="AE277" s="148" t="n">
        <f aca="false">VALUE(IF($D277="osl",$C277,0))+VALUE(IF($H277="osl",$G277,0))</f>
        <v>0</v>
      </c>
      <c r="AF277" s="148" t="n">
        <f aca="false">VALUE(IF($D277="vra",$C277,0))+VALUE(IF($H277="vra",$G277,0))</f>
        <v>0</v>
      </c>
      <c r="AG277" s="148" t="n">
        <f aca="false">VALUE(IF($D277="zho",$C277,0))+VALUE(IF($H277="zho",$G277,0))</f>
        <v>0</v>
      </c>
      <c r="AH277" s="148" t="n">
        <f aca="false">VALUE(IF($D277="zbú",$C277,0))+VALUE(IF($H277="zbú",$G277,0))</f>
        <v>0</v>
      </c>
      <c r="AI277" s="148" t="n">
        <f aca="false">VALUE(IF($D277="pří",$C277,0))+VALUE(IF($H277="pří",$G277,0))</f>
        <v>0</v>
      </c>
      <c r="AJ277" s="148" t="n">
        <f aca="false">VALUE(IF($D277="dot",$C277,0))+VALUE(IF($H277="dot",$G277,0))</f>
        <v>0</v>
      </c>
      <c r="AK277" s="148" t="n">
        <f aca="false">VALUE(IF($D277="opř",$C277,0))+VALUE(IF($H277="opř",$G277,0))</f>
        <v>0</v>
      </c>
      <c r="AL277" s="148" t="n">
        <f aca="false">SUM(P277:AK277)</f>
        <v>0</v>
      </c>
    </row>
    <row r="278" customFormat="false" ht="12.75" hidden="false" customHeight="false" outlineLevel="0" collapsed="false">
      <c r="P278" s="148" t="n">
        <f aca="false">VALUE(IF($D278="vyb",$C278,0))+VALUE(IF($H278="vyb",$G278,0))</f>
        <v>0</v>
      </c>
      <c r="Q278" s="148" t="n">
        <f aca="false">VALUE(IF($D278="mtv",$C278,0))+VALUE(IF($H278="mtv",$G278,0))</f>
        <v>0</v>
      </c>
      <c r="R278" s="148" t="n">
        <f aca="false">VALUE(IF($D278="mat",$C278,0))+VALUE(IF($H278="mat",$G278,0))</f>
        <v>0</v>
      </c>
      <c r="S278" s="148" t="n">
        <f aca="false">VALUE(IF($D278="pot",$C278,0))+VALUE(IF($H278="pot",$G278,0))</f>
        <v>0</v>
      </c>
      <c r="T278" s="148" t="n">
        <f aca="false">VALUE(IF($D278="táb",$C278,0))+VALUE(IF($H278="táb",$G278,0))</f>
        <v>0</v>
      </c>
      <c r="U278" s="148" t="n">
        <f aca="false">VALUE(IF($D278="oma",$C278,0))+VALUE(IF($H278="oma",$G278,0))</f>
        <v>0</v>
      </c>
      <c r="V278" s="148" t="n">
        <f aca="false">VALUE(IF($D278="ces",$C278,0))+VALUE(IF($H278="ces",$G278,0))</f>
        <v>0</v>
      </c>
      <c r="W278" s="148" t="n">
        <f aca="false">VALUE(IF($D278="poš",$C278,0))+VALUE(IF($H278="poš",$G278,0))</f>
        <v>0</v>
      </c>
      <c r="X278" s="148" t="n">
        <f aca="false">VALUE(IF($D278="tel",$C278,0))+VALUE(IF($H278="tel",$G278,0))</f>
        <v>0</v>
      </c>
      <c r="Y278" s="148" t="n">
        <f aca="false">VALUE(IF($D278="dop",$C278,0))+VALUE(IF($H278="dop",$G278,0))</f>
        <v>0</v>
      </c>
      <c r="Z278" s="148" t="n">
        <f aca="false">VALUE(IF($D278="nák",$C278,0))+VALUE(IF($H278="nák",$G278,0))</f>
        <v>0</v>
      </c>
      <c r="AA278" s="148" t="n">
        <f aca="false">VALUE(IF($D278="náj",$C278,0))+VALUE(IF($H278="náj",$G278,0))</f>
        <v>0</v>
      </c>
      <c r="AB278" s="148" t="n">
        <f aca="false">VALUE(IF($D278="půj",$C278,0))+VALUE(IF($H278="půj",$G278,0))</f>
        <v>0</v>
      </c>
      <c r="AC278" s="148" t="n">
        <f aca="false">VALUE(IF($D278="vst",$C278,0))+VALUE(IF($H278="vst",$G278,0))</f>
        <v>0</v>
      </c>
      <c r="AD278" s="148" t="n">
        <f aca="false">VALUE(IF($D278="kop",$C278,0))+VALUE(IF($H278="kop",$G278,0))</f>
        <v>0</v>
      </c>
      <c r="AE278" s="148" t="n">
        <f aca="false">VALUE(IF($D278="osl",$C278,0))+VALUE(IF($H278="osl",$G278,0))</f>
        <v>0</v>
      </c>
      <c r="AF278" s="148" t="n">
        <f aca="false">VALUE(IF($D278="vra",$C278,0))+VALUE(IF($H278="vra",$G278,0))</f>
        <v>0</v>
      </c>
      <c r="AG278" s="148" t="n">
        <f aca="false">VALUE(IF($D278="zho",$C278,0))+VALUE(IF($H278="zho",$G278,0))</f>
        <v>0</v>
      </c>
      <c r="AH278" s="148" t="n">
        <f aca="false">VALUE(IF($D278="zbú",$C278,0))+VALUE(IF($H278="zbú",$G278,0))</f>
        <v>0</v>
      </c>
      <c r="AI278" s="148" t="n">
        <f aca="false">VALUE(IF($D278="pří",$C278,0))+VALUE(IF($H278="pří",$G278,0))</f>
        <v>0</v>
      </c>
      <c r="AJ278" s="148" t="n">
        <f aca="false">VALUE(IF($D278="dot",$C278,0))+VALUE(IF($H278="dot",$G278,0))</f>
        <v>0</v>
      </c>
      <c r="AK278" s="148" t="n">
        <f aca="false">VALUE(IF($D278="opř",$C278,0))+VALUE(IF($H278="opř",$G278,0))</f>
        <v>0</v>
      </c>
      <c r="AL278" s="148" t="n">
        <f aca="false">SUM(P278:AK278)</f>
        <v>0</v>
      </c>
    </row>
    <row r="279" customFormat="false" ht="12.75" hidden="false" customHeight="false" outlineLevel="0" collapsed="false">
      <c r="P279" s="148" t="n">
        <f aca="false">VALUE(IF($D279="vyb",$C279,0))+VALUE(IF($H279="vyb",$G279,0))</f>
        <v>0</v>
      </c>
      <c r="Q279" s="148" t="n">
        <f aca="false">VALUE(IF($D279="mtv",$C279,0))+VALUE(IF($H279="mtv",$G279,0))</f>
        <v>0</v>
      </c>
      <c r="R279" s="148" t="n">
        <f aca="false">VALUE(IF($D279="mat",$C279,0))+VALUE(IF($H279="mat",$G279,0))</f>
        <v>0</v>
      </c>
      <c r="S279" s="148" t="n">
        <f aca="false">VALUE(IF($D279="pot",$C279,0))+VALUE(IF($H279="pot",$G279,0))</f>
        <v>0</v>
      </c>
      <c r="T279" s="148" t="n">
        <f aca="false">VALUE(IF($D279="táb",$C279,0))+VALUE(IF($H279="táb",$G279,0))</f>
        <v>0</v>
      </c>
      <c r="U279" s="148" t="n">
        <f aca="false">VALUE(IF($D279="oma",$C279,0))+VALUE(IF($H279="oma",$G279,0))</f>
        <v>0</v>
      </c>
      <c r="V279" s="148" t="n">
        <f aca="false">VALUE(IF($D279="ces",$C279,0))+VALUE(IF($H279="ces",$G279,0))</f>
        <v>0</v>
      </c>
      <c r="W279" s="148" t="n">
        <f aca="false">VALUE(IF($D279="poš",$C279,0))+VALUE(IF($H279="poš",$G279,0))</f>
        <v>0</v>
      </c>
      <c r="X279" s="148" t="n">
        <f aca="false">VALUE(IF($D279="tel",$C279,0))+VALUE(IF($H279="tel",$G279,0))</f>
        <v>0</v>
      </c>
      <c r="Y279" s="148" t="n">
        <f aca="false">VALUE(IF($D279="dop",$C279,0))+VALUE(IF($H279="dop",$G279,0))</f>
        <v>0</v>
      </c>
      <c r="Z279" s="148" t="n">
        <f aca="false">VALUE(IF($D279="nák",$C279,0))+VALUE(IF($H279="nák",$G279,0))</f>
        <v>0</v>
      </c>
      <c r="AA279" s="148" t="n">
        <f aca="false">VALUE(IF($D279="náj",$C279,0))+VALUE(IF($H279="náj",$G279,0))</f>
        <v>0</v>
      </c>
      <c r="AB279" s="148" t="n">
        <f aca="false">VALUE(IF($D279="půj",$C279,0))+VALUE(IF($H279="půj",$G279,0))</f>
        <v>0</v>
      </c>
      <c r="AC279" s="148" t="n">
        <f aca="false">VALUE(IF($D279="vst",$C279,0))+VALUE(IF($H279="vst",$G279,0))</f>
        <v>0</v>
      </c>
      <c r="AD279" s="148" t="n">
        <f aca="false">VALUE(IF($D279="kop",$C279,0))+VALUE(IF($H279="kop",$G279,0))</f>
        <v>0</v>
      </c>
      <c r="AE279" s="148" t="n">
        <f aca="false">VALUE(IF($D279="osl",$C279,0))+VALUE(IF($H279="osl",$G279,0))</f>
        <v>0</v>
      </c>
      <c r="AF279" s="148" t="n">
        <f aca="false">VALUE(IF($D279="vra",$C279,0))+VALUE(IF($H279="vra",$G279,0))</f>
        <v>0</v>
      </c>
      <c r="AG279" s="148" t="n">
        <f aca="false">VALUE(IF($D279="zho",$C279,0))+VALUE(IF($H279="zho",$G279,0))</f>
        <v>0</v>
      </c>
      <c r="AH279" s="148" t="n">
        <f aca="false">VALUE(IF($D279="zbú",$C279,0))+VALUE(IF($H279="zbú",$G279,0))</f>
        <v>0</v>
      </c>
      <c r="AI279" s="148" t="n">
        <f aca="false">VALUE(IF($D279="pří",$C279,0))+VALUE(IF($H279="pří",$G279,0))</f>
        <v>0</v>
      </c>
      <c r="AJ279" s="148" t="n">
        <f aca="false">VALUE(IF($D279="dot",$C279,0))+VALUE(IF($H279="dot",$G279,0))</f>
        <v>0</v>
      </c>
      <c r="AK279" s="148" t="n">
        <f aca="false">VALUE(IF($D279="opř",$C279,0))+VALUE(IF($H279="opř",$G279,0))</f>
        <v>0</v>
      </c>
      <c r="AL279" s="148" t="n">
        <f aca="false">SUM(P279:AK279)</f>
        <v>0</v>
      </c>
    </row>
    <row r="280" customFormat="false" ht="12.75" hidden="false" customHeight="false" outlineLevel="0" collapsed="false">
      <c r="P280" s="148" t="n">
        <f aca="false">VALUE(IF($D280="vyb",$C280,0))+VALUE(IF($H280="vyb",$G280,0))</f>
        <v>0</v>
      </c>
      <c r="Q280" s="148" t="n">
        <f aca="false">VALUE(IF($D280="mtv",$C280,0))+VALUE(IF($H280="mtv",$G280,0))</f>
        <v>0</v>
      </c>
      <c r="R280" s="148" t="n">
        <f aca="false">VALUE(IF($D280="mat",$C280,0))+VALUE(IF($H280="mat",$G280,0))</f>
        <v>0</v>
      </c>
      <c r="S280" s="148" t="n">
        <f aca="false">VALUE(IF($D280="pot",$C280,0))+VALUE(IF($H280="pot",$G280,0))</f>
        <v>0</v>
      </c>
      <c r="T280" s="148" t="n">
        <f aca="false">VALUE(IF($D280="táb",$C280,0))+VALUE(IF($H280="táb",$G280,0))</f>
        <v>0</v>
      </c>
      <c r="U280" s="148" t="n">
        <f aca="false">VALUE(IF($D280="oma",$C280,0))+VALUE(IF($H280="oma",$G280,0))</f>
        <v>0</v>
      </c>
      <c r="V280" s="148" t="n">
        <f aca="false">VALUE(IF($D280="ces",$C280,0))+VALUE(IF($H280="ces",$G280,0))</f>
        <v>0</v>
      </c>
      <c r="W280" s="148" t="n">
        <f aca="false">VALUE(IF($D280="poš",$C280,0))+VALUE(IF($H280="poš",$G280,0))</f>
        <v>0</v>
      </c>
      <c r="X280" s="148" t="n">
        <f aca="false">VALUE(IF($D280="tel",$C280,0))+VALUE(IF($H280="tel",$G280,0))</f>
        <v>0</v>
      </c>
      <c r="Y280" s="148" t="n">
        <f aca="false">VALUE(IF($D280="dop",$C280,0))+VALUE(IF($H280="dop",$G280,0))</f>
        <v>0</v>
      </c>
      <c r="Z280" s="148" t="n">
        <f aca="false">VALUE(IF($D280="nák",$C280,0))+VALUE(IF($H280="nák",$G280,0))</f>
        <v>0</v>
      </c>
      <c r="AA280" s="148" t="n">
        <f aca="false">VALUE(IF($D280="náj",$C280,0))+VALUE(IF($H280="náj",$G280,0))</f>
        <v>0</v>
      </c>
      <c r="AB280" s="148" t="n">
        <f aca="false">VALUE(IF($D280="půj",$C280,0))+VALUE(IF($H280="půj",$G280,0))</f>
        <v>0</v>
      </c>
      <c r="AC280" s="148" t="n">
        <f aca="false">VALUE(IF($D280="vst",$C280,0))+VALUE(IF($H280="vst",$G280,0))</f>
        <v>0</v>
      </c>
      <c r="AD280" s="148" t="n">
        <f aca="false">VALUE(IF($D280="kop",$C280,0))+VALUE(IF($H280="kop",$G280,0))</f>
        <v>0</v>
      </c>
      <c r="AE280" s="148" t="n">
        <f aca="false">VALUE(IF($D280="osl",$C280,0))+VALUE(IF($H280="osl",$G280,0))</f>
        <v>0</v>
      </c>
      <c r="AF280" s="148" t="n">
        <f aca="false">VALUE(IF($D280="vra",$C280,0))+VALUE(IF($H280="vra",$G280,0))</f>
        <v>0</v>
      </c>
      <c r="AG280" s="148" t="n">
        <f aca="false">VALUE(IF($D280="zho",$C280,0))+VALUE(IF($H280="zho",$G280,0))</f>
        <v>0</v>
      </c>
      <c r="AH280" s="148" t="n">
        <f aca="false">VALUE(IF($D280="zbú",$C280,0))+VALUE(IF($H280="zbú",$G280,0))</f>
        <v>0</v>
      </c>
      <c r="AI280" s="148" t="n">
        <f aca="false">VALUE(IF($D280="pří",$C280,0))+VALUE(IF($H280="pří",$G280,0))</f>
        <v>0</v>
      </c>
      <c r="AJ280" s="148" t="n">
        <f aca="false">VALUE(IF($D280="dot",$C280,0))+VALUE(IF($H280="dot",$G280,0))</f>
        <v>0</v>
      </c>
      <c r="AK280" s="148" t="n">
        <f aca="false">VALUE(IF($D280="opř",$C280,0))+VALUE(IF($H280="opř",$G280,0))</f>
        <v>0</v>
      </c>
      <c r="AL280" s="148" t="n">
        <f aca="false">SUM(P280:AK280)</f>
        <v>0</v>
      </c>
    </row>
    <row r="281" customFormat="false" ht="12.75" hidden="false" customHeight="false" outlineLevel="0" collapsed="false">
      <c r="P281" s="148" t="n">
        <f aca="false">VALUE(IF($D281="vyb",$C281,0))+VALUE(IF($H281="vyb",$G281,0))</f>
        <v>0</v>
      </c>
      <c r="Q281" s="148" t="n">
        <f aca="false">VALUE(IF($D281="mtv",$C281,0))+VALUE(IF($H281="mtv",$G281,0))</f>
        <v>0</v>
      </c>
      <c r="R281" s="148" t="n">
        <f aca="false">VALUE(IF($D281="mat",$C281,0))+VALUE(IF($H281="mat",$G281,0))</f>
        <v>0</v>
      </c>
      <c r="S281" s="148" t="n">
        <f aca="false">VALUE(IF($D281="pot",$C281,0))+VALUE(IF($H281="pot",$G281,0))</f>
        <v>0</v>
      </c>
      <c r="T281" s="148" t="n">
        <f aca="false">VALUE(IF($D281="táb",$C281,0))+VALUE(IF($H281="táb",$G281,0))</f>
        <v>0</v>
      </c>
      <c r="U281" s="148" t="n">
        <f aca="false">VALUE(IF($D281="oma",$C281,0))+VALUE(IF($H281="oma",$G281,0))</f>
        <v>0</v>
      </c>
      <c r="V281" s="148" t="n">
        <f aca="false">VALUE(IF($D281="ces",$C281,0))+VALUE(IF($H281="ces",$G281,0))</f>
        <v>0</v>
      </c>
      <c r="W281" s="148" t="n">
        <f aca="false">VALUE(IF($D281="poš",$C281,0))+VALUE(IF($H281="poš",$G281,0))</f>
        <v>0</v>
      </c>
      <c r="X281" s="148" t="n">
        <f aca="false">VALUE(IF($D281="tel",$C281,0))+VALUE(IF($H281="tel",$G281,0))</f>
        <v>0</v>
      </c>
      <c r="Y281" s="148" t="n">
        <f aca="false">VALUE(IF($D281="dop",$C281,0))+VALUE(IF($H281="dop",$G281,0))</f>
        <v>0</v>
      </c>
      <c r="Z281" s="148" t="n">
        <f aca="false">VALUE(IF($D281="nák",$C281,0))+VALUE(IF($H281="nák",$G281,0))</f>
        <v>0</v>
      </c>
      <c r="AA281" s="148" t="n">
        <f aca="false">VALUE(IF($D281="náj",$C281,0))+VALUE(IF($H281="náj",$G281,0))</f>
        <v>0</v>
      </c>
      <c r="AB281" s="148" t="n">
        <f aca="false">VALUE(IF($D281="půj",$C281,0))+VALUE(IF($H281="půj",$G281,0))</f>
        <v>0</v>
      </c>
      <c r="AC281" s="148" t="n">
        <f aca="false">VALUE(IF($D281="vst",$C281,0))+VALUE(IF($H281="vst",$G281,0))</f>
        <v>0</v>
      </c>
      <c r="AD281" s="148" t="n">
        <f aca="false">VALUE(IF($D281="kop",$C281,0))+VALUE(IF($H281="kop",$G281,0))</f>
        <v>0</v>
      </c>
      <c r="AE281" s="148" t="n">
        <f aca="false">VALUE(IF($D281="osl",$C281,0))+VALUE(IF($H281="osl",$G281,0))</f>
        <v>0</v>
      </c>
      <c r="AF281" s="148" t="n">
        <f aca="false">VALUE(IF($D281="vra",$C281,0))+VALUE(IF($H281="vra",$G281,0))</f>
        <v>0</v>
      </c>
      <c r="AG281" s="148" t="n">
        <f aca="false">VALUE(IF($D281="zho",$C281,0))+VALUE(IF($H281="zho",$G281,0))</f>
        <v>0</v>
      </c>
      <c r="AH281" s="148" t="n">
        <f aca="false">VALUE(IF($D281="zbú",$C281,0))+VALUE(IF($H281="zbú",$G281,0))</f>
        <v>0</v>
      </c>
      <c r="AI281" s="148" t="n">
        <f aca="false">VALUE(IF($D281="pří",$C281,0))+VALUE(IF($H281="pří",$G281,0))</f>
        <v>0</v>
      </c>
      <c r="AJ281" s="148" t="n">
        <f aca="false">VALUE(IF($D281="dot",$C281,0))+VALUE(IF($H281="dot",$G281,0))</f>
        <v>0</v>
      </c>
      <c r="AK281" s="148" t="n">
        <f aca="false">VALUE(IF($D281="opř",$C281,0))+VALUE(IF($H281="opř",$G281,0))</f>
        <v>0</v>
      </c>
      <c r="AL281" s="148" t="n">
        <f aca="false">SUM(P281:AK281)</f>
        <v>0</v>
      </c>
    </row>
    <row r="282" customFormat="false" ht="12.75" hidden="false" customHeight="false" outlineLevel="0" collapsed="false">
      <c r="P282" s="148" t="n">
        <f aca="false">VALUE(IF($D282="vyb",$C282,0))+VALUE(IF($H282="vyb",$G282,0))</f>
        <v>0</v>
      </c>
      <c r="Q282" s="148" t="n">
        <f aca="false">VALUE(IF($D282="mtv",$C282,0))+VALUE(IF($H282="mtv",$G282,0))</f>
        <v>0</v>
      </c>
      <c r="R282" s="148" t="n">
        <f aca="false">VALUE(IF($D282="mat",$C282,0))+VALUE(IF($H282="mat",$G282,0))</f>
        <v>0</v>
      </c>
      <c r="S282" s="148" t="n">
        <f aca="false">VALUE(IF($D282="pot",$C282,0))+VALUE(IF($H282="pot",$G282,0))</f>
        <v>0</v>
      </c>
      <c r="T282" s="148" t="n">
        <f aca="false">VALUE(IF($D282="táb",$C282,0))+VALUE(IF($H282="táb",$G282,0))</f>
        <v>0</v>
      </c>
      <c r="U282" s="148" t="n">
        <f aca="false">VALUE(IF($D282="oma",$C282,0))+VALUE(IF($H282="oma",$G282,0))</f>
        <v>0</v>
      </c>
      <c r="V282" s="148" t="n">
        <f aca="false">VALUE(IF($D282="ces",$C282,0))+VALUE(IF($H282="ces",$G282,0))</f>
        <v>0</v>
      </c>
      <c r="W282" s="148" t="n">
        <f aca="false">VALUE(IF($D282="poš",$C282,0))+VALUE(IF($H282="poš",$G282,0))</f>
        <v>0</v>
      </c>
      <c r="X282" s="148" t="n">
        <f aca="false">VALUE(IF($D282="tel",$C282,0))+VALUE(IF($H282="tel",$G282,0))</f>
        <v>0</v>
      </c>
      <c r="Y282" s="148" t="n">
        <f aca="false">VALUE(IF($D282="dop",$C282,0))+VALUE(IF($H282="dop",$G282,0))</f>
        <v>0</v>
      </c>
      <c r="Z282" s="148" t="n">
        <f aca="false">VALUE(IF($D282="nák",$C282,0))+VALUE(IF($H282="nák",$G282,0))</f>
        <v>0</v>
      </c>
      <c r="AA282" s="148" t="n">
        <f aca="false">VALUE(IF($D282="náj",$C282,0))+VALUE(IF($H282="náj",$G282,0))</f>
        <v>0</v>
      </c>
      <c r="AB282" s="148" t="n">
        <f aca="false">VALUE(IF($D282="půj",$C282,0))+VALUE(IF($H282="půj",$G282,0))</f>
        <v>0</v>
      </c>
      <c r="AC282" s="148" t="n">
        <f aca="false">VALUE(IF($D282="vst",$C282,0))+VALUE(IF($H282="vst",$G282,0))</f>
        <v>0</v>
      </c>
      <c r="AD282" s="148" t="n">
        <f aca="false">VALUE(IF($D282="kop",$C282,0))+VALUE(IF($H282="kop",$G282,0))</f>
        <v>0</v>
      </c>
      <c r="AE282" s="148" t="n">
        <f aca="false">VALUE(IF($D282="osl",$C282,0))+VALUE(IF($H282="osl",$G282,0))</f>
        <v>0</v>
      </c>
      <c r="AF282" s="148" t="n">
        <f aca="false">VALUE(IF($D282="vra",$C282,0))+VALUE(IF($H282="vra",$G282,0))</f>
        <v>0</v>
      </c>
      <c r="AG282" s="148" t="n">
        <f aca="false">VALUE(IF($D282="zho",$C282,0))+VALUE(IF($H282="zho",$G282,0))</f>
        <v>0</v>
      </c>
      <c r="AH282" s="148" t="n">
        <f aca="false">VALUE(IF($D282="zbú",$C282,0))+VALUE(IF($H282="zbú",$G282,0))</f>
        <v>0</v>
      </c>
      <c r="AI282" s="148" t="n">
        <f aca="false">VALUE(IF($D282="pří",$C282,0))+VALUE(IF($H282="pří",$G282,0))</f>
        <v>0</v>
      </c>
      <c r="AJ282" s="148" t="n">
        <f aca="false">VALUE(IF($D282="dot",$C282,0))+VALUE(IF($H282="dot",$G282,0))</f>
        <v>0</v>
      </c>
      <c r="AK282" s="148" t="n">
        <f aca="false">VALUE(IF($D282="opř",$C282,0))+VALUE(IF($H282="opř",$G282,0))</f>
        <v>0</v>
      </c>
      <c r="AL282" s="148" t="n">
        <f aca="false">SUM(P282:AK282)</f>
        <v>0</v>
      </c>
    </row>
    <row r="283" customFormat="false" ht="12.75" hidden="false" customHeight="false" outlineLevel="0" collapsed="false">
      <c r="P283" s="148" t="n">
        <f aca="false">VALUE(IF($D283="vyb",$C283,0))+VALUE(IF($H283="vyb",$G283,0))</f>
        <v>0</v>
      </c>
      <c r="Q283" s="148" t="n">
        <f aca="false">VALUE(IF($D283="mtv",$C283,0))+VALUE(IF($H283="mtv",$G283,0))</f>
        <v>0</v>
      </c>
      <c r="R283" s="148" t="n">
        <f aca="false">VALUE(IF($D283="mat",$C283,0))+VALUE(IF($H283="mat",$G283,0))</f>
        <v>0</v>
      </c>
      <c r="S283" s="148" t="n">
        <f aca="false">VALUE(IF($D283="pot",$C283,0))+VALUE(IF($H283="pot",$G283,0))</f>
        <v>0</v>
      </c>
      <c r="T283" s="148" t="n">
        <f aca="false">VALUE(IF($D283="táb",$C283,0))+VALUE(IF($H283="táb",$G283,0))</f>
        <v>0</v>
      </c>
      <c r="U283" s="148" t="n">
        <f aca="false">VALUE(IF($D283="oma",$C283,0))+VALUE(IF($H283="oma",$G283,0))</f>
        <v>0</v>
      </c>
      <c r="V283" s="148" t="n">
        <f aca="false">VALUE(IF($D283="ces",$C283,0))+VALUE(IF($H283="ces",$G283,0))</f>
        <v>0</v>
      </c>
      <c r="W283" s="148" t="n">
        <f aca="false">VALUE(IF($D283="poš",$C283,0))+VALUE(IF($H283="poš",$G283,0))</f>
        <v>0</v>
      </c>
      <c r="X283" s="148" t="n">
        <f aca="false">VALUE(IF($D283="tel",$C283,0))+VALUE(IF($H283="tel",$G283,0))</f>
        <v>0</v>
      </c>
      <c r="Y283" s="148" t="n">
        <f aca="false">VALUE(IF($D283="dop",$C283,0))+VALUE(IF($H283="dop",$G283,0))</f>
        <v>0</v>
      </c>
      <c r="Z283" s="148" t="n">
        <f aca="false">VALUE(IF($D283="nák",$C283,0))+VALUE(IF($H283="nák",$G283,0))</f>
        <v>0</v>
      </c>
      <c r="AA283" s="148" t="n">
        <f aca="false">VALUE(IF($D283="náj",$C283,0))+VALUE(IF($H283="náj",$G283,0))</f>
        <v>0</v>
      </c>
      <c r="AB283" s="148" t="n">
        <f aca="false">VALUE(IF($D283="půj",$C283,0))+VALUE(IF($H283="půj",$G283,0))</f>
        <v>0</v>
      </c>
      <c r="AC283" s="148" t="n">
        <f aca="false">VALUE(IF($D283="vst",$C283,0))+VALUE(IF($H283="vst",$G283,0))</f>
        <v>0</v>
      </c>
      <c r="AD283" s="148" t="n">
        <f aca="false">VALUE(IF($D283="kop",$C283,0))+VALUE(IF($H283="kop",$G283,0))</f>
        <v>0</v>
      </c>
      <c r="AE283" s="148" t="n">
        <f aca="false">VALUE(IF($D283="osl",$C283,0))+VALUE(IF($H283="osl",$G283,0))</f>
        <v>0</v>
      </c>
      <c r="AF283" s="148" t="n">
        <f aca="false">VALUE(IF($D283="vra",$C283,0))+VALUE(IF($H283="vra",$G283,0))</f>
        <v>0</v>
      </c>
      <c r="AG283" s="148" t="n">
        <f aca="false">VALUE(IF($D283="zho",$C283,0))+VALUE(IF($H283="zho",$G283,0))</f>
        <v>0</v>
      </c>
      <c r="AH283" s="148" t="n">
        <f aca="false">VALUE(IF($D283="zbú",$C283,0))+VALUE(IF($H283="zbú",$G283,0))</f>
        <v>0</v>
      </c>
      <c r="AI283" s="148" t="n">
        <f aca="false">VALUE(IF($D283="pří",$C283,0))+VALUE(IF($H283="pří",$G283,0))</f>
        <v>0</v>
      </c>
      <c r="AJ283" s="148" t="n">
        <f aca="false">VALUE(IF($D283="dot",$C283,0))+VALUE(IF($H283="dot",$G283,0))</f>
        <v>0</v>
      </c>
      <c r="AK283" s="148" t="n">
        <f aca="false">VALUE(IF($D283="opř",$C283,0))+VALUE(IF($H283="opř",$G283,0))</f>
        <v>0</v>
      </c>
      <c r="AL283" s="148" t="n">
        <f aca="false">SUM(P283:AK283)</f>
        <v>0</v>
      </c>
    </row>
    <row r="284" customFormat="false" ht="12.75" hidden="false" customHeight="false" outlineLevel="0" collapsed="false">
      <c r="P284" s="148" t="n">
        <f aca="false">VALUE(IF($D284="vyb",$C284,0))+VALUE(IF($H284="vyb",$G284,0))</f>
        <v>0</v>
      </c>
      <c r="Q284" s="148" t="n">
        <f aca="false">VALUE(IF($D284="mtv",$C284,0))+VALUE(IF($H284="mtv",$G284,0))</f>
        <v>0</v>
      </c>
      <c r="R284" s="148" t="n">
        <f aca="false">VALUE(IF($D284="mat",$C284,0))+VALUE(IF($H284="mat",$G284,0))</f>
        <v>0</v>
      </c>
      <c r="S284" s="148" t="n">
        <f aca="false">VALUE(IF($D284="pot",$C284,0))+VALUE(IF($H284="pot",$G284,0))</f>
        <v>0</v>
      </c>
      <c r="T284" s="148" t="n">
        <f aca="false">VALUE(IF($D284="táb",$C284,0))+VALUE(IF($H284="táb",$G284,0))</f>
        <v>0</v>
      </c>
      <c r="U284" s="148" t="n">
        <f aca="false">VALUE(IF($D284="oma",$C284,0))+VALUE(IF($H284="oma",$G284,0))</f>
        <v>0</v>
      </c>
      <c r="V284" s="148" t="n">
        <f aca="false">VALUE(IF($D284="ces",$C284,0))+VALUE(IF($H284="ces",$G284,0))</f>
        <v>0</v>
      </c>
      <c r="W284" s="148" t="n">
        <f aca="false">VALUE(IF($D284="poš",$C284,0))+VALUE(IF($H284="poš",$G284,0))</f>
        <v>0</v>
      </c>
      <c r="X284" s="148" t="n">
        <f aca="false">VALUE(IF($D284="tel",$C284,0))+VALUE(IF($H284="tel",$G284,0))</f>
        <v>0</v>
      </c>
      <c r="Y284" s="148" t="n">
        <f aca="false">VALUE(IF($D284="dop",$C284,0))+VALUE(IF($H284="dop",$G284,0))</f>
        <v>0</v>
      </c>
      <c r="Z284" s="148" t="n">
        <f aca="false">VALUE(IF($D284="nák",$C284,0))+VALUE(IF($H284="nák",$G284,0))</f>
        <v>0</v>
      </c>
      <c r="AA284" s="148" t="n">
        <f aca="false">VALUE(IF($D284="náj",$C284,0))+VALUE(IF($H284="náj",$G284,0))</f>
        <v>0</v>
      </c>
      <c r="AB284" s="148" t="n">
        <f aca="false">VALUE(IF($D284="půj",$C284,0))+VALUE(IF($H284="půj",$G284,0))</f>
        <v>0</v>
      </c>
      <c r="AC284" s="148" t="n">
        <f aca="false">VALUE(IF($D284="vst",$C284,0))+VALUE(IF($H284="vst",$G284,0))</f>
        <v>0</v>
      </c>
      <c r="AD284" s="148" t="n">
        <f aca="false">VALUE(IF($D284="kop",$C284,0))+VALUE(IF($H284="kop",$G284,0))</f>
        <v>0</v>
      </c>
      <c r="AE284" s="148" t="n">
        <f aca="false">VALUE(IF($D284="osl",$C284,0))+VALUE(IF($H284="osl",$G284,0))</f>
        <v>0</v>
      </c>
      <c r="AF284" s="148" t="n">
        <f aca="false">VALUE(IF($D284="vra",$C284,0))+VALUE(IF($H284="vra",$G284,0))</f>
        <v>0</v>
      </c>
      <c r="AG284" s="148" t="n">
        <f aca="false">VALUE(IF($D284="zho",$C284,0))+VALUE(IF($H284="zho",$G284,0))</f>
        <v>0</v>
      </c>
      <c r="AH284" s="148" t="n">
        <f aca="false">VALUE(IF($D284="zbú",$C284,0))+VALUE(IF($H284="zbú",$G284,0))</f>
        <v>0</v>
      </c>
      <c r="AI284" s="148" t="n">
        <f aca="false">VALUE(IF($D284="pří",$C284,0))+VALUE(IF($H284="pří",$G284,0))</f>
        <v>0</v>
      </c>
      <c r="AJ284" s="148" t="n">
        <f aca="false">VALUE(IF($D284="dot",$C284,0))+VALUE(IF($H284="dot",$G284,0))</f>
        <v>0</v>
      </c>
      <c r="AK284" s="148" t="n">
        <f aca="false">VALUE(IF($D284="opř",$C284,0))+VALUE(IF($H284="opř",$G284,0))</f>
        <v>0</v>
      </c>
      <c r="AL284" s="148" t="n">
        <f aca="false">SUM(P284:AK284)</f>
        <v>0</v>
      </c>
    </row>
    <row r="285" customFormat="false" ht="12.75" hidden="false" customHeight="false" outlineLevel="0" collapsed="false">
      <c r="P285" s="148" t="n">
        <f aca="false">VALUE(IF($D285="vyb",$C285,0))+VALUE(IF($H285="vyb",$G285,0))</f>
        <v>0</v>
      </c>
      <c r="Q285" s="148" t="n">
        <f aca="false">VALUE(IF($D285="mtv",$C285,0))+VALUE(IF($H285="mtv",$G285,0))</f>
        <v>0</v>
      </c>
      <c r="R285" s="148" t="n">
        <f aca="false">VALUE(IF($D285="mat",$C285,0))+VALUE(IF($H285="mat",$G285,0))</f>
        <v>0</v>
      </c>
      <c r="S285" s="148" t="n">
        <f aca="false">VALUE(IF($D285="pot",$C285,0))+VALUE(IF($H285="pot",$G285,0))</f>
        <v>0</v>
      </c>
      <c r="T285" s="148" t="n">
        <f aca="false">VALUE(IF($D285="táb",$C285,0))+VALUE(IF($H285="táb",$G285,0))</f>
        <v>0</v>
      </c>
      <c r="U285" s="148" t="n">
        <f aca="false">VALUE(IF($D285="oma",$C285,0))+VALUE(IF($H285="oma",$G285,0))</f>
        <v>0</v>
      </c>
      <c r="V285" s="148" t="n">
        <f aca="false">VALUE(IF($D285="ces",$C285,0))+VALUE(IF($H285="ces",$G285,0))</f>
        <v>0</v>
      </c>
      <c r="W285" s="148" t="n">
        <f aca="false">VALUE(IF($D285="poš",$C285,0))+VALUE(IF($H285="poš",$G285,0))</f>
        <v>0</v>
      </c>
      <c r="X285" s="148" t="n">
        <f aca="false">VALUE(IF($D285="tel",$C285,0))+VALUE(IF($H285="tel",$G285,0))</f>
        <v>0</v>
      </c>
      <c r="Y285" s="148" t="n">
        <f aca="false">VALUE(IF($D285="dop",$C285,0))+VALUE(IF($H285="dop",$G285,0))</f>
        <v>0</v>
      </c>
      <c r="Z285" s="148" t="n">
        <f aca="false">VALUE(IF($D285="nák",$C285,0))+VALUE(IF($H285="nák",$G285,0))</f>
        <v>0</v>
      </c>
      <c r="AA285" s="148" t="n">
        <f aca="false">VALUE(IF($D285="náj",$C285,0))+VALUE(IF($H285="náj",$G285,0))</f>
        <v>0</v>
      </c>
      <c r="AB285" s="148" t="n">
        <f aca="false">VALUE(IF($D285="půj",$C285,0))+VALUE(IF($H285="půj",$G285,0))</f>
        <v>0</v>
      </c>
      <c r="AC285" s="148" t="n">
        <f aca="false">VALUE(IF($D285="vst",$C285,0))+VALUE(IF($H285="vst",$G285,0))</f>
        <v>0</v>
      </c>
      <c r="AD285" s="148" t="n">
        <f aca="false">VALUE(IF($D285="kop",$C285,0))+VALUE(IF($H285="kop",$G285,0))</f>
        <v>0</v>
      </c>
      <c r="AE285" s="148" t="n">
        <f aca="false">VALUE(IF($D285="osl",$C285,0))+VALUE(IF($H285="osl",$G285,0))</f>
        <v>0</v>
      </c>
      <c r="AF285" s="148" t="n">
        <f aca="false">VALUE(IF($D285="vra",$C285,0))+VALUE(IF($H285="vra",$G285,0))</f>
        <v>0</v>
      </c>
      <c r="AG285" s="148" t="n">
        <f aca="false">VALUE(IF($D285="zho",$C285,0))+VALUE(IF($H285="zho",$G285,0))</f>
        <v>0</v>
      </c>
      <c r="AH285" s="148" t="n">
        <f aca="false">VALUE(IF($D285="zbú",$C285,0))+VALUE(IF($H285="zbú",$G285,0))</f>
        <v>0</v>
      </c>
      <c r="AI285" s="148" t="n">
        <f aca="false">VALUE(IF($D285="pří",$C285,0))+VALUE(IF($H285="pří",$G285,0))</f>
        <v>0</v>
      </c>
      <c r="AJ285" s="148" t="n">
        <f aca="false">VALUE(IF($D285="dot",$C285,0))+VALUE(IF($H285="dot",$G285,0))</f>
        <v>0</v>
      </c>
      <c r="AK285" s="148" t="n">
        <f aca="false">VALUE(IF($D285="opř",$C285,0))+VALUE(IF($H285="opř",$G285,0))</f>
        <v>0</v>
      </c>
      <c r="AL285" s="148" t="n">
        <f aca="false">SUM(P285:AK285)</f>
        <v>0</v>
      </c>
    </row>
    <row r="286" customFormat="false" ht="12.75" hidden="false" customHeight="false" outlineLevel="0" collapsed="false">
      <c r="P286" s="148" t="n">
        <f aca="false">VALUE(IF($D286="vyb",$C286,0))+VALUE(IF($H286="vyb",$G286,0))</f>
        <v>0</v>
      </c>
      <c r="Q286" s="148" t="n">
        <f aca="false">VALUE(IF($D286="mtv",$C286,0))+VALUE(IF($H286="mtv",$G286,0))</f>
        <v>0</v>
      </c>
      <c r="R286" s="148" t="n">
        <f aca="false">VALUE(IF($D286="mat",$C286,0))+VALUE(IF($H286="mat",$G286,0))</f>
        <v>0</v>
      </c>
      <c r="S286" s="148" t="n">
        <f aca="false">VALUE(IF($D286="pot",$C286,0))+VALUE(IF($H286="pot",$G286,0))</f>
        <v>0</v>
      </c>
      <c r="T286" s="148" t="n">
        <f aca="false">VALUE(IF($D286="táb",$C286,0))+VALUE(IF($H286="táb",$G286,0))</f>
        <v>0</v>
      </c>
      <c r="U286" s="148" t="n">
        <f aca="false">VALUE(IF($D286="oma",$C286,0))+VALUE(IF($H286="oma",$G286,0))</f>
        <v>0</v>
      </c>
      <c r="V286" s="148" t="n">
        <f aca="false">VALUE(IF($D286="ces",$C286,0))+VALUE(IF($H286="ces",$G286,0))</f>
        <v>0</v>
      </c>
      <c r="W286" s="148" t="n">
        <f aca="false">VALUE(IF($D286="poš",$C286,0))+VALUE(IF($H286="poš",$G286,0))</f>
        <v>0</v>
      </c>
      <c r="X286" s="148" t="n">
        <f aca="false">VALUE(IF($D286="tel",$C286,0))+VALUE(IF($H286="tel",$G286,0))</f>
        <v>0</v>
      </c>
      <c r="Y286" s="148" t="n">
        <f aca="false">VALUE(IF($D286="dop",$C286,0))+VALUE(IF($H286="dop",$G286,0))</f>
        <v>0</v>
      </c>
      <c r="Z286" s="148" t="n">
        <f aca="false">VALUE(IF($D286="nák",$C286,0))+VALUE(IF($H286="nák",$G286,0))</f>
        <v>0</v>
      </c>
      <c r="AA286" s="148" t="n">
        <f aca="false">VALUE(IF($D286="náj",$C286,0))+VALUE(IF($H286="náj",$G286,0))</f>
        <v>0</v>
      </c>
      <c r="AB286" s="148" t="n">
        <f aca="false">VALUE(IF($D286="půj",$C286,0))+VALUE(IF($H286="půj",$G286,0))</f>
        <v>0</v>
      </c>
      <c r="AC286" s="148" t="n">
        <f aca="false">VALUE(IF($D286="vst",$C286,0))+VALUE(IF($H286="vst",$G286,0))</f>
        <v>0</v>
      </c>
      <c r="AD286" s="148" t="n">
        <f aca="false">VALUE(IF($D286="kop",$C286,0))+VALUE(IF($H286="kop",$G286,0))</f>
        <v>0</v>
      </c>
      <c r="AE286" s="148" t="n">
        <f aca="false">VALUE(IF($D286="osl",$C286,0))+VALUE(IF($H286="osl",$G286,0))</f>
        <v>0</v>
      </c>
      <c r="AF286" s="148" t="n">
        <f aca="false">VALUE(IF($D286="vra",$C286,0))+VALUE(IF($H286="vra",$G286,0))</f>
        <v>0</v>
      </c>
      <c r="AG286" s="148" t="n">
        <f aca="false">VALUE(IF($D286="zho",$C286,0))+VALUE(IF($H286="zho",$G286,0))</f>
        <v>0</v>
      </c>
      <c r="AH286" s="148" t="n">
        <f aca="false">VALUE(IF($D286="zbú",$C286,0))+VALUE(IF($H286="zbú",$G286,0))</f>
        <v>0</v>
      </c>
      <c r="AI286" s="148" t="n">
        <f aca="false">VALUE(IF($D286="pří",$C286,0))+VALUE(IF($H286="pří",$G286,0))</f>
        <v>0</v>
      </c>
      <c r="AJ286" s="148" t="n">
        <f aca="false">VALUE(IF($D286="dot",$C286,0))+VALUE(IF($H286="dot",$G286,0))</f>
        <v>0</v>
      </c>
      <c r="AK286" s="148" t="n">
        <f aca="false">VALUE(IF($D286="opř",$C286,0))+VALUE(IF($H286="opř",$G286,0))</f>
        <v>0</v>
      </c>
      <c r="AL286" s="148" t="n">
        <f aca="false">SUM(P286:AK286)</f>
        <v>0</v>
      </c>
    </row>
    <row r="287" customFormat="false" ht="12.75" hidden="false" customHeight="false" outlineLevel="0" collapsed="false">
      <c r="P287" s="148" t="n">
        <f aca="false">VALUE(IF($D287="vyb",$C287,0))+VALUE(IF($H287="vyb",$G287,0))</f>
        <v>0</v>
      </c>
      <c r="Q287" s="148" t="n">
        <f aca="false">VALUE(IF($D287="mtv",$C287,0))+VALUE(IF($H287="mtv",$G287,0))</f>
        <v>0</v>
      </c>
      <c r="R287" s="148" t="n">
        <f aca="false">VALUE(IF($D287="mat",$C287,0))+VALUE(IF($H287="mat",$G287,0))</f>
        <v>0</v>
      </c>
      <c r="S287" s="148" t="n">
        <f aca="false">VALUE(IF($D287="pot",$C287,0))+VALUE(IF($H287="pot",$G287,0))</f>
        <v>0</v>
      </c>
      <c r="T287" s="148" t="n">
        <f aca="false">VALUE(IF($D287="táb",$C287,0))+VALUE(IF($H287="táb",$G287,0))</f>
        <v>0</v>
      </c>
      <c r="U287" s="148" t="n">
        <f aca="false">VALUE(IF($D287="oma",$C287,0))+VALUE(IF($H287="oma",$G287,0))</f>
        <v>0</v>
      </c>
      <c r="V287" s="148" t="n">
        <f aca="false">VALUE(IF($D287="ces",$C287,0))+VALUE(IF($H287="ces",$G287,0))</f>
        <v>0</v>
      </c>
      <c r="W287" s="148" t="n">
        <f aca="false">VALUE(IF($D287="poš",$C287,0))+VALUE(IF($H287="poš",$G287,0))</f>
        <v>0</v>
      </c>
      <c r="X287" s="148" t="n">
        <f aca="false">VALUE(IF($D287="tel",$C287,0))+VALUE(IF($H287="tel",$G287,0))</f>
        <v>0</v>
      </c>
      <c r="Y287" s="148" t="n">
        <f aca="false">VALUE(IF($D287="dop",$C287,0))+VALUE(IF($H287="dop",$G287,0))</f>
        <v>0</v>
      </c>
      <c r="Z287" s="148" t="n">
        <f aca="false">VALUE(IF($D287="nák",$C287,0))+VALUE(IF($H287="nák",$G287,0))</f>
        <v>0</v>
      </c>
      <c r="AA287" s="148" t="n">
        <f aca="false">VALUE(IF($D287="náj",$C287,0))+VALUE(IF($H287="náj",$G287,0))</f>
        <v>0</v>
      </c>
      <c r="AB287" s="148" t="n">
        <f aca="false">VALUE(IF($D287="půj",$C287,0))+VALUE(IF($H287="půj",$G287,0))</f>
        <v>0</v>
      </c>
      <c r="AC287" s="148" t="n">
        <f aca="false">VALUE(IF($D287="vst",$C287,0))+VALUE(IF($H287="vst",$G287,0))</f>
        <v>0</v>
      </c>
      <c r="AD287" s="148" t="n">
        <f aca="false">VALUE(IF($D287="kop",$C287,0))+VALUE(IF($H287="kop",$G287,0))</f>
        <v>0</v>
      </c>
      <c r="AE287" s="148" t="n">
        <f aca="false">VALUE(IF($D287="osl",$C287,0))+VALUE(IF($H287="osl",$G287,0))</f>
        <v>0</v>
      </c>
      <c r="AF287" s="148" t="n">
        <f aca="false">VALUE(IF($D287="vra",$C287,0))+VALUE(IF($H287="vra",$G287,0))</f>
        <v>0</v>
      </c>
      <c r="AG287" s="148" t="n">
        <f aca="false">VALUE(IF($D287="zho",$C287,0))+VALUE(IF($H287="zho",$G287,0))</f>
        <v>0</v>
      </c>
      <c r="AH287" s="148" t="n">
        <f aca="false">VALUE(IF($D287="zbú",$C287,0))+VALUE(IF($H287="zbú",$G287,0))</f>
        <v>0</v>
      </c>
      <c r="AI287" s="148" t="n">
        <f aca="false">VALUE(IF($D287="pří",$C287,0))+VALUE(IF($H287="pří",$G287,0))</f>
        <v>0</v>
      </c>
      <c r="AJ287" s="148" t="n">
        <f aca="false">VALUE(IF($D287="dot",$C287,0))+VALUE(IF($H287="dot",$G287,0))</f>
        <v>0</v>
      </c>
      <c r="AK287" s="148" t="n">
        <f aca="false">VALUE(IF($D287="opř",$C287,0))+VALUE(IF($H287="opř",$G287,0))</f>
        <v>0</v>
      </c>
      <c r="AL287" s="148" t="n">
        <f aca="false">SUM(P287:AK287)</f>
        <v>0</v>
      </c>
    </row>
    <row r="288" customFormat="false" ht="12.75" hidden="false" customHeight="false" outlineLevel="0" collapsed="false">
      <c r="P288" s="148" t="n">
        <f aca="false">VALUE(IF($D288="vyb",$C288,0))+VALUE(IF($H288="vyb",$G288,0))</f>
        <v>0</v>
      </c>
      <c r="Q288" s="148" t="n">
        <f aca="false">VALUE(IF($D288="mtv",$C288,0))+VALUE(IF($H288="mtv",$G288,0))</f>
        <v>0</v>
      </c>
      <c r="R288" s="148" t="n">
        <f aca="false">VALUE(IF($D288="mat",$C288,0))+VALUE(IF($H288="mat",$G288,0))</f>
        <v>0</v>
      </c>
      <c r="S288" s="148" t="n">
        <f aca="false">VALUE(IF($D288="pot",$C288,0))+VALUE(IF($H288="pot",$G288,0))</f>
        <v>0</v>
      </c>
      <c r="T288" s="148" t="n">
        <f aca="false">VALUE(IF($D288="táb",$C288,0))+VALUE(IF($H288="táb",$G288,0))</f>
        <v>0</v>
      </c>
      <c r="U288" s="148" t="n">
        <f aca="false">VALUE(IF($D288="oma",$C288,0))+VALUE(IF($H288="oma",$G288,0))</f>
        <v>0</v>
      </c>
      <c r="V288" s="148" t="n">
        <f aca="false">VALUE(IF($D288="ces",$C288,0))+VALUE(IF($H288="ces",$G288,0))</f>
        <v>0</v>
      </c>
      <c r="W288" s="148" t="n">
        <f aca="false">VALUE(IF($D288="poš",$C288,0))+VALUE(IF($H288="poš",$G288,0))</f>
        <v>0</v>
      </c>
      <c r="X288" s="148" t="n">
        <f aca="false">VALUE(IF($D288="tel",$C288,0))+VALUE(IF($H288="tel",$G288,0))</f>
        <v>0</v>
      </c>
      <c r="Y288" s="148" t="n">
        <f aca="false">VALUE(IF($D288="dop",$C288,0))+VALUE(IF($H288="dop",$G288,0))</f>
        <v>0</v>
      </c>
      <c r="Z288" s="148" t="n">
        <f aca="false">VALUE(IF($D288="nák",$C288,0))+VALUE(IF($H288="nák",$G288,0))</f>
        <v>0</v>
      </c>
      <c r="AA288" s="148" t="n">
        <f aca="false">VALUE(IF($D288="náj",$C288,0))+VALUE(IF($H288="náj",$G288,0))</f>
        <v>0</v>
      </c>
      <c r="AB288" s="148" t="n">
        <f aca="false">VALUE(IF($D288="půj",$C288,0))+VALUE(IF($H288="půj",$G288,0))</f>
        <v>0</v>
      </c>
      <c r="AC288" s="148" t="n">
        <f aca="false">VALUE(IF($D288="vst",$C288,0))+VALUE(IF($H288="vst",$G288,0))</f>
        <v>0</v>
      </c>
      <c r="AD288" s="148" t="n">
        <f aca="false">VALUE(IF($D288="kop",$C288,0))+VALUE(IF($H288="kop",$G288,0))</f>
        <v>0</v>
      </c>
      <c r="AE288" s="148" t="n">
        <f aca="false">VALUE(IF($D288="osl",$C288,0))+VALUE(IF($H288="osl",$G288,0))</f>
        <v>0</v>
      </c>
      <c r="AF288" s="148" t="n">
        <f aca="false">VALUE(IF($D288="vra",$C288,0))+VALUE(IF($H288="vra",$G288,0))</f>
        <v>0</v>
      </c>
      <c r="AG288" s="148" t="n">
        <f aca="false">VALUE(IF($D288="zho",$C288,0))+VALUE(IF($H288="zho",$G288,0))</f>
        <v>0</v>
      </c>
      <c r="AH288" s="148" t="n">
        <f aca="false">VALUE(IF($D288="zbú",$C288,0))+VALUE(IF($H288="zbú",$G288,0))</f>
        <v>0</v>
      </c>
      <c r="AI288" s="148" t="n">
        <f aca="false">VALUE(IF($D288="pří",$C288,0))+VALUE(IF($H288="pří",$G288,0))</f>
        <v>0</v>
      </c>
      <c r="AJ288" s="148" t="n">
        <f aca="false">VALUE(IF($D288="dot",$C288,0))+VALUE(IF($H288="dot",$G288,0))</f>
        <v>0</v>
      </c>
      <c r="AK288" s="148" t="n">
        <f aca="false">VALUE(IF($D288="opř",$C288,0))+VALUE(IF($H288="opř",$G288,0))</f>
        <v>0</v>
      </c>
      <c r="AL288" s="148" t="n">
        <f aca="false">SUM(P288:AK288)</f>
        <v>0</v>
      </c>
    </row>
    <row r="289" customFormat="false" ht="12.75" hidden="false" customHeight="false" outlineLevel="0" collapsed="false">
      <c r="P289" s="148" t="n">
        <f aca="false">VALUE(IF($D289="vyb",$C289,0))+VALUE(IF($H289="vyb",$G289,0))</f>
        <v>0</v>
      </c>
      <c r="Q289" s="148" t="n">
        <f aca="false">VALUE(IF($D289="mtv",$C289,0))+VALUE(IF($H289="mtv",$G289,0))</f>
        <v>0</v>
      </c>
      <c r="R289" s="148" t="n">
        <f aca="false">VALUE(IF($D289="mat",$C289,0))+VALUE(IF($H289="mat",$G289,0))</f>
        <v>0</v>
      </c>
      <c r="S289" s="148" t="n">
        <f aca="false">VALUE(IF($D289="pot",$C289,0))+VALUE(IF($H289="pot",$G289,0))</f>
        <v>0</v>
      </c>
      <c r="T289" s="148" t="n">
        <f aca="false">VALUE(IF($D289="táb",$C289,0))+VALUE(IF($H289="táb",$G289,0))</f>
        <v>0</v>
      </c>
      <c r="U289" s="148" t="n">
        <f aca="false">VALUE(IF($D289="oma",$C289,0))+VALUE(IF($H289="oma",$G289,0))</f>
        <v>0</v>
      </c>
      <c r="V289" s="148" t="n">
        <f aca="false">VALUE(IF($D289="ces",$C289,0))+VALUE(IF($H289="ces",$G289,0))</f>
        <v>0</v>
      </c>
      <c r="W289" s="148" t="n">
        <f aca="false">VALUE(IF($D289="poš",$C289,0))+VALUE(IF($H289="poš",$G289,0))</f>
        <v>0</v>
      </c>
      <c r="X289" s="148" t="n">
        <f aca="false">VALUE(IF($D289="tel",$C289,0))+VALUE(IF($H289="tel",$G289,0))</f>
        <v>0</v>
      </c>
      <c r="Y289" s="148" t="n">
        <f aca="false">VALUE(IF($D289="dop",$C289,0))+VALUE(IF($H289="dop",$G289,0))</f>
        <v>0</v>
      </c>
      <c r="Z289" s="148" t="n">
        <f aca="false">VALUE(IF($D289="nák",$C289,0))+VALUE(IF($H289="nák",$G289,0))</f>
        <v>0</v>
      </c>
      <c r="AA289" s="148" t="n">
        <f aca="false">VALUE(IF($D289="náj",$C289,0))+VALUE(IF($H289="náj",$G289,0))</f>
        <v>0</v>
      </c>
      <c r="AB289" s="148" t="n">
        <f aca="false">VALUE(IF($D289="půj",$C289,0))+VALUE(IF($H289="půj",$G289,0))</f>
        <v>0</v>
      </c>
      <c r="AC289" s="148" t="n">
        <f aca="false">VALUE(IF($D289="vst",$C289,0))+VALUE(IF($H289="vst",$G289,0))</f>
        <v>0</v>
      </c>
      <c r="AD289" s="148" t="n">
        <f aca="false">VALUE(IF($D289="kop",$C289,0))+VALUE(IF($H289="kop",$G289,0))</f>
        <v>0</v>
      </c>
      <c r="AE289" s="148" t="n">
        <f aca="false">VALUE(IF($D289="osl",$C289,0))+VALUE(IF($H289="osl",$G289,0))</f>
        <v>0</v>
      </c>
      <c r="AF289" s="148" t="n">
        <f aca="false">VALUE(IF($D289="vra",$C289,0))+VALUE(IF($H289="vra",$G289,0))</f>
        <v>0</v>
      </c>
      <c r="AG289" s="148" t="n">
        <f aca="false">VALUE(IF($D289="zho",$C289,0))+VALUE(IF($H289="zho",$G289,0))</f>
        <v>0</v>
      </c>
      <c r="AH289" s="148" t="n">
        <f aca="false">VALUE(IF($D289="zbú",$C289,0))+VALUE(IF($H289="zbú",$G289,0))</f>
        <v>0</v>
      </c>
      <c r="AI289" s="148" t="n">
        <f aca="false">VALUE(IF($D289="pří",$C289,0))+VALUE(IF($H289="pří",$G289,0))</f>
        <v>0</v>
      </c>
      <c r="AJ289" s="148" t="n">
        <f aca="false">VALUE(IF($D289="dot",$C289,0))+VALUE(IF($H289="dot",$G289,0))</f>
        <v>0</v>
      </c>
      <c r="AK289" s="148" t="n">
        <f aca="false">VALUE(IF($D289="opř",$C289,0))+VALUE(IF($H289="opř",$G289,0))</f>
        <v>0</v>
      </c>
      <c r="AL289" s="148" t="n">
        <f aca="false">SUM(P289:AK289)</f>
        <v>0</v>
      </c>
    </row>
    <row r="290" customFormat="false" ht="12.75" hidden="false" customHeight="false" outlineLevel="0" collapsed="false">
      <c r="P290" s="148" t="n">
        <f aca="false">VALUE(IF($D290="vyb",$C290,0))+VALUE(IF($H290="vyb",$G290,0))</f>
        <v>0</v>
      </c>
      <c r="Q290" s="148" t="n">
        <f aca="false">VALUE(IF($D290="mtv",$C290,0))+VALUE(IF($H290="mtv",$G290,0))</f>
        <v>0</v>
      </c>
      <c r="R290" s="148" t="n">
        <f aca="false">VALUE(IF($D290="mat",$C290,0))+VALUE(IF($H290="mat",$G290,0))</f>
        <v>0</v>
      </c>
      <c r="S290" s="148" t="n">
        <f aca="false">VALUE(IF($D290="pot",$C290,0))+VALUE(IF($H290="pot",$G290,0))</f>
        <v>0</v>
      </c>
      <c r="T290" s="148" t="n">
        <f aca="false">VALUE(IF($D290="táb",$C290,0))+VALUE(IF($H290="táb",$G290,0))</f>
        <v>0</v>
      </c>
      <c r="U290" s="148" t="n">
        <f aca="false">VALUE(IF($D290="oma",$C290,0))+VALUE(IF($H290="oma",$G290,0))</f>
        <v>0</v>
      </c>
      <c r="V290" s="148" t="n">
        <f aca="false">VALUE(IF($D290="ces",$C290,0))+VALUE(IF($H290="ces",$G290,0))</f>
        <v>0</v>
      </c>
      <c r="W290" s="148" t="n">
        <f aca="false">VALUE(IF($D290="poš",$C290,0))+VALUE(IF($H290="poš",$G290,0))</f>
        <v>0</v>
      </c>
      <c r="X290" s="148" t="n">
        <f aca="false">VALUE(IF($D290="tel",$C290,0))+VALUE(IF($H290="tel",$G290,0))</f>
        <v>0</v>
      </c>
      <c r="Y290" s="148" t="n">
        <f aca="false">VALUE(IF($D290="dop",$C290,0))+VALUE(IF($H290="dop",$G290,0))</f>
        <v>0</v>
      </c>
      <c r="Z290" s="148" t="n">
        <f aca="false">VALUE(IF($D290="nák",$C290,0))+VALUE(IF($H290="nák",$G290,0))</f>
        <v>0</v>
      </c>
      <c r="AA290" s="148" t="n">
        <f aca="false">VALUE(IF($D290="náj",$C290,0))+VALUE(IF($H290="náj",$G290,0))</f>
        <v>0</v>
      </c>
      <c r="AB290" s="148" t="n">
        <f aca="false">VALUE(IF($D290="půj",$C290,0))+VALUE(IF($H290="půj",$G290,0))</f>
        <v>0</v>
      </c>
      <c r="AC290" s="148" t="n">
        <f aca="false">VALUE(IF($D290="vst",$C290,0))+VALUE(IF($H290="vst",$G290,0))</f>
        <v>0</v>
      </c>
      <c r="AD290" s="148" t="n">
        <f aca="false">VALUE(IF($D290="kop",$C290,0))+VALUE(IF($H290="kop",$G290,0))</f>
        <v>0</v>
      </c>
      <c r="AE290" s="148" t="n">
        <f aca="false">VALUE(IF($D290="osl",$C290,0))+VALUE(IF($H290="osl",$G290,0))</f>
        <v>0</v>
      </c>
      <c r="AF290" s="148" t="n">
        <f aca="false">VALUE(IF($D290="vra",$C290,0))+VALUE(IF($H290="vra",$G290,0))</f>
        <v>0</v>
      </c>
      <c r="AG290" s="148" t="n">
        <f aca="false">VALUE(IF($D290="zho",$C290,0))+VALUE(IF($H290="zho",$G290,0))</f>
        <v>0</v>
      </c>
      <c r="AH290" s="148" t="n">
        <f aca="false">VALUE(IF($D290="zbú",$C290,0))+VALUE(IF($H290="zbú",$G290,0))</f>
        <v>0</v>
      </c>
      <c r="AI290" s="148" t="n">
        <f aca="false">VALUE(IF($D290="pří",$C290,0))+VALUE(IF($H290="pří",$G290,0))</f>
        <v>0</v>
      </c>
      <c r="AJ290" s="148" t="n">
        <f aca="false">VALUE(IF($D290="dot",$C290,0))+VALUE(IF($H290="dot",$G290,0))</f>
        <v>0</v>
      </c>
      <c r="AK290" s="148" t="n">
        <f aca="false">VALUE(IF($D290="opř",$C290,0))+VALUE(IF($H290="opř",$G290,0))</f>
        <v>0</v>
      </c>
      <c r="AL290" s="148" t="n">
        <f aca="false">SUM(P290:AK290)</f>
        <v>0</v>
      </c>
    </row>
    <row r="291" customFormat="false" ht="12.75" hidden="false" customHeight="false" outlineLevel="0" collapsed="false">
      <c r="P291" s="148" t="n">
        <f aca="false">VALUE(IF($D291="vyb",$C291,0))+VALUE(IF($H291="vyb",$G291,0))</f>
        <v>0</v>
      </c>
      <c r="Q291" s="148" t="n">
        <f aca="false">VALUE(IF($D291="mtv",$C291,0))+VALUE(IF($H291="mtv",$G291,0))</f>
        <v>0</v>
      </c>
      <c r="R291" s="148" t="n">
        <f aca="false">VALUE(IF($D291="mat",$C291,0))+VALUE(IF($H291="mat",$G291,0))</f>
        <v>0</v>
      </c>
      <c r="S291" s="148" t="n">
        <f aca="false">VALUE(IF($D291="pot",$C291,0))+VALUE(IF($H291="pot",$G291,0))</f>
        <v>0</v>
      </c>
      <c r="T291" s="148" t="n">
        <f aca="false">VALUE(IF($D291="táb",$C291,0))+VALUE(IF($H291="táb",$G291,0))</f>
        <v>0</v>
      </c>
      <c r="U291" s="148" t="n">
        <f aca="false">VALUE(IF($D291="oma",$C291,0))+VALUE(IF($H291="oma",$G291,0))</f>
        <v>0</v>
      </c>
      <c r="V291" s="148" t="n">
        <f aca="false">VALUE(IF($D291="ces",$C291,0))+VALUE(IF($H291="ces",$G291,0))</f>
        <v>0</v>
      </c>
      <c r="W291" s="148" t="n">
        <f aca="false">VALUE(IF($D291="poš",$C291,0))+VALUE(IF($H291="poš",$G291,0))</f>
        <v>0</v>
      </c>
      <c r="X291" s="148" t="n">
        <f aca="false">VALUE(IF($D291="tel",$C291,0))+VALUE(IF($H291="tel",$G291,0))</f>
        <v>0</v>
      </c>
      <c r="Y291" s="148" t="n">
        <f aca="false">VALUE(IF($D291="dop",$C291,0))+VALUE(IF($H291="dop",$G291,0))</f>
        <v>0</v>
      </c>
      <c r="Z291" s="148" t="n">
        <f aca="false">VALUE(IF($D291="nák",$C291,0))+VALUE(IF($H291="nák",$G291,0))</f>
        <v>0</v>
      </c>
      <c r="AA291" s="148" t="n">
        <f aca="false">VALUE(IF($D291="náj",$C291,0))+VALUE(IF($H291="náj",$G291,0))</f>
        <v>0</v>
      </c>
      <c r="AB291" s="148" t="n">
        <f aca="false">VALUE(IF($D291="půj",$C291,0))+VALUE(IF($H291="půj",$G291,0))</f>
        <v>0</v>
      </c>
      <c r="AC291" s="148" t="n">
        <f aca="false">VALUE(IF($D291="vst",$C291,0))+VALUE(IF($H291="vst",$G291,0))</f>
        <v>0</v>
      </c>
      <c r="AD291" s="148" t="n">
        <f aca="false">VALUE(IF($D291="kop",$C291,0))+VALUE(IF($H291="kop",$G291,0))</f>
        <v>0</v>
      </c>
      <c r="AE291" s="148" t="n">
        <f aca="false">VALUE(IF($D291="osl",$C291,0))+VALUE(IF($H291="osl",$G291,0))</f>
        <v>0</v>
      </c>
      <c r="AF291" s="148" t="n">
        <f aca="false">VALUE(IF($D291="vra",$C291,0))+VALUE(IF($H291="vra",$G291,0))</f>
        <v>0</v>
      </c>
      <c r="AG291" s="148" t="n">
        <f aca="false">VALUE(IF($D291="zho",$C291,0))+VALUE(IF($H291="zho",$G291,0))</f>
        <v>0</v>
      </c>
      <c r="AH291" s="148" t="n">
        <f aca="false">VALUE(IF($D291="zbú",$C291,0))+VALUE(IF($H291="zbú",$G291,0))</f>
        <v>0</v>
      </c>
      <c r="AI291" s="148" t="n">
        <f aca="false">VALUE(IF($D291="pří",$C291,0))+VALUE(IF($H291="pří",$G291,0))</f>
        <v>0</v>
      </c>
      <c r="AJ291" s="148" t="n">
        <f aca="false">VALUE(IF($D291="dot",$C291,0))+VALUE(IF($H291="dot",$G291,0))</f>
        <v>0</v>
      </c>
      <c r="AK291" s="148" t="n">
        <f aca="false">VALUE(IF($D291="opř",$C291,0))+VALUE(IF($H291="opř",$G291,0))</f>
        <v>0</v>
      </c>
      <c r="AL291" s="148" t="n">
        <f aca="false">SUM(P291:AK291)</f>
        <v>0</v>
      </c>
    </row>
    <row r="292" customFormat="false" ht="12.75" hidden="false" customHeight="false" outlineLevel="0" collapsed="false">
      <c r="P292" s="148" t="n">
        <f aca="false">VALUE(IF($D292="vyb",$C292,0))+VALUE(IF($H292="vyb",$G292,0))</f>
        <v>0</v>
      </c>
      <c r="Q292" s="148" t="n">
        <f aca="false">VALUE(IF($D292="mtv",$C292,0))+VALUE(IF($H292="mtv",$G292,0))</f>
        <v>0</v>
      </c>
      <c r="R292" s="148" t="n">
        <f aca="false">VALUE(IF($D292="mat",$C292,0))+VALUE(IF($H292="mat",$G292,0))</f>
        <v>0</v>
      </c>
      <c r="S292" s="148" t="n">
        <f aca="false">VALUE(IF($D292="pot",$C292,0))+VALUE(IF($H292="pot",$G292,0))</f>
        <v>0</v>
      </c>
      <c r="T292" s="148" t="n">
        <f aca="false">VALUE(IF($D292="táb",$C292,0))+VALUE(IF($H292="táb",$G292,0))</f>
        <v>0</v>
      </c>
      <c r="U292" s="148" t="n">
        <f aca="false">VALUE(IF($D292="oma",$C292,0))+VALUE(IF($H292="oma",$G292,0))</f>
        <v>0</v>
      </c>
      <c r="V292" s="148" t="n">
        <f aca="false">VALUE(IF($D292="ces",$C292,0))+VALUE(IF($H292="ces",$G292,0))</f>
        <v>0</v>
      </c>
      <c r="W292" s="148" t="n">
        <f aca="false">VALUE(IF($D292="poš",$C292,0))+VALUE(IF($H292="poš",$G292,0))</f>
        <v>0</v>
      </c>
      <c r="X292" s="148" t="n">
        <f aca="false">VALUE(IF($D292="tel",$C292,0))+VALUE(IF($H292="tel",$G292,0))</f>
        <v>0</v>
      </c>
      <c r="Y292" s="148" t="n">
        <f aca="false">VALUE(IF($D292="dop",$C292,0))+VALUE(IF($H292="dop",$G292,0))</f>
        <v>0</v>
      </c>
      <c r="Z292" s="148" t="n">
        <f aca="false">VALUE(IF($D292="nák",$C292,0))+VALUE(IF($H292="nák",$G292,0))</f>
        <v>0</v>
      </c>
      <c r="AA292" s="148" t="n">
        <f aca="false">VALUE(IF($D292="náj",$C292,0))+VALUE(IF($H292="náj",$G292,0))</f>
        <v>0</v>
      </c>
      <c r="AB292" s="148" t="n">
        <f aca="false">VALUE(IF($D292="půj",$C292,0))+VALUE(IF($H292="půj",$G292,0))</f>
        <v>0</v>
      </c>
      <c r="AC292" s="148" t="n">
        <f aca="false">VALUE(IF($D292="vst",$C292,0))+VALUE(IF($H292="vst",$G292,0))</f>
        <v>0</v>
      </c>
      <c r="AD292" s="148" t="n">
        <f aca="false">VALUE(IF($D292="kop",$C292,0))+VALUE(IF($H292="kop",$G292,0))</f>
        <v>0</v>
      </c>
      <c r="AE292" s="148" t="n">
        <f aca="false">VALUE(IF($D292="osl",$C292,0))+VALUE(IF($H292="osl",$G292,0))</f>
        <v>0</v>
      </c>
      <c r="AF292" s="148" t="n">
        <f aca="false">VALUE(IF($D292="vra",$C292,0))+VALUE(IF($H292="vra",$G292,0))</f>
        <v>0</v>
      </c>
      <c r="AG292" s="148" t="n">
        <f aca="false">VALUE(IF($D292="zho",$C292,0))+VALUE(IF($H292="zho",$G292,0))</f>
        <v>0</v>
      </c>
      <c r="AH292" s="148" t="n">
        <f aca="false">VALUE(IF($D292="zbú",$C292,0))+VALUE(IF($H292="zbú",$G292,0))</f>
        <v>0</v>
      </c>
      <c r="AI292" s="148" t="n">
        <f aca="false">VALUE(IF($D292="pří",$C292,0))+VALUE(IF($H292="pří",$G292,0))</f>
        <v>0</v>
      </c>
      <c r="AJ292" s="148" t="n">
        <f aca="false">VALUE(IF($D292="dot",$C292,0))+VALUE(IF($H292="dot",$G292,0))</f>
        <v>0</v>
      </c>
      <c r="AK292" s="148" t="n">
        <f aca="false">VALUE(IF($D292="opř",$C292,0))+VALUE(IF($H292="opř",$G292,0))</f>
        <v>0</v>
      </c>
      <c r="AL292" s="148" t="n">
        <f aca="false">SUM(P292:AK292)</f>
        <v>0</v>
      </c>
    </row>
    <row r="293" customFormat="false" ht="12.75" hidden="false" customHeight="false" outlineLevel="0" collapsed="false">
      <c r="P293" s="148" t="n">
        <f aca="false">VALUE(IF($D293="vyb",$C293,0))+VALUE(IF($H293="vyb",$G293,0))</f>
        <v>0</v>
      </c>
      <c r="Q293" s="148" t="n">
        <f aca="false">VALUE(IF($D293="mtv",$C293,0))+VALUE(IF($H293="mtv",$G293,0))</f>
        <v>0</v>
      </c>
      <c r="R293" s="148" t="n">
        <f aca="false">VALUE(IF($D293="mat",$C293,0))+VALUE(IF($H293="mat",$G293,0))</f>
        <v>0</v>
      </c>
      <c r="S293" s="148" t="n">
        <f aca="false">VALUE(IF($D293="pot",$C293,0))+VALUE(IF($H293="pot",$G293,0))</f>
        <v>0</v>
      </c>
      <c r="T293" s="148" t="n">
        <f aca="false">VALUE(IF($D293="táb",$C293,0))+VALUE(IF($H293="táb",$G293,0))</f>
        <v>0</v>
      </c>
      <c r="U293" s="148" t="n">
        <f aca="false">VALUE(IF($D293="oma",$C293,0))+VALUE(IF($H293="oma",$G293,0))</f>
        <v>0</v>
      </c>
      <c r="V293" s="148" t="n">
        <f aca="false">VALUE(IF($D293="ces",$C293,0))+VALUE(IF($H293="ces",$G293,0))</f>
        <v>0</v>
      </c>
      <c r="W293" s="148" t="n">
        <f aca="false">VALUE(IF($D293="poš",$C293,0))+VALUE(IF($H293="poš",$G293,0))</f>
        <v>0</v>
      </c>
      <c r="X293" s="148" t="n">
        <f aca="false">VALUE(IF($D293="tel",$C293,0))+VALUE(IF($H293="tel",$G293,0))</f>
        <v>0</v>
      </c>
      <c r="Y293" s="148" t="n">
        <f aca="false">VALUE(IF($D293="dop",$C293,0))+VALUE(IF($H293="dop",$G293,0))</f>
        <v>0</v>
      </c>
      <c r="Z293" s="148" t="n">
        <f aca="false">VALUE(IF($D293="nák",$C293,0))+VALUE(IF($H293="nák",$G293,0))</f>
        <v>0</v>
      </c>
      <c r="AA293" s="148" t="n">
        <f aca="false">VALUE(IF($D293="náj",$C293,0))+VALUE(IF($H293="náj",$G293,0))</f>
        <v>0</v>
      </c>
      <c r="AB293" s="148" t="n">
        <f aca="false">VALUE(IF($D293="půj",$C293,0))+VALUE(IF($H293="půj",$G293,0))</f>
        <v>0</v>
      </c>
      <c r="AC293" s="148" t="n">
        <f aca="false">VALUE(IF($D293="vst",$C293,0))+VALUE(IF($H293="vst",$G293,0))</f>
        <v>0</v>
      </c>
      <c r="AD293" s="148" t="n">
        <f aca="false">VALUE(IF($D293="kop",$C293,0))+VALUE(IF($H293="kop",$G293,0))</f>
        <v>0</v>
      </c>
      <c r="AE293" s="148" t="n">
        <f aca="false">VALUE(IF($D293="osl",$C293,0))+VALUE(IF($H293="osl",$G293,0))</f>
        <v>0</v>
      </c>
      <c r="AF293" s="148" t="n">
        <f aca="false">VALUE(IF($D293="vra",$C293,0))+VALUE(IF($H293="vra",$G293,0))</f>
        <v>0</v>
      </c>
      <c r="AG293" s="148" t="n">
        <f aca="false">VALUE(IF($D293="zho",$C293,0))+VALUE(IF($H293="zho",$G293,0))</f>
        <v>0</v>
      </c>
      <c r="AH293" s="148" t="n">
        <f aca="false">VALUE(IF($D293="zbú",$C293,0))+VALUE(IF($H293="zbú",$G293,0))</f>
        <v>0</v>
      </c>
      <c r="AI293" s="148" t="n">
        <f aca="false">VALUE(IF($D293="pří",$C293,0))+VALUE(IF($H293="pří",$G293,0))</f>
        <v>0</v>
      </c>
      <c r="AJ293" s="148" t="n">
        <f aca="false">VALUE(IF($D293="dot",$C293,0))+VALUE(IF($H293="dot",$G293,0))</f>
        <v>0</v>
      </c>
      <c r="AK293" s="148" t="n">
        <f aca="false">VALUE(IF($D293="opř",$C293,0))+VALUE(IF($H293="opř",$G293,0))</f>
        <v>0</v>
      </c>
      <c r="AL293" s="148" t="n">
        <f aca="false">SUM(P293:AK293)</f>
        <v>0</v>
      </c>
    </row>
    <row r="294" customFormat="false" ht="12.75" hidden="false" customHeight="false" outlineLevel="0" collapsed="false">
      <c r="P294" s="148" t="n">
        <f aca="false">VALUE(IF($D294="vyb",$C294,0))+VALUE(IF($H294="vyb",$G294,0))</f>
        <v>0</v>
      </c>
      <c r="Q294" s="148" t="n">
        <f aca="false">VALUE(IF($D294="mtv",$C294,0))+VALUE(IF($H294="mtv",$G294,0))</f>
        <v>0</v>
      </c>
      <c r="R294" s="148" t="n">
        <f aca="false">VALUE(IF($D294="mat",$C294,0))+VALUE(IF($H294="mat",$G294,0))</f>
        <v>0</v>
      </c>
      <c r="S294" s="148" t="n">
        <f aca="false">VALUE(IF($D294="pot",$C294,0))+VALUE(IF($H294="pot",$G294,0))</f>
        <v>0</v>
      </c>
      <c r="T294" s="148" t="n">
        <f aca="false">VALUE(IF($D294="táb",$C294,0))+VALUE(IF($H294="táb",$G294,0))</f>
        <v>0</v>
      </c>
      <c r="U294" s="148" t="n">
        <f aca="false">VALUE(IF($D294="oma",$C294,0))+VALUE(IF($H294="oma",$G294,0))</f>
        <v>0</v>
      </c>
      <c r="V294" s="148" t="n">
        <f aca="false">VALUE(IF($D294="ces",$C294,0))+VALUE(IF($H294="ces",$G294,0))</f>
        <v>0</v>
      </c>
      <c r="W294" s="148" t="n">
        <f aca="false">VALUE(IF($D294="poš",$C294,0))+VALUE(IF($H294="poš",$G294,0))</f>
        <v>0</v>
      </c>
      <c r="X294" s="148" t="n">
        <f aca="false">VALUE(IF($D294="tel",$C294,0))+VALUE(IF($H294="tel",$G294,0))</f>
        <v>0</v>
      </c>
      <c r="Y294" s="148" t="n">
        <f aca="false">VALUE(IF($D294="dop",$C294,0))+VALUE(IF($H294="dop",$G294,0))</f>
        <v>0</v>
      </c>
      <c r="Z294" s="148" t="n">
        <f aca="false">VALUE(IF($D294="nák",$C294,0))+VALUE(IF($H294="nák",$G294,0))</f>
        <v>0</v>
      </c>
      <c r="AA294" s="148" t="n">
        <f aca="false">VALUE(IF($D294="náj",$C294,0))+VALUE(IF($H294="náj",$G294,0))</f>
        <v>0</v>
      </c>
      <c r="AB294" s="148" t="n">
        <f aca="false">VALUE(IF($D294="půj",$C294,0))+VALUE(IF($H294="půj",$G294,0))</f>
        <v>0</v>
      </c>
      <c r="AC294" s="148" t="n">
        <f aca="false">VALUE(IF($D294="vst",$C294,0))+VALUE(IF($H294="vst",$G294,0))</f>
        <v>0</v>
      </c>
      <c r="AD294" s="148" t="n">
        <f aca="false">VALUE(IF($D294="kop",$C294,0))+VALUE(IF($H294="kop",$G294,0))</f>
        <v>0</v>
      </c>
      <c r="AE294" s="148" t="n">
        <f aca="false">VALUE(IF($D294="osl",$C294,0))+VALUE(IF($H294="osl",$G294,0))</f>
        <v>0</v>
      </c>
      <c r="AF294" s="148" t="n">
        <f aca="false">VALUE(IF($D294="vra",$C294,0))+VALUE(IF($H294="vra",$G294,0))</f>
        <v>0</v>
      </c>
      <c r="AG294" s="148" t="n">
        <f aca="false">VALUE(IF($D294="zho",$C294,0))+VALUE(IF($H294="zho",$G294,0))</f>
        <v>0</v>
      </c>
      <c r="AH294" s="148" t="n">
        <f aca="false">VALUE(IF($D294="zbú",$C294,0))+VALUE(IF($H294="zbú",$G294,0))</f>
        <v>0</v>
      </c>
      <c r="AI294" s="148" t="n">
        <f aca="false">VALUE(IF($D294="pří",$C294,0))+VALUE(IF($H294="pří",$G294,0))</f>
        <v>0</v>
      </c>
      <c r="AJ294" s="148" t="n">
        <f aca="false">VALUE(IF($D294="dot",$C294,0))+VALUE(IF($H294="dot",$G294,0))</f>
        <v>0</v>
      </c>
      <c r="AK294" s="148" t="n">
        <f aca="false">VALUE(IF($D294="opř",$C294,0))+VALUE(IF($H294="opř",$G294,0))</f>
        <v>0</v>
      </c>
      <c r="AL294" s="148" t="n">
        <f aca="false">SUM(P294:AK294)</f>
        <v>0</v>
      </c>
    </row>
    <row r="295" customFormat="false" ht="12.75" hidden="false" customHeight="false" outlineLevel="0" collapsed="false">
      <c r="P295" s="148" t="n">
        <f aca="false">VALUE(IF($D295="vyb",$C295,0))+VALUE(IF($H295="vyb",$G295,0))</f>
        <v>0</v>
      </c>
      <c r="Q295" s="148" t="n">
        <f aca="false">VALUE(IF($D295="mtv",$C295,0))+VALUE(IF($H295="mtv",$G295,0))</f>
        <v>0</v>
      </c>
      <c r="R295" s="148" t="n">
        <f aca="false">VALUE(IF($D295="mat",$C295,0))+VALUE(IF($H295="mat",$G295,0))</f>
        <v>0</v>
      </c>
      <c r="S295" s="148" t="n">
        <f aca="false">VALUE(IF($D295="pot",$C295,0))+VALUE(IF($H295="pot",$G295,0))</f>
        <v>0</v>
      </c>
      <c r="T295" s="148" t="n">
        <f aca="false">VALUE(IF($D295="táb",$C295,0))+VALUE(IF($H295="táb",$G295,0))</f>
        <v>0</v>
      </c>
      <c r="U295" s="148" t="n">
        <f aca="false">VALUE(IF($D295="oma",$C295,0))+VALUE(IF($H295="oma",$G295,0))</f>
        <v>0</v>
      </c>
      <c r="V295" s="148" t="n">
        <f aca="false">VALUE(IF($D295="ces",$C295,0))+VALUE(IF($H295="ces",$G295,0))</f>
        <v>0</v>
      </c>
      <c r="W295" s="148" t="n">
        <f aca="false">VALUE(IF($D295="poš",$C295,0))+VALUE(IF($H295="poš",$G295,0))</f>
        <v>0</v>
      </c>
      <c r="X295" s="148" t="n">
        <f aca="false">VALUE(IF($D295="tel",$C295,0))+VALUE(IF($H295="tel",$G295,0))</f>
        <v>0</v>
      </c>
      <c r="Y295" s="148" t="n">
        <f aca="false">VALUE(IF($D295="dop",$C295,0))+VALUE(IF($H295="dop",$G295,0))</f>
        <v>0</v>
      </c>
      <c r="Z295" s="148" t="n">
        <f aca="false">VALUE(IF($D295="nák",$C295,0))+VALUE(IF($H295="nák",$G295,0))</f>
        <v>0</v>
      </c>
      <c r="AA295" s="148" t="n">
        <f aca="false">VALUE(IF($D295="náj",$C295,0))+VALUE(IF($H295="náj",$G295,0))</f>
        <v>0</v>
      </c>
      <c r="AB295" s="148" t="n">
        <f aca="false">VALUE(IF($D295="půj",$C295,0))+VALUE(IF($H295="půj",$G295,0))</f>
        <v>0</v>
      </c>
      <c r="AC295" s="148" t="n">
        <f aca="false">VALUE(IF($D295="vst",$C295,0))+VALUE(IF($H295="vst",$G295,0))</f>
        <v>0</v>
      </c>
      <c r="AD295" s="148" t="n">
        <f aca="false">VALUE(IF($D295="kop",$C295,0))+VALUE(IF($H295="kop",$G295,0))</f>
        <v>0</v>
      </c>
      <c r="AE295" s="148" t="n">
        <f aca="false">VALUE(IF($D295="osl",$C295,0))+VALUE(IF($H295="osl",$G295,0))</f>
        <v>0</v>
      </c>
      <c r="AF295" s="148" t="n">
        <f aca="false">VALUE(IF($D295="vra",$C295,0))+VALUE(IF($H295="vra",$G295,0))</f>
        <v>0</v>
      </c>
      <c r="AG295" s="148" t="n">
        <f aca="false">VALUE(IF($D295="zho",$C295,0))+VALUE(IF($H295="zho",$G295,0))</f>
        <v>0</v>
      </c>
      <c r="AH295" s="148" t="n">
        <f aca="false">VALUE(IF($D295="zbú",$C295,0))+VALUE(IF($H295="zbú",$G295,0))</f>
        <v>0</v>
      </c>
      <c r="AI295" s="148" t="n">
        <f aca="false">VALUE(IF($D295="pří",$C295,0))+VALUE(IF($H295="pří",$G295,0))</f>
        <v>0</v>
      </c>
      <c r="AJ295" s="148" t="n">
        <f aca="false">VALUE(IF($D295="dot",$C295,0))+VALUE(IF($H295="dot",$G295,0))</f>
        <v>0</v>
      </c>
      <c r="AK295" s="148" t="n">
        <f aca="false">VALUE(IF($D295="opř",$C295,0))+VALUE(IF($H295="opř",$G295,0))</f>
        <v>0</v>
      </c>
      <c r="AL295" s="148" t="n">
        <f aca="false">SUM(P295:AK295)</f>
        <v>0</v>
      </c>
    </row>
    <row r="296" customFormat="false" ht="12.75" hidden="false" customHeight="false" outlineLevel="0" collapsed="false">
      <c r="P296" s="148" t="n">
        <f aca="false">VALUE(IF($D296="vyb",$C296,0))+VALUE(IF($H296="vyb",$G296,0))</f>
        <v>0</v>
      </c>
      <c r="Q296" s="148" t="n">
        <f aca="false">VALUE(IF($D296="mtv",$C296,0))+VALUE(IF($H296="mtv",$G296,0))</f>
        <v>0</v>
      </c>
      <c r="R296" s="148" t="n">
        <f aca="false">VALUE(IF($D296="mat",$C296,0))+VALUE(IF($H296="mat",$G296,0))</f>
        <v>0</v>
      </c>
      <c r="S296" s="148" t="n">
        <f aca="false">VALUE(IF($D296="pot",$C296,0))+VALUE(IF($H296="pot",$G296,0))</f>
        <v>0</v>
      </c>
      <c r="T296" s="148" t="n">
        <f aca="false">VALUE(IF($D296="táb",$C296,0))+VALUE(IF($H296="táb",$G296,0))</f>
        <v>0</v>
      </c>
      <c r="U296" s="148" t="n">
        <f aca="false">VALUE(IF($D296="oma",$C296,0))+VALUE(IF($H296="oma",$G296,0))</f>
        <v>0</v>
      </c>
      <c r="V296" s="148" t="n">
        <f aca="false">VALUE(IF($D296="ces",$C296,0))+VALUE(IF($H296="ces",$G296,0))</f>
        <v>0</v>
      </c>
      <c r="W296" s="148" t="n">
        <f aca="false">VALUE(IF($D296="poš",$C296,0))+VALUE(IF($H296="poš",$G296,0))</f>
        <v>0</v>
      </c>
      <c r="X296" s="148" t="n">
        <f aca="false">VALUE(IF($D296="tel",$C296,0))+VALUE(IF($H296="tel",$G296,0))</f>
        <v>0</v>
      </c>
      <c r="Y296" s="148" t="n">
        <f aca="false">VALUE(IF($D296="dop",$C296,0))+VALUE(IF($H296="dop",$G296,0))</f>
        <v>0</v>
      </c>
      <c r="Z296" s="148" t="n">
        <f aca="false">VALUE(IF($D296="nák",$C296,0))+VALUE(IF($H296="nák",$G296,0))</f>
        <v>0</v>
      </c>
      <c r="AA296" s="148" t="n">
        <f aca="false">VALUE(IF($D296="náj",$C296,0))+VALUE(IF($H296="náj",$G296,0))</f>
        <v>0</v>
      </c>
      <c r="AB296" s="148" t="n">
        <f aca="false">VALUE(IF($D296="půj",$C296,0))+VALUE(IF($H296="půj",$G296,0))</f>
        <v>0</v>
      </c>
      <c r="AC296" s="148" t="n">
        <f aca="false">VALUE(IF($D296="vst",$C296,0))+VALUE(IF($H296="vst",$G296,0))</f>
        <v>0</v>
      </c>
      <c r="AD296" s="148" t="n">
        <f aca="false">VALUE(IF($D296="kop",$C296,0))+VALUE(IF($H296="kop",$G296,0))</f>
        <v>0</v>
      </c>
      <c r="AE296" s="148" t="n">
        <f aca="false">VALUE(IF($D296="osl",$C296,0))+VALUE(IF($H296="osl",$G296,0))</f>
        <v>0</v>
      </c>
      <c r="AF296" s="148" t="n">
        <f aca="false">VALUE(IF($D296="vra",$C296,0))+VALUE(IF($H296="vra",$G296,0))</f>
        <v>0</v>
      </c>
      <c r="AG296" s="148" t="n">
        <f aca="false">VALUE(IF($D296="zho",$C296,0))+VALUE(IF($H296="zho",$G296,0))</f>
        <v>0</v>
      </c>
      <c r="AH296" s="148" t="n">
        <f aca="false">VALUE(IF($D296="zbú",$C296,0))+VALUE(IF($H296="zbú",$G296,0))</f>
        <v>0</v>
      </c>
      <c r="AI296" s="148" t="n">
        <f aca="false">VALUE(IF($D296="pří",$C296,0))+VALUE(IF($H296="pří",$G296,0))</f>
        <v>0</v>
      </c>
      <c r="AJ296" s="148" t="n">
        <f aca="false">VALUE(IF($D296="dot",$C296,0))+VALUE(IF($H296="dot",$G296,0))</f>
        <v>0</v>
      </c>
      <c r="AK296" s="148" t="n">
        <f aca="false">VALUE(IF($D296="opř",$C296,0))+VALUE(IF($H296="opř",$G296,0))</f>
        <v>0</v>
      </c>
      <c r="AL296" s="148" t="n">
        <f aca="false">SUM(P296:AK296)</f>
        <v>0</v>
      </c>
    </row>
    <row r="297" customFormat="false" ht="12.75" hidden="false" customHeight="false" outlineLevel="0" collapsed="false">
      <c r="P297" s="148" t="n">
        <f aca="false">VALUE(IF($D297="vyb",$C297,0))+VALUE(IF($H297="vyb",$G297,0))</f>
        <v>0</v>
      </c>
      <c r="Q297" s="148" t="n">
        <f aca="false">VALUE(IF($D297="mtv",$C297,0))+VALUE(IF($H297="mtv",$G297,0))</f>
        <v>0</v>
      </c>
      <c r="R297" s="148" t="n">
        <f aca="false">VALUE(IF($D297="mat",$C297,0))+VALUE(IF($H297="mat",$G297,0))</f>
        <v>0</v>
      </c>
      <c r="S297" s="148" t="n">
        <f aca="false">VALUE(IF($D297="pot",$C297,0))+VALUE(IF($H297="pot",$G297,0))</f>
        <v>0</v>
      </c>
      <c r="T297" s="148" t="n">
        <f aca="false">VALUE(IF($D297="táb",$C297,0))+VALUE(IF($H297="táb",$G297,0))</f>
        <v>0</v>
      </c>
      <c r="U297" s="148" t="n">
        <f aca="false">VALUE(IF($D297="oma",$C297,0))+VALUE(IF($H297="oma",$G297,0))</f>
        <v>0</v>
      </c>
      <c r="V297" s="148" t="n">
        <f aca="false">VALUE(IF($D297="ces",$C297,0))+VALUE(IF($H297="ces",$G297,0))</f>
        <v>0</v>
      </c>
      <c r="W297" s="148" t="n">
        <f aca="false">VALUE(IF($D297="poš",$C297,0))+VALUE(IF($H297="poš",$G297,0))</f>
        <v>0</v>
      </c>
      <c r="X297" s="148" t="n">
        <f aca="false">VALUE(IF($D297="tel",$C297,0))+VALUE(IF($H297="tel",$G297,0))</f>
        <v>0</v>
      </c>
      <c r="Y297" s="148" t="n">
        <f aca="false">VALUE(IF($D297="dop",$C297,0))+VALUE(IF($H297="dop",$G297,0))</f>
        <v>0</v>
      </c>
      <c r="Z297" s="148" t="n">
        <f aca="false">VALUE(IF($D297="nák",$C297,0))+VALUE(IF($H297="nák",$G297,0))</f>
        <v>0</v>
      </c>
      <c r="AA297" s="148" t="n">
        <f aca="false">VALUE(IF($D297="náj",$C297,0))+VALUE(IF($H297="náj",$G297,0))</f>
        <v>0</v>
      </c>
      <c r="AB297" s="148" t="n">
        <f aca="false">VALUE(IF($D297="půj",$C297,0))+VALUE(IF($H297="půj",$G297,0))</f>
        <v>0</v>
      </c>
      <c r="AC297" s="148" t="n">
        <f aca="false">VALUE(IF($D297="vst",$C297,0))+VALUE(IF($H297="vst",$G297,0))</f>
        <v>0</v>
      </c>
      <c r="AD297" s="148" t="n">
        <f aca="false">VALUE(IF($D297="kop",$C297,0))+VALUE(IF($H297="kop",$G297,0))</f>
        <v>0</v>
      </c>
      <c r="AE297" s="148" t="n">
        <f aca="false">VALUE(IF($D297="osl",$C297,0))+VALUE(IF($H297="osl",$G297,0))</f>
        <v>0</v>
      </c>
      <c r="AF297" s="148" t="n">
        <f aca="false">VALUE(IF($D297="vra",$C297,0))+VALUE(IF($H297="vra",$G297,0))</f>
        <v>0</v>
      </c>
      <c r="AG297" s="148" t="n">
        <f aca="false">VALUE(IF($D297="zho",$C297,0))+VALUE(IF($H297="zho",$G297,0))</f>
        <v>0</v>
      </c>
      <c r="AH297" s="148" t="n">
        <f aca="false">VALUE(IF($D297="zbú",$C297,0))+VALUE(IF($H297="zbú",$G297,0))</f>
        <v>0</v>
      </c>
      <c r="AI297" s="148" t="n">
        <f aca="false">VALUE(IF($D297="pří",$C297,0))+VALUE(IF($H297="pří",$G297,0))</f>
        <v>0</v>
      </c>
      <c r="AJ297" s="148" t="n">
        <f aca="false">VALUE(IF($D297="dot",$C297,0))+VALUE(IF($H297="dot",$G297,0))</f>
        <v>0</v>
      </c>
      <c r="AK297" s="148" t="n">
        <f aca="false">VALUE(IF($D297="opř",$C297,0))+VALUE(IF($H297="opř",$G297,0))</f>
        <v>0</v>
      </c>
      <c r="AL297" s="148" t="n">
        <f aca="false">SUM(P297:AK297)</f>
        <v>0</v>
      </c>
    </row>
    <row r="298" customFormat="false" ht="12.75" hidden="false" customHeight="false" outlineLevel="0" collapsed="false">
      <c r="P298" s="148" t="n">
        <f aca="false">VALUE(IF($D298="vyb",$C298,0))+VALUE(IF($H298="vyb",$G298,0))</f>
        <v>0</v>
      </c>
      <c r="Q298" s="148" t="n">
        <f aca="false">VALUE(IF($D298="mtv",$C298,0))+VALUE(IF($H298="mtv",$G298,0))</f>
        <v>0</v>
      </c>
      <c r="R298" s="148" t="n">
        <f aca="false">VALUE(IF($D298="mat",$C298,0))+VALUE(IF($H298="mat",$G298,0))</f>
        <v>0</v>
      </c>
      <c r="S298" s="148" t="n">
        <f aca="false">VALUE(IF($D298="pot",$C298,0))+VALUE(IF($H298="pot",$G298,0))</f>
        <v>0</v>
      </c>
      <c r="T298" s="148" t="n">
        <f aca="false">VALUE(IF($D298="táb",$C298,0))+VALUE(IF($H298="táb",$G298,0))</f>
        <v>0</v>
      </c>
      <c r="U298" s="148" t="n">
        <f aca="false">VALUE(IF($D298="oma",$C298,0))+VALUE(IF($H298="oma",$G298,0))</f>
        <v>0</v>
      </c>
      <c r="V298" s="148" t="n">
        <f aca="false">VALUE(IF($D298="ces",$C298,0))+VALUE(IF($H298="ces",$G298,0))</f>
        <v>0</v>
      </c>
      <c r="W298" s="148" t="n">
        <f aca="false">VALUE(IF($D298="poš",$C298,0))+VALUE(IF($H298="poš",$G298,0))</f>
        <v>0</v>
      </c>
      <c r="X298" s="148" t="n">
        <f aca="false">VALUE(IF($D298="tel",$C298,0))+VALUE(IF($H298="tel",$G298,0))</f>
        <v>0</v>
      </c>
      <c r="Y298" s="148" t="n">
        <f aca="false">VALUE(IF($D298="dop",$C298,0))+VALUE(IF($H298="dop",$G298,0))</f>
        <v>0</v>
      </c>
      <c r="Z298" s="148" t="n">
        <f aca="false">VALUE(IF($D298="nák",$C298,0))+VALUE(IF($H298="nák",$G298,0))</f>
        <v>0</v>
      </c>
      <c r="AA298" s="148" t="n">
        <f aca="false">VALUE(IF($D298="náj",$C298,0))+VALUE(IF($H298="náj",$G298,0))</f>
        <v>0</v>
      </c>
      <c r="AB298" s="148" t="n">
        <f aca="false">VALUE(IF($D298="půj",$C298,0))+VALUE(IF($H298="půj",$G298,0))</f>
        <v>0</v>
      </c>
      <c r="AC298" s="148" t="n">
        <f aca="false">VALUE(IF($D298="vst",$C298,0))+VALUE(IF($H298="vst",$G298,0))</f>
        <v>0</v>
      </c>
      <c r="AD298" s="148" t="n">
        <f aca="false">VALUE(IF($D298="kop",$C298,0))+VALUE(IF($H298="kop",$G298,0))</f>
        <v>0</v>
      </c>
      <c r="AE298" s="148" t="n">
        <f aca="false">VALUE(IF($D298="osl",$C298,0))+VALUE(IF($H298="osl",$G298,0))</f>
        <v>0</v>
      </c>
      <c r="AF298" s="148" t="n">
        <f aca="false">VALUE(IF($D298="vra",$C298,0))+VALUE(IF($H298="vra",$G298,0))</f>
        <v>0</v>
      </c>
      <c r="AG298" s="148" t="n">
        <f aca="false">VALUE(IF($D298="zho",$C298,0))+VALUE(IF($H298="zho",$G298,0))</f>
        <v>0</v>
      </c>
      <c r="AH298" s="148" t="n">
        <f aca="false">VALUE(IF($D298="zbú",$C298,0))+VALUE(IF($H298="zbú",$G298,0))</f>
        <v>0</v>
      </c>
      <c r="AI298" s="148" t="n">
        <f aca="false">VALUE(IF($D298="pří",$C298,0))+VALUE(IF($H298="pří",$G298,0))</f>
        <v>0</v>
      </c>
      <c r="AJ298" s="148" t="n">
        <f aca="false">VALUE(IF($D298="dot",$C298,0))+VALUE(IF($H298="dot",$G298,0))</f>
        <v>0</v>
      </c>
      <c r="AK298" s="148" t="n">
        <f aca="false">VALUE(IF($D298="opř",$C298,0))+VALUE(IF($H298="opř",$G298,0))</f>
        <v>0</v>
      </c>
      <c r="AL298" s="148" t="n">
        <f aca="false">SUM(P298:AK298)</f>
        <v>0</v>
      </c>
    </row>
    <row r="299" customFormat="false" ht="12.75" hidden="false" customHeight="false" outlineLevel="0" collapsed="false">
      <c r="P299" s="148" t="n">
        <f aca="false">VALUE(IF($D299="vyb",$C299,0))+VALUE(IF($H299="vyb",$G299,0))</f>
        <v>0</v>
      </c>
      <c r="Q299" s="148" t="n">
        <f aca="false">VALUE(IF($D299="mtv",$C299,0))+VALUE(IF($H299="mtv",$G299,0))</f>
        <v>0</v>
      </c>
      <c r="R299" s="148" t="n">
        <f aca="false">VALUE(IF($D299="mat",$C299,0))+VALUE(IF($H299="mat",$G299,0))</f>
        <v>0</v>
      </c>
      <c r="S299" s="148" t="n">
        <f aca="false">VALUE(IF($D299="pot",$C299,0))+VALUE(IF($H299="pot",$G299,0))</f>
        <v>0</v>
      </c>
      <c r="T299" s="148" t="n">
        <f aca="false">VALUE(IF($D299="táb",$C299,0))+VALUE(IF($H299="táb",$G299,0))</f>
        <v>0</v>
      </c>
      <c r="U299" s="148" t="n">
        <f aca="false">VALUE(IF($D299="oma",$C299,0))+VALUE(IF($H299="oma",$G299,0))</f>
        <v>0</v>
      </c>
      <c r="V299" s="148" t="n">
        <f aca="false">VALUE(IF($D299="ces",$C299,0))+VALUE(IF($H299="ces",$G299,0))</f>
        <v>0</v>
      </c>
      <c r="W299" s="148" t="n">
        <f aca="false">VALUE(IF($D299="poš",$C299,0))+VALUE(IF($H299="poš",$G299,0))</f>
        <v>0</v>
      </c>
      <c r="X299" s="148" t="n">
        <f aca="false">VALUE(IF($D299="tel",$C299,0))+VALUE(IF($H299="tel",$G299,0))</f>
        <v>0</v>
      </c>
      <c r="Y299" s="148" t="n">
        <f aca="false">VALUE(IF($D299="dop",$C299,0))+VALUE(IF($H299="dop",$G299,0))</f>
        <v>0</v>
      </c>
      <c r="Z299" s="148" t="n">
        <f aca="false">VALUE(IF($D299="nák",$C299,0))+VALUE(IF($H299="nák",$G299,0))</f>
        <v>0</v>
      </c>
      <c r="AA299" s="148" t="n">
        <f aca="false">VALUE(IF($D299="náj",$C299,0))+VALUE(IF($H299="náj",$G299,0))</f>
        <v>0</v>
      </c>
      <c r="AB299" s="148" t="n">
        <f aca="false">VALUE(IF($D299="půj",$C299,0))+VALUE(IF($H299="půj",$G299,0))</f>
        <v>0</v>
      </c>
      <c r="AC299" s="148" t="n">
        <f aca="false">VALUE(IF($D299="vst",$C299,0))+VALUE(IF($H299="vst",$G299,0))</f>
        <v>0</v>
      </c>
      <c r="AD299" s="148" t="n">
        <f aca="false">VALUE(IF($D299="kop",$C299,0))+VALUE(IF($H299="kop",$G299,0))</f>
        <v>0</v>
      </c>
      <c r="AE299" s="148" t="n">
        <f aca="false">VALUE(IF($D299="osl",$C299,0))+VALUE(IF($H299="osl",$G299,0))</f>
        <v>0</v>
      </c>
      <c r="AF299" s="148" t="n">
        <f aca="false">VALUE(IF($D299="vra",$C299,0))+VALUE(IF($H299="vra",$G299,0))</f>
        <v>0</v>
      </c>
      <c r="AG299" s="148" t="n">
        <f aca="false">VALUE(IF($D299="zho",$C299,0))+VALUE(IF($H299="zho",$G299,0))</f>
        <v>0</v>
      </c>
      <c r="AH299" s="148" t="n">
        <f aca="false">VALUE(IF($D299="zbú",$C299,0))+VALUE(IF($H299="zbú",$G299,0))</f>
        <v>0</v>
      </c>
      <c r="AI299" s="148" t="n">
        <f aca="false">VALUE(IF($D299="pří",$C299,0))+VALUE(IF($H299="pří",$G299,0))</f>
        <v>0</v>
      </c>
      <c r="AJ299" s="148" t="n">
        <f aca="false">VALUE(IF($D299="dot",$C299,0))+VALUE(IF($H299="dot",$G299,0))</f>
        <v>0</v>
      </c>
      <c r="AK299" s="148" t="n">
        <f aca="false">VALUE(IF($D299="opř",$C299,0))+VALUE(IF($H299="opř",$G299,0))</f>
        <v>0</v>
      </c>
      <c r="AL299" s="148" t="n">
        <f aca="false">SUM(P299:AK299)</f>
        <v>0</v>
      </c>
    </row>
    <row r="300" customFormat="false" ht="12.75" hidden="false" customHeight="false" outlineLevel="0" collapsed="false">
      <c r="P300" s="148" t="n">
        <f aca="false">VALUE(IF($D300="vyb",$C300,0))+VALUE(IF($H300="vyb",$G300,0))</f>
        <v>0</v>
      </c>
      <c r="Q300" s="148" t="n">
        <f aca="false">VALUE(IF($D300="mtv",$C300,0))+VALUE(IF($H300="mtv",$G300,0))</f>
        <v>0</v>
      </c>
      <c r="R300" s="148" t="n">
        <f aca="false">VALUE(IF($D300="mat",$C300,0))+VALUE(IF($H300="mat",$G300,0))</f>
        <v>0</v>
      </c>
      <c r="S300" s="148" t="n">
        <f aca="false">VALUE(IF($D300="pot",$C300,0))+VALUE(IF($H300="pot",$G300,0))</f>
        <v>0</v>
      </c>
      <c r="T300" s="148" t="n">
        <f aca="false">VALUE(IF($D300="táb",$C300,0))+VALUE(IF($H300="táb",$G300,0))</f>
        <v>0</v>
      </c>
      <c r="U300" s="148" t="n">
        <f aca="false">VALUE(IF($D300="oma",$C300,0))+VALUE(IF($H300="oma",$G300,0))</f>
        <v>0</v>
      </c>
      <c r="V300" s="148" t="n">
        <f aca="false">VALUE(IF($D300="ces",$C300,0))+VALUE(IF($H300="ces",$G300,0))</f>
        <v>0</v>
      </c>
      <c r="W300" s="148" t="n">
        <f aca="false">VALUE(IF($D300="poš",$C300,0))+VALUE(IF($H300="poš",$G300,0))</f>
        <v>0</v>
      </c>
      <c r="X300" s="148" t="n">
        <f aca="false">VALUE(IF($D300="tel",$C300,0))+VALUE(IF($H300="tel",$G300,0))</f>
        <v>0</v>
      </c>
      <c r="Y300" s="148" t="n">
        <f aca="false">VALUE(IF($D300="dop",$C300,0))+VALUE(IF($H300="dop",$G300,0))</f>
        <v>0</v>
      </c>
      <c r="Z300" s="148" t="n">
        <f aca="false">VALUE(IF($D300="nák",$C300,0))+VALUE(IF($H300="nák",$G300,0))</f>
        <v>0</v>
      </c>
      <c r="AA300" s="148" t="n">
        <f aca="false">VALUE(IF($D300="náj",$C300,0))+VALUE(IF($H300="náj",$G300,0))</f>
        <v>0</v>
      </c>
      <c r="AB300" s="148" t="n">
        <f aca="false">VALUE(IF($D300="půj",$C300,0))+VALUE(IF($H300="půj",$G300,0))</f>
        <v>0</v>
      </c>
      <c r="AC300" s="148" t="n">
        <f aca="false">VALUE(IF($D300="vst",$C300,0))+VALUE(IF($H300="vst",$G300,0))</f>
        <v>0</v>
      </c>
      <c r="AD300" s="148" t="n">
        <f aca="false">VALUE(IF($D300="kop",$C300,0))+VALUE(IF($H300="kop",$G300,0))</f>
        <v>0</v>
      </c>
      <c r="AE300" s="148" t="n">
        <f aca="false">VALUE(IF($D300="osl",$C300,0))+VALUE(IF($H300="osl",$G300,0))</f>
        <v>0</v>
      </c>
      <c r="AF300" s="148" t="n">
        <f aca="false">VALUE(IF($D300="vra",$C300,0))+VALUE(IF($H300="vra",$G300,0))</f>
        <v>0</v>
      </c>
      <c r="AG300" s="148" t="n">
        <f aca="false">VALUE(IF($D300="zho",$C300,0))+VALUE(IF($H300="zho",$G300,0))</f>
        <v>0</v>
      </c>
      <c r="AH300" s="148" t="n">
        <f aca="false">VALUE(IF($D300="zbú",$C300,0))+VALUE(IF($H300="zbú",$G300,0))</f>
        <v>0</v>
      </c>
      <c r="AI300" s="148" t="n">
        <f aca="false">VALUE(IF($D300="pří",$C300,0))+VALUE(IF($H300="pří",$G300,0))</f>
        <v>0</v>
      </c>
      <c r="AJ300" s="148" t="n">
        <f aca="false">VALUE(IF($D300="dot",$C300,0))+VALUE(IF($H300="dot",$G300,0))</f>
        <v>0</v>
      </c>
      <c r="AK300" s="148" t="n">
        <f aca="false">VALUE(IF($D300="opř",$C300,0))+VALUE(IF($H300="opř",$G300,0))</f>
        <v>0</v>
      </c>
      <c r="AL300" s="148" t="n">
        <f aca="false">SUM(P300:AK300)</f>
        <v>0</v>
      </c>
    </row>
    <row r="301" customFormat="false" ht="12.75" hidden="false" customHeight="false" outlineLevel="0" collapsed="false">
      <c r="P301" s="148" t="n">
        <f aca="false">VALUE(IF($D301="vyb",$C301,0))+VALUE(IF($H301="vyb",$G301,0))</f>
        <v>0</v>
      </c>
      <c r="Q301" s="148" t="n">
        <f aca="false">VALUE(IF($D301="mtv",$C301,0))+VALUE(IF($H301="mtv",$G301,0))</f>
        <v>0</v>
      </c>
      <c r="R301" s="148" t="n">
        <f aca="false">VALUE(IF($D301="mat",$C301,0))+VALUE(IF($H301="mat",$G301,0))</f>
        <v>0</v>
      </c>
      <c r="S301" s="148" t="n">
        <f aca="false">VALUE(IF($D301="pot",$C301,0))+VALUE(IF($H301="pot",$G301,0))</f>
        <v>0</v>
      </c>
      <c r="T301" s="148" t="n">
        <f aca="false">VALUE(IF($D301="táb",$C301,0))+VALUE(IF($H301="táb",$G301,0))</f>
        <v>0</v>
      </c>
      <c r="U301" s="148" t="n">
        <f aca="false">VALUE(IF($D301="oma",$C301,0))+VALUE(IF($H301="oma",$G301,0))</f>
        <v>0</v>
      </c>
      <c r="V301" s="148" t="n">
        <f aca="false">VALUE(IF($D301="ces",$C301,0))+VALUE(IF($H301="ces",$G301,0))</f>
        <v>0</v>
      </c>
      <c r="W301" s="148" t="n">
        <f aca="false">VALUE(IF($D301="poš",$C301,0))+VALUE(IF($H301="poš",$G301,0))</f>
        <v>0</v>
      </c>
      <c r="X301" s="148" t="n">
        <f aca="false">VALUE(IF($D301="tel",$C301,0))+VALUE(IF($H301="tel",$G301,0))</f>
        <v>0</v>
      </c>
      <c r="Y301" s="148" t="n">
        <f aca="false">VALUE(IF($D301="dop",$C301,0))+VALUE(IF($H301="dop",$G301,0))</f>
        <v>0</v>
      </c>
      <c r="Z301" s="148" t="n">
        <f aca="false">VALUE(IF($D301="nák",$C301,0))+VALUE(IF($H301="nák",$G301,0))</f>
        <v>0</v>
      </c>
      <c r="AA301" s="148" t="n">
        <f aca="false">VALUE(IF($D301="náj",$C301,0))+VALUE(IF($H301="náj",$G301,0))</f>
        <v>0</v>
      </c>
      <c r="AB301" s="148" t="n">
        <f aca="false">VALUE(IF($D301="půj",$C301,0))+VALUE(IF($H301="půj",$G301,0))</f>
        <v>0</v>
      </c>
      <c r="AC301" s="148" t="n">
        <f aca="false">VALUE(IF($D301="vst",$C301,0))+VALUE(IF($H301="vst",$G301,0))</f>
        <v>0</v>
      </c>
      <c r="AD301" s="148" t="n">
        <f aca="false">VALUE(IF($D301="kop",$C301,0))+VALUE(IF($H301="kop",$G301,0))</f>
        <v>0</v>
      </c>
      <c r="AE301" s="148" t="n">
        <f aca="false">VALUE(IF($D301="osl",$C301,0))+VALUE(IF($H301="osl",$G301,0))</f>
        <v>0</v>
      </c>
      <c r="AF301" s="148" t="n">
        <f aca="false">VALUE(IF($D301="vra",$C301,0))+VALUE(IF($H301="vra",$G301,0))</f>
        <v>0</v>
      </c>
      <c r="AG301" s="148" t="n">
        <f aca="false">VALUE(IF($D301="zho",$C301,0))+VALUE(IF($H301="zho",$G301,0))</f>
        <v>0</v>
      </c>
      <c r="AH301" s="148" t="n">
        <f aca="false">VALUE(IF($D301="zbú",$C301,0))+VALUE(IF($H301="zbú",$G301,0))</f>
        <v>0</v>
      </c>
      <c r="AI301" s="148" t="n">
        <f aca="false">VALUE(IF($D301="pří",$C301,0))+VALUE(IF($H301="pří",$G301,0))</f>
        <v>0</v>
      </c>
      <c r="AJ301" s="148" t="n">
        <f aca="false">VALUE(IF($D301="dot",$C301,0))+VALUE(IF($H301="dot",$G301,0))</f>
        <v>0</v>
      </c>
      <c r="AK301" s="148" t="n">
        <f aca="false">VALUE(IF($D301="opř",$C301,0))+VALUE(IF($H301="opř",$G301,0))</f>
        <v>0</v>
      </c>
      <c r="AL301" s="148" t="n">
        <f aca="false">SUM(P301:AK301)</f>
        <v>0</v>
      </c>
    </row>
    <row r="302" customFormat="false" ht="12.75" hidden="false" customHeight="false" outlineLevel="0" collapsed="false">
      <c r="P302" s="148" t="n">
        <f aca="false">VALUE(IF($D302="vyb",$C302,0))+VALUE(IF($H302="vyb",$G302,0))</f>
        <v>0</v>
      </c>
      <c r="Q302" s="148" t="n">
        <f aca="false">VALUE(IF($D302="mtv",$C302,0))+VALUE(IF($H302="mtv",$G302,0))</f>
        <v>0</v>
      </c>
      <c r="R302" s="148" t="n">
        <f aca="false">VALUE(IF($D302="mat",$C302,0))+VALUE(IF($H302="mat",$G302,0))</f>
        <v>0</v>
      </c>
      <c r="S302" s="148" t="n">
        <f aca="false">VALUE(IF($D302="pot",$C302,0))+VALUE(IF($H302="pot",$G302,0))</f>
        <v>0</v>
      </c>
      <c r="T302" s="148" t="n">
        <f aca="false">VALUE(IF($D302="táb",$C302,0))+VALUE(IF($H302="táb",$G302,0))</f>
        <v>0</v>
      </c>
      <c r="U302" s="148" t="n">
        <f aca="false">VALUE(IF($D302="oma",$C302,0))+VALUE(IF($H302="oma",$G302,0))</f>
        <v>0</v>
      </c>
      <c r="V302" s="148" t="n">
        <f aca="false">VALUE(IF($D302="ces",$C302,0))+VALUE(IF($H302="ces",$G302,0))</f>
        <v>0</v>
      </c>
      <c r="W302" s="148" t="n">
        <f aca="false">VALUE(IF($D302="poš",$C302,0))+VALUE(IF($H302="poš",$G302,0))</f>
        <v>0</v>
      </c>
      <c r="X302" s="148" t="n">
        <f aca="false">VALUE(IF($D302="tel",$C302,0))+VALUE(IF($H302="tel",$G302,0))</f>
        <v>0</v>
      </c>
      <c r="Y302" s="148" t="n">
        <f aca="false">VALUE(IF($D302="dop",$C302,0))+VALUE(IF($H302="dop",$G302,0))</f>
        <v>0</v>
      </c>
      <c r="Z302" s="148" t="n">
        <f aca="false">VALUE(IF($D302="nák",$C302,0))+VALUE(IF($H302="nák",$G302,0))</f>
        <v>0</v>
      </c>
      <c r="AA302" s="148" t="n">
        <f aca="false">VALUE(IF($D302="náj",$C302,0))+VALUE(IF($H302="náj",$G302,0))</f>
        <v>0</v>
      </c>
      <c r="AB302" s="148" t="n">
        <f aca="false">VALUE(IF($D302="půj",$C302,0))+VALUE(IF($H302="půj",$G302,0))</f>
        <v>0</v>
      </c>
      <c r="AC302" s="148" t="n">
        <f aca="false">VALUE(IF($D302="vst",$C302,0))+VALUE(IF($H302="vst",$G302,0))</f>
        <v>0</v>
      </c>
      <c r="AD302" s="148" t="n">
        <f aca="false">VALUE(IF($D302="kop",$C302,0))+VALUE(IF($H302="kop",$G302,0))</f>
        <v>0</v>
      </c>
      <c r="AE302" s="148" t="n">
        <f aca="false">VALUE(IF($D302="osl",$C302,0))+VALUE(IF($H302="osl",$G302,0))</f>
        <v>0</v>
      </c>
      <c r="AF302" s="148" t="n">
        <f aca="false">VALUE(IF($D302="vra",$C302,0))+VALUE(IF($H302="vra",$G302,0))</f>
        <v>0</v>
      </c>
      <c r="AG302" s="148" t="n">
        <f aca="false">VALUE(IF($D302="zho",$C302,0))+VALUE(IF($H302="zho",$G302,0))</f>
        <v>0</v>
      </c>
      <c r="AH302" s="148" t="n">
        <f aca="false">VALUE(IF($D302="zbú",$C302,0))+VALUE(IF($H302="zbú",$G302,0))</f>
        <v>0</v>
      </c>
      <c r="AI302" s="148" t="n">
        <f aca="false">VALUE(IF($D302="pří",$C302,0))+VALUE(IF($H302="pří",$G302,0))</f>
        <v>0</v>
      </c>
      <c r="AJ302" s="148" t="n">
        <f aca="false">VALUE(IF($D302="dot",$C302,0))+VALUE(IF($H302="dot",$G302,0))</f>
        <v>0</v>
      </c>
      <c r="AK302" s="148" t="n">
        <f aca="false">VALUE(IF($D302="opř",$C302,0))+VALUE(IF($H302="opř",$G302,0))</f>
        <v>0</v>
      </c>
      <c r="AL302" s="148" t="n">
        <f aca="false">SUM(P302:AK302)</f>
        <v>0</v>
      </c>
    </row>
    <row r="303" customFormat="false" ht="12.75" hidden="false" customHeight="false" outlineLevel="0" collapsed="false">
      <c r="P303" s="148" t="n">
        <f aca="false">VALUE(IF($D303="vyb",$C303,0))+VALUE(IF($H303="vyb",$G303,0))</f>
        <v>0</v>
      </c>
      <c r="Q303" s="148" t="n">
        <f aca="false">VALUE(IF($D303="mtv",$C303,0))+VALUE(IF($H303="mtv",$G303,0))</f>
        <v>0</v>
      </c>
      <c r="R303" s="148" t="n">
        <f aca="false">VALUE(IF($D303="mat",$C303,0))+VALUE(IF($H303="mat",$G303,0))</f>
        <v>0</v>
      </c>
      <c r="S303" s="148" t="n">
        <f aca="false">VALUE(IF($D303="pot",$C303,0))+VALUE(IF($H303="pot",$G303,0))</f>
        <v>0</v>
      </c>
      <c r="T303" s="148" t="n">
        <f aca="false">VALUE(IF($D303="táb",$C303,0))+VALUE(IF($H303="táb",$G303,0))</f>
        <v>0</v>
      </c>
      <c r="U303" s="148" t="n">
        <f aca="false">VALUE(IF($D303="oma",$C303,0))+VALUE(IF($H303="oma",$G303,0))</f>
        <v>0</v>
      </c>
      <c r="V303" s="148" t="n">
        <f aca="false">VALUE(IF($D303="ces",$C303,0))+VALUE(IF($H303="ces",$G303,0))</f>
        <v>0</v>
      </c>
      <c r="W303" s="148" t="n">
        <f aca="false">VALUE(IF($D303="poš",$C303,0))+VALUE(IF($H303="poš",$G303,0))</f>
        <v>0</v>
      </c>
      <c r="X303" s="148" t="n">
        <f aca="false">VALUE(IF($D303="tel",$C303,0))+VALUE(IF($H303="tel",$G303,0))</f>
        <v>0</v>
      </c>
      <c r="Y303" s="148" t="n">
        <f aca="false">VALUE(IF($D303="dop",$C303,0))+VALUE(IF($H303="dop",$G303,0))</f>
        <v>0</v>
      </c>
      <c r="Z303" s="148" t="n">
        <f aca="false">VALUE(IF($D303="nák",$C303,0))+VALUE(IF($H303="nák",$G303,0))</f>
        <v>0</v>
      </c>
      <c r="AA303" s="148" t="n">
        <f aca="false">VALUE(IF($D303="náj",$C303,0))+VALUE(IF($H303="náj",$G303,0))</f>
        <v>0</v>
      </c>
      <c r="AB303" s="148" t="n">
        <f aca="false">VALUE(IF($D303="půj",$C303,0))+VALUE(IF($H303="půj",$G303,0))</f>
        <v>0</v>
      </c>
      <c r="AC303" s="148" t="n">
        <f aca="false">VALUE(IF($D303="vst",$C303,0))+VALUE(IF($H303="vst",$G303,0))</f>
        <v>0</v>
      </c>
      <c r="AD303" s="148" t="n">
        <f aca="false">VALUE(IF($D303="kop",$C303,0))+VALUE(IF($H303="kop",$G303,0))</f>
        <v>0</v>
      </c>
      <c r="AE303" s="148" t="n">
        <f aca="false">VALUE(IF($D303="osl",$C303,0))+VALUE(IF($H303="osl",$G303,0))</f>
        <v>0</v>
      </c>
      <c r="AF303" s="148" t="n">
        <f aca="false">VALUE(IF($D303="vra",$C303,0))+VALUE(IF($H303="vra",$G303,0))</f>
        <v>0</v>
      </c>
      <c r="AG303" s="148" t="n">
        <f aca="false">VALUE(IF($D303="zho",$C303,0))+VALUE(IF($H303="zho",$G303,0))</f>
        <v>0</v>
      </c>
      <c r="AH303" s="148" t="n">
        <f aca="false">VALUE(IF($D303="zbú",$C303,0))+VALUE(IF($H303="zbú",$G303,0))</f>
        <v>0</v>
      </c>
      <c r="AI303" s="148" t="n">
        <f aca="false">VALUE(IF($D303="pří",$C303,0))+VALUE(IF($H303="pří",$G303,0))</f>
        <v>0</v>
      </c>
      <c r="AJ303" s="148" t="n">
        <f aca="false">VALUE(IF($D303="dot",$C303,0))+VALUE(IF($H303="dot",$G303,0))</f>
        <v>0</v>
      </c>
      <c r="AK303" s="148" t="n">
        <f aca="false">VALUE(IF($D303="opř",$C303,0))+VALUE(IF($H303="opř",$G303,0))</f>
        <v>0</v>
      </c>
      <c r="AL303" s="148" t="n">
        <f aca="false">SUM(P303:AK303)</f>
        <v>0</v>
      </c>
    </row>
    <row r="304" customFormat="false" ht="12.75" hidden="false" customHeight="false" outlineLevel="0" collapsed="false">
      <c r="P304" s="148" t="n">
        <f aca="false">VALUE(IF($D304="vyb",$C304,0))+VALUE(IF($H304="vyb",$G304,0))</f>
        <v>0</v>
      </c>
      <c r="Q304" s="148" t="n">
        <f aca="false">VALUE(IF($D304="mtv",$C304,0))+VALUE(IF($H304="mtv",$G304,0))</f>
        <v>0</v>
      </c>
      <c r="R304" s="148" t="n">
        <f aca="false">VALUE(IF($D304="mat",$C304,0))+VALUE(IF($H304="mat",$G304,0))</f>
        <v>0</v>
      </c>
      <c r="S304" s="148" t="n">
        <f aca="false">VALUE(IF($D304="pot",$C304,0))+VALUE(IF($H304="pot",$G304,0))</f>
        <v>0</v>
      </c>
      <c r="T304" s="148" t="n">
        <f aca="false">VALUE(IF($D304="táb",$C304,0))+VALUE(IF($H304="táb",$G304,0))</f>
        <v>0</v>
      </c>
      <c r="U304" s="148" t="n">
        <f aca="false">VALUE(IF($D304="oma",$C304,0))+VALUE(IF($H304="oma",$G304,0))</f>
        <v>0</v>
      </c>
      <c r="V304" s="148" t="n">
        <f aca="false">VALUE(IF($D304="ces",$C304,0))+VALUE(IF($H304="ces",$G304,0))</f>
        <v>0</v>
      </c>
      <c r="W304" s="148" t="n">
        <f aca="false">VALUE(IF($D304="poš",$C304,0))+VALUE(IF($H304="poš",$G304,0))</f>
        <v>0</v>
      </c>
      <c r="X304" s="148" t="n">
        <f aca="false">VALUE(IF($D304="tel",$C304,0))+VALUE(IF($H304="tel",$G304,0))</f>
        <v>0</v>
      </c>
      <c r="Y304" s="148" t="n">
        <f aca="false">VALUE(IF($D304="dop",$C304,0))+VALUE(IF($H304="dop",$G304,0))</f>
        <v>0</v>
      </c>
      <c r="Z304" s="148" t="n">
        <f aca="false">VALUE(IF($D304="nák",$C304,0))+VALUE(IF($H304="nák",$G304,0))</f>
        <v>0</v>
      </c>
      <c r="AA304" s="148" t="n">
        <f aca="false">VALUE(IF($D304="náj",$C304,0))+VALUE(IF($H304="náj",$G304,0))</f>
        <v>0</v>
      </c>
      <c r="AB304" s="148" t="n">
        <f aca="false">VALUE(IF($D304="půj",$C304,0))+VALUE(IF($H304="půj",$G304,0))</f>
        <v>0</v>
      </c>
      <c r="AC304" s="148" t="n">
        <f aca="false">VALUE(IF($D304="vst",$C304,0))+VALUE(IF($H304="vst",$G304,0))</f>
        <v>0</v>
      </c>
      <c r="AD304" s="148" t="n">
        <f aca="false">VALUE(IF($D304="kop",$C304,0))+VALUE(IF($H304="kop",$G304,0))</f>
        <v>0</v>
      </c>
      <c r="AE304" s="148" t="n">
        <f aca="false">VALUE(IF($D304="osl",$C304,0))+VALUE(IF($H304="osl",$G304,0))</f>
        <v>0</v>
      </c>
      <c r="AF304" s="148" t="n">
        <f aca="false">VALUE(IF($D304="vra",$C304,0))+VALUE(IF($H304="vra",$G304,0))</f>
        <v>0</v>
      </c>
      <c r="AG304" s="148" t="n">
        <f aca="false">VALUE(IF($D304="zho",$C304,0))+VALUE(IF($H304="zho",$G304,0))</f>
        <v>0</v>
      </c>
      <c r="AH304" s="148" t="n">
        <f aca="false">VALUE(IF($D304="zbú",$C304,0))+VALUE(IF($H304="zbú",$G304,0))</f>
        <v>0</v>
      </c>
      <c r="AI304" s="148" t="n">
        <f aca="false">VALUE(IF($D304="pří",$C304,0))+VALUE(IF($H304="pří",$G304,0))</f>
        <v>0</v>
      </c>
      <c r="AJ304" s="148" t="n">
        <f aca="false">VALUE(IF($D304="dot",$C304,0))+VALUE(IF($H304="dot",$G304,0))</f>
        <v>0</v>
      </c>
      <c r="AK304" s="148" t="n">
        <f aca="false">VALUE(IF($D304="opř",$C304,0))+VALUE(IF($H304="opř",$G304,0))</f>
        <v>0</v>
      </c>
      <c r="AL304" s="148" t="n">
        <f aca="false">SUM(P304:AK304)</f>
        <v>0</v>
      </c>
    </row>
    <row r="305" customFormat="false" ht="12.75" hidden="false" customHeight="false" outlineLevel="0" collapsed="false">
      <c r="P305" s="148" t="n">
        <f aca="false">VALUE(IF($D305="vyb",$C305,0))+VALUE(IF($H305="vyb",$G305,0))</f>
        <v>0</v>
      </c>
      <c r="Q305" s="148" t="n">
        <f aca="false">VALUE(IF($D305="mtv",$C305,0))+VALUE(IF($H305="mtv",$G305,0))</f>
        <v>0</v>
      </c>
      <c r="R305" s="148" t="n">
        <f aca="false">VALUE(IF($D305="mat",$C305,0))+VALUE(IF($H305="mat",$G305,0))</f>
        <v>0</v>
      </c>
      <c r="S305" s="148" t="n">
        <f aca="false">VALUE(IF($D305="pot",$C305,0))+VALUE(IF($H305="pot",$G305,0))</f>
        <v>0</v>
      </c>
      <c r="T305" s="148" t="n">
        <f aca="false">VALUE(IF($D305="táb",$C305,0))+VALUE(IF($H305="táb",$G305,0))</f>
        <v>0</v>
      </c>
      <c r="U305" s="148" t="n">
        <f aca="false">VALUE(IF($D305="oma",$C305,0))+VALUE(IF($H305="oma",$G305,0))</f>
        <v>0</v>
      </c>
      <c r="V305" s="148" t="n">
        <f aca="false">VALUE(IF($D305="ces",$C305,0))+VALUE(IF($H305="ces",$G305,0))</f>
        <v>0</v>
      </c>
      <c r="W305" s="148" t="n">
        <f aca="false">VALUE(IF($D305="poš",$C305,0))+VALUE(IF($H305="poš",$G305,0))</f>
        <v>0</v>
      </c>
      <c r="X305" s="148" t="n">
        <f aca="false">VALUE(IF($D305="tel",$C305,0))+VALUE(IF($H305="tel",$G305,0))</f>
        <v>0</v>
      </c>
      <c r="Y305" s="148" t="n">
        <f aca="false">VALUE(IF($D305="dop",$C305,0))+VALUE(IF($H305="dop",$G305,0))</f>
        <v>0</v>
      </c>
      <c r="Z305" s="148" t="n">
        <f aca="false">VALUE(IF($D305="nák",$C305,0))+VALUE(IF($H305="nák",$G305,0))</f>
        <v>0</v>
      </c>
      <c r="AA305" s="148" t="n">
        <f aca="false">VALUE(IF($D305="náj",$C305,0))+VALUE(IF($H305="náj",$G305,0))</f>
        <v>0</v>
      </c>
      <c r="AB305" s="148" t="n">
        <f aca="false">VALUE(IF($D305="půj",$C305,0))+VALUE(IF($H305="půj",$G305,0))</f>
        <v>0</v>
      </c>
      <c r="AC305" s="148" t="n">
        <f aca="false">VALUE(IF($D305="vst",$C305,0))+VALUE(IF($H305="vst",$G305,0))</f>
        <v>0</v>
      </c>
      <c r="AD305" s="148" t="n">
        <f aca="false">VALUE(IF($D305="kop",$C305,0))+VALUE(IF($H305="kop",$G305,0))</f>
        <v>0</v>
      </c>
      <c r="AE305" s="148" t="n">
        <f aca="false">VALUE(IF($D305="osl",$C305,0))+VALUE(IF($H305="osl",$G305,0))</f>
        <v>0</v>
      </c>
      <c r="AF305" s="148" t="n">
        <f aca="false">VALUE(IF($D305="vra",$C305,0))+VALUE(IF($H305="vra",$G305,0))</f>
        <v>0</v>
      </c>
      <c r="AG305" s="148" t="n">
        <f aca="false">VALUE(IF($D305="zho",$C305,0))+VALUE(IF($H305="zho",$G305,0))</f>
        <v>0</v>
      </c>
      <c r="AH305" s="148" t="n">
        <f aca="false">VALUE(IF($D305="zbú",$C305,0))+VALUE(IF($H305="zbú",$G305,0))</f>
        <v>0</v>
      </c>
      <c r="AI305" s="148" t="n">
        <f aca="false">VALUE(IF($D305="pří",$C305,0))+VALUE(IF($H305="pří",$G305,0))</f>
        <v>0</v>
      </c>
      <c r="AJ305" s="148" t="n">
        <f aca="false">VALUE(IF($D305="dot",$C305,0))+VALUE(IF($H305="dot",$G305,0))</f>
        <v>0</v>
      </c>
      <c r="AK305" s="148" t="n">
        <f aca="false">VALUE(IF($D305="opř",$C305,0))+VALUE(IF($H305="opř",$G305,0))</f>
        <v>0</v>
      </c>
      <c r="AL305" s="148" t="n">
        <f aca="false">SUM(P305:AK305)</f>
        <v>0</v>
      </c>
    </row>
    <row r="306" customFormat="false" ht="12.75" hidden="false" customHeight="false" outlineLevel="0" collapsed="false">
      <c r="P306" s="148" t="n">
        <f aca="false">VALUE(IF($D306="vyb",$C306,0))+VALUE(IF($H306="vyb",$G306,0))</f>
        <v>0</v>
      </c>
      <c r="Q306" s="148" t="n">
        <f aca="false">VALUE(IF($D306="mtv",$C306,0))+VALUE(IF($H306="mtv",$G306,0))</f>
        <v>0</v>
      </c>
      <c r="R306" s="148" t="n">
        <f aca="false">VALUE(IF($D306="mat",$C306,0))+VALUE(IF($H306="mat",$G306,0))</f>
        <v>0</v>
      </c>
      <c r="S306" s="148" t="n">
        <f aca="false">VALUE(IF($D306="pot",$C306,0))+VALUE(IF($H306="pot",$G306,0))</f>
        <v>0</v>
      </c>
      <c r="T306" s="148" t="n">
        <f aca="false">VALUE(IF($D306="táb",$C306,0))+VALUE(IF($H306="táb",$G306,0))</f>
        <v>0</v>
      </c>
      <c r="U306" s="148" t="n">
        <f aca="false">VALUE(IF($D306="oma",$C306,0))+VALUE(IF($H306="oma",$G306,0))</f>
        <v>0</v>
      </c>
      <c r="V306" s="148" t="n">
        <f aca="false">VALUE(IF($D306="ces",$C306,0))+VALUE(IF($H306="ces",$G306,0))</f>
        <v>0</v>
      </c>
      <c r="W306" s="148" t="n">
        <f aca="false">VALUE(IF($D306="poš",$C306,0))+VALUE(IF($H306="poš",$G306,0))</f>
        <v>0</v>
      </c>
      <c r="X306" s="148" t="n">
        <f aca="false">VALUE(IF($D306="tel",$C306,0))+VALUE(IF($H306="tel",$G306,0))</f>
        <v>0</v>
      </c>
      <c r="Y306" s="148" t="n">
        <f aca="false">VALUE(IF($D306="dop",$C306,0))+VALUE(IF($H306="dop",$G306,0))</f>
        <v>0</v>
      </c>
      <c r="Z306" s="148" t="n">
        <f aca="false">VALUE(IF($D306="nák",$C306,0))+VALUE(IF($H306="nák",$G306,0))</f>
        <v>0</v>
      </c>
      <c r="AA306" s="148" t="n">
        <f aca="false">VALUE(IF($D306="náj",$C306,0))+VALUE(IF($H306="náj",$G306,0))</f>
        <v>0</v>
      </c>
      <c r="AB306" s="148" t="n">
        <f aca="false">VALUE(IF($D306="půj",$C306,0))+VALUE(IF($H306="půj",$G306,0))</f>
        <v>0</v>
      </c>
      <c r="AC306" s="148" t="n">
        <f aca="false">VALUE(IF($D306="vst",$C306,0))+VALUE(IF($H306="vst",$G306,0))</f>
        <v>0</v>
      </c>
      <c r="AD306" s="148" t="n">
        <f aca="false">VALUE(IF($D306="kop",$C306,0))+VALUE(IF($H306="kop",$G306,0))</f>
        <v>0</v>
      </c>
      <c r="AE306" s="148" t="n">
        <f aca="false">VALUE(IF($D306="osl",$C306,0))+VALUE(IF($H306="osl",$G306,0))</f>
        <v>0</v>
      </c>
      <c r="AF306" s="148" t="n">
        <f aca="false">VALUE(IF($D306="vra",$C306,0))+VALUE(IF($H306="vra",$G306,0))</f>
        <v>0</v>
      </c>
      <c r="AG306" s="148" t="n">
        <f aca="false">VALUE(IF($D306="zho",$C306,0))+VALUE(IF($H306="zho",$G306,0))</f>
        <v>0</v>
      </c>
      <c r="AH306" s="148" t="n">
        <f aca="false">VALUE(IF($D306="zbú",$C306,0))+VALUE(IF($H306="zbú",$G306,0))</f>
        <v>0</v>
      </c>
      <c r="AI306" s="148" t="n">
        <f aca="false">VALUE(IF($D306="pří",$C306,0))+VALUE(IF($H306="pří",$G306,0))</f>
        <v>0</v>
      </c>
      <c r="AJ306" s="148" t="n">
        <f aca="false">VALUE(IF($D306="dot",$C306,0))+VALUE(IF($H306="dot",$G306,0))</f>
        <v>0</v>
      </c>
      <c r="AK306" s="148" t="n">
        <f aca="false">VALUE(IF($D306="opř",$C306,0))+VALUE(IF($H306="opř",$G306,0))</f>
        <v>0</v>
      </c>
      <c r="AL306" s="148" t="n">
        <f aca="false">SUM(P306:AK306)</f>
        <v>0</v>
      </c>
    </row>
    <row r="307" customFormat="false" ht="12.75" hidden="false" customHeight="false" outlineLevel="0" collapsed="false">
      <c r="P307" s="148" t="n">
        <f aca="false">VALUE(IF($D307="vyb",$C307,0))+VALUE(IF($H307="vyb",$G307,0))</f>
        <v>0</v>
      </c>
      <c r="Q307" s="148" t="n">
        <f aca="false">VALUE(IF($D307="mtv",$C307,0))+VALUE(IF($H307="mtv",$G307,0))</f>
        <v>0</v>
      </c>
      <c r="R307" s="148" t="n">
        <f aca="false">VALUE(IF($D307="mat",$C307,0))+VALUE(IF($H307="mat",$G307,0))</f>
        <v>0</v>
      </c>
      <c r="S307" s="148" t="n">
        <f aca="false">VALUE(IF($D307="pot",$C307,0))+VALUE(IF($H307="pot",$G307,0))</f>
        <v>0</v>
      </c>
      <c r="T307" s="148" t="n">
        <f aca="false">VALUE(IF($D307="táb",$C307,0))+VALUE(IF($H307="táb",$G307,0))</f>
        <v>0</v>
      </c>
      <c r="U307" s="148" t="n">
        <f aca="false">VALUE(IF($D307="oma",$C307,0))+VALUE(IF($H307="oma",$G307,0))</f>
        <v>0</v>
      </c>
      <c r="V307" s="148" t="n">
        <f aca="false">VALUE(IF($D307="ces",$C307,0))+VALUE(IF($H307="ces",$G307,0))</f>
        <v>0</v>
      </c>
      <c r="W307" s="148" t="n">
        <f aca="false">VALUE(IF($D307="poš",$C307,0))+VALUE(IF($H307="poš",$G307,0))</f>
        <v>0</v>
      </c>
      <c r="X307" s="148" t="n">
        <f aca="false">VALUE(IF($D307="tel",$C307,0))+VALUE(IF($H307="tel",$G307,0))</f>
        <v>0</v>
      </c>
      <c r="Y307" s="148" t="n">
        <f aca="false">VALUE(IF($D307="dop",$C307,0))+VALUE(IF($H307="dop",$G307,0))</f>
        <v>0</v>
      </c>
      <c r="Z307" s="148" t="n">
        <f aca="false">VALUE(IF($D307="nák",$C307,0))+VALUE(IF($H307="nák",$G307,0))</f>
        <v>0</v>
      </c>
      <c r="AA307" s="148" t="n">
        <f aca="false">VALUE(IF($D307="náj",$C307,0))+VALUE(IF($H307="náj",$G307,0))</f>
        <v>0</v>
      </c>
      <c r="AB307" s="148" t="n">
        <f aca="false">VALUE(IF($D307="půj",$C307,0))+VALUE(IF($H307="půj",$G307,0))</f>
        <v>0</v>
      </c>
      <c r="AC307" s="148" t="n">
        <f aca="false">VALUE(IF($D307="vst",$C307,0))+VALUE(IF($H307="vst",$G307,0))</f>
        <v>0</v>
      </c>
      <c r="AD307" s="148" t="n">
        <f aca="false">VALUE(IF($D307="kop",$C307,0))+VALUE(IF($H307="kop",$G307,0))</f>
        <v>0</v>
      </c>
      <c r="AE307" s="148" t="n">
        <f aca="false">VALUE(IF($D307="osl",$C307,0))+VALUE(IF($H307="osl",$G307,0))</f>
        <v>0</v>
      </c>
      <c r="AF307" s="148" t="n">
        <f aca="false">VALUE(IF($D307="vra",$C307,0))+VALUE(IF($H307="vra",$G307,0))</f>
        <v>0</v>
      </c>
      <c r="AG307" s="148" t="n">
        <f aca="false">VALUE(IF($D307="zho",$C307,0))+VALUE(IF($H307="zho",$G307,0))</f>
        <v>0</v>
      </c>
      <c r="AH307" s="148" t="n">
        <f aca="false">VALUE(IF($D307="zbú",$C307,0))+VALUE(IF($H307="zbú",$G307,0))</f>
        <v>0</v>
      </c>
      <c r="AI307" s="148" t="n">
        <f aca="false">VALUE(IF($D307="pří",$C307,0))+VALUE(IF($H307="pří",$G307,0))</f>
        <v>0</v>
      </c>
      <c r="AJ307" s="148" t="n">
        <f aca="false">VALUE(IF($D307="dot",$C307,0))+VALUE(IF($H307="dot",$G307,0))</f>
        <v>0</v>
      </c>
      <c r="AK307" s="148" t="n">
        <f aca="false">VALUE(IF($D307="opř",$C307,0))+VALUE(IF($H307="opř",$G307,0))</f>
        <v>0</v>
      </c>
      <c r="AL307" s="148" t="n">
        <f aca="false">SUM(P307:AK307)</f>
        <v>0</v>
      </c>
    </row>
    <row r="308" customFormat="false" ht="12.75" hidden="false" customHeight="false" outlineLevel="0" collapsed="false">
      <c r="P308" s="148" t="n">
        <f aca="false">VALUE(IF($D308="vyb",$C308,0))+VALUE(IF($H308="vyb",$G308,0))</f>
        <v>0</v>
      </c>
      <c r="Q308" s="148" t="n">
        <f aca="false">VALUE(IF($D308="mtv",$C308,0))+VALUE(IF($H308="mtv",$G308,0))</f>
        <v>0</v>
      </c>
      <c r="R308" s="148" t="n">
        <f aca="false">VALUE(IF($D308="mat",$C308,0))+VALUE(IF($H308="mat",$G308,0))</f>
        <v>0</v>
      </c>
      <c r="S308" s="148" t="n">
        <f aca="false">VALUE(IF($D308="pot",$C308,0))+VALUE(IF($H308="pot",$G308,0))</f>
        <v>0</v>
      </c>
      <c r="T308" s="148" t="n">
        <f aca="false">VALUE(IF($D308="táb",$C308,0))+VALUE(IF($H308="táb",$G308,0))</f>
        <v>0</v>
      </c>
      <c r="U308" s="148" t="n">
        <f aca="false">VALUE(IF($D308="oma",$C308,0))+VALUE(IF($H308="oma",$G308,0))</f>
        <v>0</v>
      </c>
      <c r="V308" s="148" t="n">
        <f aca="false">VALUE(IF($D308="ces",$C308,0))+VALUE(IF($H308="ces",$G308,0))</f>
        <v>0</v>
      </c>
      <c r="W308" s="148" t="n">
        <f aca="false">VALUE(IF($D308="poš",$C308,0))+VALUE(IF($H308="poš",$G308,0))</f>
        <v>0</v>
      </c>
      <c r="X308" s="148" t="n">
        <f aca="false">VALUE(IF($D308="tel",$C308,0))+VALUE(IF($H308="tel",$G308,0))</f>
        <v>0</v>
      </c>
      <c r="Y308" s="148" t="n">
        <f aca="false">VALUE(IF($D308="dop",$C308,0))+VALUE(IF($H308="dop",$G308,0))</f>
        <v>0</v>
      </c>
      <c r="Z308" s="148" t="n">
        <f aca="false">VALUE(IF($D308="nák",$C308,0))+VALUE(IF($H308="nák",$G308,0))</f>
        <v>0</v>
      </c>
      <c r="AA308" s="148" t="n">
        <f aca="false">VALUE(IF($D308="náj",$C308,0))+VALUE(IF($H308="náj",$G308,0))</f>
        <v>0</v>
      </c>
      <c r="AB308" s="148" t="n">
        <f aca="false">VALUE(IF($D308="půj",$C308,0))+VALUE(IF($H308="půj",$G308,0))</f>
        <v>0</v>
      </c>
      <c r="AC308" s="148" t="n">
        <f aca="false">VALUE(IF($D308="vst",$C308,0))+VALUE(IF($H308="vst",$G308,0))</f>
        <v>0</v>
      </c>
      <c r="AD308" s="148" t="n">
        <f aca="false">VALUE(IF($D308="kop",$C308,0))+VALUE(IF($H308="kop",$G308,0))</f>
        <v>0</v>
      </c>
      <c r="AE308" s="148" t="n">
        <f aca="false">VALUE(IF($D308="osl",$C308,0))+VALUE(IF($H308="osl",$G308,0))</f>
        <v>0</v>
      </c>
      <c r="AF308" s="148" t="n">
        <f aca="false">VALUE(IF($D308="vra",$C308,0))+VALUE(IF($H308="vra",$G308,0))</f>
        <v>0</v>
      </c>
      <c r="AG308" s="148" t="n">
        <f aca="false">VALUE(IF($D308="zho",$C308,0))+VALUE(IF($H308="zho",$G308,0))</f>
        <v>0</v>
      </c>
      <c r="AH308" s="148" t="n">
        <f aca="false">VALUE(IF($D308="zbú",$C308,0))+VALUE(IF($H308="zbú",$G308,0))</f>
        <v>0</v>
      </c>
      <c r="AI308" s="148" t="n">
        <f aca="false">VALUE(IF($D308="pří",$C308,0))+VALUE(IF($H308="pří",$G308,0))</f>
        <v>0</v>
      </c>
      <c r="AJ308" s="148" t="n">
        <f aca="false">VALUE(IF($D308="dot",$C308,0))+VALUE(IF($H308="dot",$G308,0))</f>
        <v>0</v>
      </c>
      <c r="AK308" s="148" t="n">
        <f aca="false">VALUE(IF($D308="opř",$C308,0))+VALUE(IF($H308="opř",$G308,0))</f>
        <v>0</v>
      </c>
      <c r="AL308" s="148" t="n">
        <f aca="false">SUM(P308:AK308)</f>
        <v>0</v>
      </c>
    </row>
    <row r="309" customFormat="false" ht="12.75" hidden="false" customHeight="false" outlineLevel="0" collapsed="false">
      <c r="P309" s="148" t="n">
        <f aca="false">VALUE(IF($D309="vyb",$C309,0))+VALUE(IF($H309="vyb",$G309,0))</f>
        <v>0</v>
      </c>
      <c r="Q309" s="148" t="n">
        <f aca="false">VALUE(IF($D309="mtv",$C309,0))+VALUE(IF($H309="mtv",$G309,0))</f>
        <v>0</v>
      </c>
      <c r="R309" s="148" t="n">
        <f aca="false">VALUE(IF($D309="mat",$C309,0))+VALUE(IF($H309="mat",$G309,0))</f>
        <v>0</v>
      </c>
      <c r="S309" s="148" t="n">
        <f aca="false">VALUE(IF($D309="pot",$C309,0))+VALUE(IF($H309="pot",$G309,0))</f>
        <v>0</v>
      </c>
      <c r="T309" s="148" t="n">
        <f aca="false">VALUE(IF($D309="táb",$C309,0))+VALUE(IF($H309="táb",$G309,0))</f>
        <v>0</v>
      </c>
      <c r="U309" s="148" t="n">
        <f aca="false">VALUE(IF($D309="oma",$C309,0))+VALUE(IF($H309="oma",$G309,0))</f>
        <v>0</v>
      </c>
      <c r="V309" s="148" t="n">
        <f aca="false">VALUE(IF($D309="ces",$C309,0))+VALUE(IF($H309="ces",$G309,0))</f>
        <v>0</v>
      </c>
      <c r="W309" s="148" t="n">
        <f aca="false">VALUE(IF($D309="poš",$C309,0))+VALUE(IF($H309="poš",$G309,0))</f>
        <v>0</v>
      </c>
      <c r="X309" s="148" t="n">
        <f aca="false">VALUE(IF($D309="tel",$C309,0))+VALUE(IF($H309="tel",$G309,0))</f>
        <v>0</v>
      </c>
      <c r="Y309" s="148" t="n">
        <f aca="false">VALUE(IF($D309="dop",$C309,0))+VALUE(IF($H309="dop",$G309,0))</f>
        <v>0</v>
      </c>
      <c r="Z309" s="148" t="n">
        <f aca="false">VALUE(IF($D309="nák",$C309,0))+VALUE(IF($H309="nák",$G309,0))</f>
        <v>0</v>
      </c>
      <c r="AA309" s="148" t="n">
        <f aca="false">VALUE(IF($D309="náj",$C309,0))+VALUE(IF($H309="náj",$G309,0))</f>
        <v>0</v>
      </c>
      <c r="AB309" s="148" t="n">
        <f aca="false">VALUE(IF($D309="půj",$C309,0))+VALUE(IF($H309="půj",$G309,0))</f>
        <v>0</v>
      </c>
      <c r="AC309" s="148" t="n">
        <f aca="false">VALUE(IF($D309="vst",$C309,0))+VALUE(IF($H309="vst",$G309,0))</f>
        <v>0</v>
      </c>
      <c r="AD309" s="148" t="n">
        <f aca="false">VALUE(IF($D309="kop",$C309,0))+VALUE(IF($H309="kop",$G309,0))</f>
        <v>0</v>
      </c>
      <c r="AE309" s="148" t="n">
        <f aca="false">VALUE(IF($D309="osl",$C309,0))+VALUE(IF($H309="osl",$G309,0))</f>
        <v>0</v>
      </c>
      <c r="AF309" s="148" t="n">
        <f aca="false">VALUE(IF($D309="vra",$C309,0))+VALUE(IF($H309="vra",$G309,0))</f>
        <v>0</v>
      </c>
      <c r="AG309" s="148" t="n">
        <f aca="false">VALUE(IF($D309="zho",$C309,0))+VALUE(IF($H309="zho",$G309,0))</f>
        <v>0</v>
      </c>
      <c r="AH309" s="148" t="n">
        <f aca="false">VALUE(IF($D309="zbú",$C309,0))+VALUE(IF($H309="zbú",$G309,0))</f>
        <v>0</v>
      </c>
      <c r="AI309" s="148" t="n">
        <f aca="false">VALUE(IF($D309="pří",$C309,0))+VALUE(IF($H309="pří",$G309,0))</f>
        <v>0</v>
      </c>
      <c r="AJ309" s="148" t="n">
        <f aca="false">VALUE(IF($D309="dot",$C309,0))+VALUE(IF($H309="dot",$G309,0))</f>
        <v>0</v>
      </c>
      <c r="AK309" s="148" t="n">
        <f aca="false">VALUE(IF($D309="opř",$C309,0))+VALUE(IF($H309="opř",$G309,0))</f>
        <v>0</v>
      </c>
      <c r="AL309" s="148" t="n">
        <f aca="false">SUM(P309:AK309)</f>
        <v>0</v>
      </c>
    </row>
    <row r="310" customFormat="false" ht="12.75" hidden="false" customHeight="false" outlineLevel="0" collapsed="false">
      <c r="P310" s="148" t="n">
        <f aca="false">VALUE(IF($D310="vyb",$C310,0))+VALUE(IF($H310="vyb",$G310,0))</f>
        <v>0</v>
      </c>
      <c r="Q310" s="148" t="n">
        <f aca="false">VALUE(IF($D310="mtv",$C310,0))+VALUE(IF($H310="mtv",$G310,0))</f>
        <v>0</v>
      </c>
      <c r="R310" s="148" t="n">
        <f aca="false">VALUE(IF($D310="mat",$C310,0))+VALUE(IF($H310="mat",$G310,0))</f>
        <v>0</v>
      </c>
      <c r="S310" s="148" t="n">
        <f aca="false">VALUE(IF($D310="pot",$C310,0))+VALUE(IF($H310="pot",$G310,0))</f>
        <v>0</v>
      </c>
      <c r="T310" s="148" t="n">
        <f aca="false">VALUE(IF($D310="táb",$C310,0))+VALUE(IF($H310="táb",$G310,0))</f>
        <v>0</v>
      </c>
      <c r="U310" s="148" t="n">
        <f aca="false">VALUE(IF($D310="oma",$C310,0))+VALUE(IF($H310="oma",$G310,0))</f>
        <v>0</v>
      </c>
      <c r="V310" s="148" t="n">
        <f aca="false">VALUE(IF($D310="ces",$C310,0))+VALUE(IF($H310="ces",$G310,0))</f>
        <v>0</v>
      </c>
      <c r="W310" s="148" t="n">
        <f aca="false">VALUE(IF($D310="poš",$C310,0))+VALUE(IF($H310="poš",$G310,0))</f>
        <v>0</v>
      </c>
      <c r="X310" s="148" t="n">
        <f aca="false">VALUE(IF($D310="tel",$C310,0))+VALUE(IF($H310="tel",$G310,0))</f>
        <v>0</v>
      </c>
      <c r="Y310" s="148" t="n">
        <f aca="false">VALUE(IF($D310="dop",$C310,0))+VALUE(IF($H310="dop",$G310,0))</f>
        <v>0</v>
      </c>
      <c r="Z310" s="148" t="n">
        <f aca="false">VALUE(IF($D310="nák",$C310,0))+VALUE(IF($H310="nák",$G310,0))</f>
        <v>0</v>
      </c>
      <c r="AA310" s="148" t="n">
        <f aca="false">VALUE(IF($D310="náj",$C310,0))+VALUE(IF($H310="náj",$G310,0))</f>
        <v>0</v>
      </c>
      <c r="AB310" s="148" t="n">
        <f aca="false">VALUE(IF($D310="půj",$C310,0))+VALUE(IF($H310="půj",$G310,0))</f>
        <v>0</v>
      </c>
      <c r="AC310" s="148" t="n">
        <f aca="false">VALUE(IF($D310="vst",$C310,0))+VALUE(IF($H310="vst",$G310,0))</f>
        <v>0</v>
      </c>
      <c r="AD310" s="148" t="n">
        <f aca="false">VALUE(IF($D310="kop",$C310,0))+VALUE(IF($H310="kop",$G310,0))</f>
        <v>0</v>
      </c>
      <c r="AE310" s="148" t="n">
        <f aca="false">VALUE(IF($D310="osl",$C310,0))+VALUE(IF($H310="osl",$G310,0))</f>
        <v>0</v>
      </c>
      <c r="AF310" s="148" t="n">
        <f aca="false">VALUE(IF($D310="vra",$C310,0))+VALUE(IF($H310="vra",$G310,0))</f>
        <v>0</v>
      </c>
      <c r="AG310" s="148" t="n">
        <f aca="false">VALUE(IF($D310="zho",$C310,0))+VALUE(IF($H310="zho",$G310,0))</f>
        <v>0</v>
      </c>
      <c r="AH310" s="148" t="n">
        <f aca="false">VALUE(IF($D310="zbú",$C310,0))+VALUE(IF($H310="zbú",$G310,0))</f>
        <v>0</v>
      </c>
      <c r="AI310" s="148" t="n">
        <f aca="false">VALUE(IF($D310="pří",$C310,0))+VALUE(IF($H310="pří",$G310,0))</f>
        <v>0</v>
      </c>
      <c r="AJ310" s="148" t="n">
        <f aca="false">VALUE(IF($D310="dot",$C310,0))+VALUE(IF($H310="dot",$G310,0))</f>
        <v>0</v>
      </c>
      <c r="AK310" s="148" t="n">
        <f aca="false">VALUE(IF($D310="opř",$C310,0))+VALUE(IF($H310="opř",$G310,0))</f>
        <v>0</v>
      </c>
      <c r="AL310" s="148" t="n">
        <f aca="false">SUM(P310:AK310)</f>
        <v>0</v>
      </c>
    </row>
    <row r="311" customFormat="false" ht="12.75" hidden="false" customHeight="false" outlineLevel="0" collapsed="false">
      <c r="P311" s="148" t="n">
        <f aca="false">VALUE(IF($D311="vyb",$C311,0))+VALUE(IF($H311="vyb",$G311,0))</f>
        <v>0</v>
      </c>
      <c r="Q311" s="148" t="n">
        <f aca="false">VALUE(IF($D311="mtv",$C311,0))+VALUE(IF($H311="mtv",$G311,0))</f>
        <v>0</v>
      </c>
      <c r="R311" s="148" t="n">
        <f aca="false">VALUE(IF($D311="mat",$C311,0))+VALUE(IF($H311="mat",$G311,0))</f>
        <v>0</v>
      </c>
      <c r="S311" s="148" t="n">
        <f aca="false">VALUE(IF($D311="pot",$C311,0))+VALUE(IF($H311="pot",$G311,0))</f>
        <v>0</v>
      </c>
      <c r="T311" s="148" t="n">
        <f aca="false">VALUE(IF($D311="táb",$C311,0))+VALUE(IF($H311="táb",$G311,0))</f>
        <v>0</v>
      </c>
      <c r="U311" s="148" t="n">
        <f aca="false">VALUE(IF($D311="oma",$C311,0))+VALUE(IF($H311="oma",$G311,0))</f>
        <v>0</v>
      </c>
      <c r="V311" s="148" t="n">
        <f aca="false">VALUE(IF($D311="ces",$C311,0))+VALUE(IF($H311="ces",$G311,0))</f>
        <v>0</v>
      </c>
      <c r="W311" s="148" t="n">
        <f aca="false">VALUE(IF($D311="poš",$C311,0))+VALUE(IF($H311="poš",$G311,0))</f>
        <v>0</v>
      </c>
      <c r="X311" s="148" t="n">
        <f aca="false">VALUE(IF($D311="tel",$C311,0))+VALUE(IF($H311="tel",$G311,0))</f>
        <v>0</v>
      </c>
      <c r="Y311" s="148" t="n">
        <f aca="false">VALUE(IF($D311="dop",$C311,0))+VALUE(IF($H311="dop",$G311,0))</f>
        <v>0</v>
      </c>
      <c r="Z311" s="148" t="n">
        <f aca="false">VALUE(IF($D311="nák",$C311,0))+VALUE(IF($H311="nák",$G311,0))</f>
        <v>0</v>
      </c>
      <c r="AA311" s="148" t="n">
        <f aca="false">VALUE(IF($D311="náj",$C311,0))+VALUE(IF($H311="náj",$G311,0))</f>
        <v>0</v>
      </c>
      <c r="AB311" s="148" t="n">
        <f aca="false">VALUE(IF($D311="půj",$C311,0))+VALUE(IF($H311="půj",$G311,0))</f>
        <v>0</v>
      </c>
      <c r="AC311" s="148" t="n">
        <f aca="false">VALUE(IF($D311="vst",$C311,0))+VALUE(IF($H311="vst",$G311,0))</f>
        <v>0</v>
      </c>
      <c r="AD311" s="148" t="n">
        <f aca="false">VALUE(IF($D311="kop",$C311,0))+VALUE(IF($H311="kop",$G311,0))</f>
        <v>0</v>
      </c>
      <c r="AE311" s="148" t="n">
        <f aca="false">VALUE(IF($D311="osl",$C311,0))+VALUE(IF($H311="osl",$G311,0))</f>
        <v>0</v>
      </c>
      <c r="AF311" s="148" t="n">
        <f aca="false">VALUE(IF($D311="vra",$C311,0))+VALUE(IF($H311="vra",$G311,0))</f>
        <v>0</v>
      </c>
      <c r="AG311" s="148" t="n">
        <f aca="false">VALUE(IF($D311="zho",$C311,0))+VALUE(IF($H311="zho",$G311,0))</f>
        <v>0</v>
      </c>
      <c r="AH311" s="148" t="n">
        <f aca="false">VALUE(IF($D311="zbú",$C311,0))+VALUE(IF($H311="zbú",$G311,0))</f>
        <v>0</v>
      </c>
      <c r="AI311" s="148" t="n">
        <f aca="false">VALUE(IF($D311="pří",$C311,0))+VALUE(IF($H311="pří",$G311,0))</f>
        <v>0</v>
      </c>
      <c r="AJ311" s="148" t="n">
        <f aca="false">VALUE(IF($D311="dot",$C311,0))+VALUE(IF($H311="dot",$G311,0))</f>
        <v>0</v>
      </c>
      <c r="AK311" s="148" t="n">
        <f aca="false">VALUE(IF($D311="opř",$C311,0))+VALUE(IF($H311="opř",$G311,0))</f>
        <v>0</v>
      </c>
      <c r="AL311" s="148" t="n">
        <f aca="false">SUM(P311:AK311)</f>
        <v>0</v>
      </c>
    </row>
    <row r="312" customFormat="false" ht="12.75" hidden="false" customHeight="false" outlineLevel="0" collapsed="false">
      <c r="P312" s="148" t="n">
        <f aca="false">VALUE(IF($D312="vyb",$C312,0))+VALUE(IF($H312="vyb",$G312,0))</f>
        <v>0</v>
      </c>
      <c r="Q312" s="148" t="n">
        <f aca="false">VALUE(IF($D312="mtv",$C312,0))+VALUE(IF($H312="mtv",$G312,0))</f>
        <v>0</v>
      </c>
      <c r="R312" s="148" t="n">
        <f aca="false">VALUE(IF($D312="mat",$C312,0))+VALUE(IF($H312="mat",$G312,0))</f>
        <v>0</v>
      </c>
      <c r="S312" s="148" t="n">
        <f aca="false">VALUE(IF($D312="pot",$C312,0))+VALUE(IF($H312="pot",$G312,0))</f>
        <v>0</v>
      </c>
      <c r="T312" s="148" t="n">
        <f aca="false">VALUE(IF($D312="táb",$C312,0))+VALUE(IF($H312="táb",$G312,0))</f>
        <v>0</v>
      </c>
      <c r="U312" s="148" t="n">
        <f aca="false">VALUE(IF($D312="oma",$C312,0))+VALUE(IF($H312="oma",$G312,0))</f>
        <v>0</v>
      </c>
      <c r="V312" s="148" t="n">
        <f aca="false">VALUE(IF($D312="ces",$C312,0))+VALUE(IF($H312="ces",$G312,0))</f>
        <v>0</v>
      </c>
      <c r="W312" s="148" t="n">
        <f aca="false">VALUE(IF($D312="poš",$C312,0))+VALUE(IF($H312="poš",$G312,0))</f>
        <v>0</v>
      </c>
      <c r="X312" s="148" t="n">
        <f aca="false">VALUE(IF($D312="tel",$C312,0))+VALUE(IF($H312="tel",$G312,0))</f>
        <v>0</v>
      </c>
      <c r="Y312" s="148" t="n">
        <f aca="false">VALUE(IF($D312="dop",$C312,0))+VALUE(IF($H312="dop",$G312,0))</f>
        <v>0</v>
      </c>
      <c r="Z312" s="148" t="n">
        <f aca="false">VALUE(IF($D312="nák",$C312,0))+VALUE(IF($H312="nák",$G312,0))</f>
        <v>0</v>
      </c>
      <c r="AA312" s="148" t="n">
        <f aca="false">VALUE(IF($D312="náj",$C312,0))+VALUE(IF($H312="náj",$G312,0))</f>
        <v>0</v>
      </c>
      <c r="AB312" s="148" t="n">
        <f aca="false">VALUE(IF($D312="půj",$C312,0))+VALUE(IF($H312="půj",$G312,0))</f>
        <v>0</v>
      </c>
      <c r="AC312" s="148" t="n">
        <f aca="false">VALUE(IF($D312="vst",$C312,0))+VALUE(IF($H312="vst",$G312,0))</f>
        <v>0</v>
      </c>
      <c r="AD312" s="148" t="n">
        <f aca="false">VALUE(IF($D312="kop",$C312,0))+VALUE(IF($H312="kop",$G312,0))</f>
        <v>0</v>
      </c>
      <c r="AE312" s="148" t="n">
        <f aca="false">VALUE(IF($D312="osl",$C312,0))+VALUE(IF($H312="osl",$G312,0))</f>
        <v>0</v>
      </c>
      <c r="AF312" s="148" t="n">
        <f aca="false">VALUE(IF($D312="vra",$C312,0))+VALUE(IF($H312="vra",$G312,0))</f>
        <v>0</v>
      </c>
      <c r="AG312" s="148" t="n">
        <f aca="false">VALUE(IF($D312="zho",$C312,0))+VALUE(IF($H312="zho",$G312,0))</f>
        <v>0</v>
      </c>
      <c r="AH312" s="148" t="n">
        <f aca="false">VALUE(IF($D312="zbú",$C312,0))+VALUE(IF($H312="zbú",$G312,0))</f>
        <v>0</v>
      </c>
      <c r="AI312" s="148" t="n">
        <f aca="false">VALUE(IF($D312="pří",$C312,0))+VALUE(IF($H312="pří",$G312,0))</f>
        <v>0</v>
      </c>
      <c r="AJ312" s="148" t="n">
        <f aca="false">VALUE(IF($D312="dot",$C312,0))+VALUE(IF($H312="dot",$G312,0))</f>
        <v>0</v>
      </c>
      <c r="AK312" s="148" t="n">
        <f aca="false">VALUE(IF($D312="opř",$C312,0))+VALUE(IF($H312="opř",$G312,0))</f>
        <v>0</v>
      </c>
      <c r="AL312" s="148" t="n">
        <f aca="false">SUM(P312:AK312)</f>
        <v>0</v>
      </c>
    </row>
    <row r="313" customFormat="false" ht="12.75" hidden="false" customHeight="false" outlineLevel="0" collapsed="false">
      <c r="P313" s="148" t="n">
        <f aca="false">VALUE(IF($D313="vyb",$C313,0))+VALUE(IF($H313="vyb",$G313,0))</f>
        <v>0</v>
      </c>
      <c r="Q313" s="148" t="n">
        <f aca="false">VALUE(IF($D313="mtv",$C313,0))+VALUE(IF($H313="mtv",$G313,0))</f>
        <v>0</v>
      </c>
      <c r="R313" s="148" t="n">
        <f aca="false">VALUE(IF($D313="mat",$C313,0))+VALUE(IF($H313="mat",$G313,0))</f>
        <v>0</v>
      </c>
      <c r="S313" s="148" t="n">
        <f aca="false">VALUE(IF($D313="pot",$C313,0))+VALUE(IF($H313="pot",$G313,0))</f>
        <v>0</v>
      </c>
      <c r="T313" s="148" t="n">
        <f aca="false">VALUE(IF($D313="táb",$C313,0))+VALUE(IF($H313="táb",$G313,0))</f>
        <v>0</v>
      </c>
      <c r="U313" s="148" t="n">
        <f aca="false">VALUE(IF($D313="oma",$C313,0))+VALUE(IF($H313="oma",$G313,0))</f>
        <v>0</v>
      </c>
      <c r="V313" s="148" t="n">
        <f aca="false">VALUE(IF($D313="ces",$C313,0))+VALUE(IF($H313="ces",$G313,0))</f>
        <v>0</v>
      </c>
      <c r="W313" s="148" t="n">
        <f aca="false">VALUE(IF($D313="poš",$C313,0))+VALUE(IF($H313="poš",$G313,0))</f>
        <v>0</v>
      </c>
      <c r="X313" s="148" t="n">
        <f aca="false">VALUE(IF($D313="tel",$C313,0))+VALUE(IF($H313="tel",$G313,0))</f>
        <v>0</v>
      </c>
      <c r="Y313" s="148" t="n">
        <f aca="false">VALUE(IF($D313="dop",$C313,0))+VALUE(IF($H313="dop",$G313,0))</f>
        <v>0</v>
      </c>
      <c r="Z313" s="148" t="n">
        <f aca="false">VALUE(IF($D313="nák",$C313,0))+VALUE(IF($H313="nák",$G313,0))</f>
        <v>0</v>
      </c>
      <c r="AA313" s="148" t="n">
        <f aca="false">VALUE(IF($D313="náj",$C313,0))+VALUE(IF($H313="náj",$G313,0))</f>
        <v>0</v>
      </c>
      <c r="AB313" s="148" t="n">
        <f aca="false">VALUE(IF($D313="půj",$C313,0))+VALUE(IF($H313="půj",$G313,0))</f>
        <v>0</v>
      </c>
      <c r="AC313" s="148" t="n">
        <f aca="false">VALUE(IF($D313="vst",$C313,0))+VALUE(IF($H313="vst",$G313,0))</f>
        <v>0</v>
      </c>
      <c r="AD313" s="148" t="n">
        <f aca="false">VALUE(IF($D313="kop",$C313,0))+VALUE(IF($H313="kop",$G313,0))</f>
        <v>0</v>
      </c>
      <c r="AE313" s="148" t="n">
        <f aca="false">VALUE(IF($D313="osl",$C313,0))+VALUE(IF($H313="osl",$G313,0))</f>
        <v>0</v>
      </c>
      <c r="AF313" s="148" t="n">
        <f aca="false">VALUE(IF($D313="vra",$C313,0))+VALUE(IF($H313="vra",$G313,0))</f>
        <v>0</v>
      </c>
      <c r="AG313" s="148" t="n">
        <f aca="false">VALUE(IF($D313="zho",$C313,0))+VALUE(IF($H313="zho",$G313,0))</f>
        <v>0</v>
      </c>
      <c r="AH313" s="148" t="n">
        <f aca="false">VALUE(IF($D313="zbú",$C313,0))+VALUE(IF($H313="zbú",$G313,0))</f>
        <v>0</v>
      </c>
      <c r="AI313" s="148" t="n">
        <f aca="false">VALUE(IF($D313="pří",$C313,0))+VALUE(IF($H313="pří",$G313,0))</f>
        <v>0</v>
      </c>
      <c r="AJ313" s="148" t="n">
        <f aca="false">VALUE(IF($D313="dot",$C313,0))+VALUE(IF($H313="dot",$G313,0))</f>
        <v>0</v>
      </c>
      <c r="AK313" s="148" t="n">
        <f aca="false">VALUE(IF($D313="opř",$C313,0))+VALUE(IF($H313="opř",$G313,0))</f>
        <v>0</v>
      </c>
      <c r="AL313" s="148" t="n">
        <f aca="false">SUM(P313:AK313)</f>
        <v>0</v>
      </c>
    </row>
    <row r="314" customFormat="false" ht="12.75" hidden="false" customHeight="false" outlineLevel="0" collapsed="false">
      <c r="P314" s="148" t="n">
        <f aca="false">VALUE(IF($D314="vyb",$C314,0))+VALUE(IF($H314="vyb",$G314,0))</f>
        <v>0</v>
      </c>
      <c r="Q314" s="148" t="n">
        <f aca="false">VALUE(IF($D314="mtv",$C314,0))+VALUE(IF($H314="mtv",$G314,0))</f>
        <v>0</v>
      </c>
      <c r="R314" s="148" t="n">
        <f aca="false">VALUE(IF($D314="mat",$C314,0))+VALUE(IF($H314="mat",$G314,0))</f>
        <v>0</v>
      </c>
      <c r="S314" s="148" t="n">
        <f aca="false">VALUE(IF($D314="pot",$C314,0))+VALUE(IF($H314="pot",$G314,0))</f>
        <v>0</v>
      </c>
      <c r="T314" s="148" t="n">
        <f aca="false">VALUE(IF($D314="táb",$C314,0))+VALUE(IF($H314="táb",$G314,0))</f>
        <v>0</v>
      </c>
      <c r="U314" s="148" t="n">
        <f aca="false">VALUE(IF($D314="oma",$C314,0))+VALUE(IF($H314="oma",$G314,0))</f>
        <v>0</v>
      </c>
      <c r="V314" s="148" t="n">
        <f aca="false">VALUE(IF($D314="ces",$C314,0))+VALUE(IF($H314="ces",$G314,0))</f>
        <v>0</v>
      </c>
      <c r="W314" s="148" t="n">
        <f aca="false">VALUE(IF($D314="poš",$C314,0))+VALUE(IF($H314="poš",$G314,0))</f>
        <v>0</v>
      </c>
      <c r="X314" s="148" t="n">
        <f aca="false">VALUE(IF($D314="tel",$C314,0))+VALUE(IF($H314="tel",$G314,0))</f>
        <v>0</v>
      </c>
      <c r="Y314" s="148" t="n">
        <f aca="false">VALUE(IF($D314="dop",$C314,0))+VALUE(IF($H314="dop",$G314,0))</f>
        <v>0</v>
      </c>
      <c r="Z314" s="148" t="n">
        <f aca="false">VALUE(IF($D314="nák",$C314,0))+VALUE(IF($H314="nák",$G314,0))</f>
        <v>0</v>
      </c>
      <c r="AA314" s="148" t="n">
        <f aca="false">VALUE(IF($D314="náj",$C314,0))+VALUE(IF($H314="náj",$G314,0))</f>
        <v>0</v>
      </c>
      <c r="AB314" s="148" t="n">
        <f aca="false">VALUE(IF($D314="půj",$C314,0))+VALUE(IF($H314="půj",$G314,0))</f>
        <v>0</v>
      </c>
      <c r="AC314" s="148" t="n">
        <f aca="false">VALUE(IF($D314="vst",$C314,0))+VALUE(IF($H314="vst",$G314,0))</f>
        <v>0</v>
      </c>
      <c r="AD314" s="148" t="n">
        <f aca="false">VALUE(IF($D314="kop",$C314,0))+VALUE(IF($H314="kop",$G314,0))</f>
        <v>0</v>
      </c>
      <c r="AE314" s="148" t="n">
        <f aca="false">VALUE(IF($D314="osl",$C314,0))+VALUE(IF($H314="osl",$G314,0))</f>
        <v>0</v>
      </c>
      <c r="AF314" s="148" t="n">
        <f aca="false">VALUE(IF($D314="vra",$C314,0))+VALUE(IF($H314="vra",$G314,0))</f>
        <v>0</v>
      </c>
      <c r="AG314" s="148" t="n">
        <f aca="false">VALUE(IF($D314="zho",$C314,0))+VALUE(IF($H314="zho",$G314,0))</f>
        <v>0</v>
      </c>
      <c r="AH314" s="148" t="n">
        <f aca="false">VALUE(IF($D314="zbú",$C314,0))+VALUE(IF($H314="zbú",$G314,0))</f>
        <v>0</v>
      </c>
      <c r="AI314" s="148" t="n">
        <f aca="false">VALUE(IF($D314="pří",$C314,0))+VALUE(IF($H314="pří",$G314,0))</f>
        <v>0</v>
      </c>
      <c r="AJ314" s="148" t="n">
        <f aca="false">VALUE(IF($D314="dot",$C314,0))+VALUE(IF($H314="dot",$G314,0))</f>
        <v>0</v>
      </c>
      <c r="AK314" s="148" t="n">
        <f aca="false">VALUE(IF($D314="opř",$C314,0))+VALUE(IF($H314="opř",$G314,0))</f>
        <v>0</v>
      </c>
      <c r="AL314" s="148" t="n">
        <f aca="false">SUM(P314:AK314)</f>
        <v>0</v>
      </c>
    </row>
    <row r="315" customFormat="false" ht="12.75" hidden="false" customHeight="false" outlineLevel="0" collapsed="false">
      <c r="P315" s="148" t="n">
        <f aca="false">VALUE(IF($D315="vyb",$C315,0))+VALUE(IF($H315="vyb",$G315,0))</f>
        <v>0</v>
      </c>
      <c r="Q315" s="148" t="n">
        <f aca="false">VALUE(IF($D315="mtv",$C315,0))+VALUE(IF($H315="mtv",$G315,0))</f>
        <v>0</v>
      </c>
      <c r="R315" s="148" t="n">
        <f aca="false">VALUE(IF($D315="mat",$C315,0))+VALUE(IF($H315="mat",$G315,0))</f>
        <v>0</v>
      </c>
      <c r="S315" s="148" t="n">
        <f aca="false">VALUE(IF($D315="pot",$C315,0))+VALUE(IF($H315="pot",$G315,0))</f>
        <v>0</v>
      </c>
      <c r="T315" s="148" t="n">
        <f aca="false">VALUE(IF($D315="táb",$C315,0))+VALUE(IF($H315="táb",$G315,0))</f>
        <v>0</v>
      </c>
      <c r="U315" s="148" t="n">
        <f aca="false">VALUE(IF($D315="oma",$C315,0))+VALUE(IF($H315="oma",$G315,0))</f>
        <v>0</v>
      </c>
      <c r="V315" s="148" t="n">
        <f aca="false">VALUE(IF($D315="ces",$C315,0))+VALUE(IF($H315="ces",$G315,0))</f>
        <v>0</v>
      </c>
      <c r="W315" s="148" t="n">
        <f aca="false">VALUE(IF($D315="poš",$C315,0))+VALUE(IF($H315="poš",$G315,0))</f>
        <v>0</v>
      </c>
      <c r="X315" s="148" t="n">
        <f aca="false">VALUE(IF($D315="tel",$C315,0))+VALUE(IF($H315="tel",$G315,0))</f>
        <v>0</v>
      </c>
      <c r="Y315" s="148" t="n">
        <f aca="false">VALUE(IF($D315="dop",$C315,0))+VALUE(IF($H315="dop",$G315,0))</f>
        <v>0</v>
      </c>
      <c r="Z315" s="148" t="n">
        <f aca="false">VALUE(IF($D315="nák",$C315,0))+VALUE(IF($H315="nák",$G315,0))</f>
        <v>0</v>
      </c>
      <c r="AA315" s="148" t="n">
        <f aca="false">VALUE(IF($D315="náj",$C315,0))+VALUE(IF($H315="náj",$G315,0))</f>
        <v>0</v>
      </c>
      <c r="AB315" s="148" t="n">
        <f aca="false">VALUE(IF($D315="půj",$C315,0))+VALUE(IF($H315="půj",$G315,0))</f>
        <v>0</v>
      </c>
      <c r="AC315" s="148" t="n">
        <f aca="false">VALUE(IF($D315="vst",$C315,0))+VALUE(IF($H315="vst",$G315,0))</f>
        <v>0</v>
      </c>
      <c r="AD315" s="148" t="n">
        <f aca="false">VALUE(IF($D315="kop",$C315,0))+VALUE(IF($H315="kop",$G315,0))</f>
        <v>0</v>
      </c>
      <c r="AE315" s="148" t="n">
        <f aca="false">VALUE(IF($D315="osl",$C315,0))+VALUE(IF($H315="osl",$G315,0))</f>
        <v>0</v>
      </c>
      <c r="AF315" s="148" t="n">
        <f aca="false">VALUE(IF($D315="vra",$C315,0))+VALUE(IF($H315="vra",$G315,0))</f>
        <v>0</v>
      </c>
      <c r="AG315" s="148" t="n">
        <f aca="false">VALUE(IF($D315="zho",$C315,0))+VALUE(IF($H315="zho",$G315,0))</f>
        <v>0</v>
      </c>
      <c r="AH315" s="148" t="n">
        <f aca="false">VALUE(IF($D315="zbú",$C315,0))+VALUE(IF($H315="zbú",$G315,0))</f>
        <v>0</v>
      </c>
      <c r="AI315" s="148" t="n">
        <f aca="false">VALUE(IF($D315="pří",$C315,0))+VALUE(IF($H315="pří",$G315,0))</f>
        <v>0</v>
      </c>
      <c r="AJ315" s="148" t="n">
        <f aca="false">VALUE(IF($D315="dot",$C315,0))+VALUE(IF($H315="dot",$G315,0))</f>
        <v>0</v>
      </c>
      <c r="AK315" s="148" t="n">
        <f aca="false">VALUE(IF($D315="opř",$C315,0))+VALUE(IF($H315="opř",$G315,0))</f>
        <v>0</v>
      </c>
      <c r="AL315" s="148" t="n">
        <f aca="false">SUM(P315:AK315)</f>
        <v>0</v>
      </c>
    </row>
    <row r="316" customFormat="false" ht="12.75" hidden="false" customHeight="false" outlineLevel="0" collapsed="false">
      <c r="P316" s="148" t="n">
        <f aca="false">VALUE(IF($D316="vyb",$C316,0))+VALUE(IF($H316="vyb",$G316,0))</f>
        <v>0</v>
      </c>
      <c r="Q316" s="148" t="n">
        <f aca="false">VALUE(IF($D316="mtv",$C316,0))+VALUE(IF($H316="mtv",$G316,0))</f>
        <v>0</v>
      </c>
      <c r="R316" s="148" t="n">
        <f aca="false">VALUE(IF($D316="mat",$C316,0))+VALUE(IF($H316="mat",$G316,0))</f>
        <v>0</v>
      </c>
      <c r="S316" s="148" t="n">
        <f aca="false">VALUE(IF($D316="pot",$C316,0))+VALUE(IF($H316="pot",$G316,0))</f>
        <v>0</v>
      </c>
      <c r="T316" s="148" t="n">
        <f aca="false">VALUE(IF($D316="táb",$C316,0))+VALUE(IF($H316="táb",$G316,0))</f>
        <v>0</v>
      </c>
      <c r="U316" s="148" t="n">
        <f aca="false">VALUE(IF($D316="oma",$C316,0))+VALUE(IF($H316="oma",$G316,0))</f>
        <v>0</v>
      </c>
      <c r="V316" s="148" t="n">
        <f aca="false">VALUE(IF($D316="ces",$C316,0))+VALUE(IF($H316="ces",$G316,0))</f>
        <v>0</v>
      </c>
      <c r="W316" s="148" t="n">
        <f aca="false">VALUE(IF($D316="poš",$C316,0))+VALUE(IF($H316="poš",$G316,0))</f>
        <v>0</v>
      </c>
      <c r="X316" s="148" t="n">
        <f aca="false">VALUE(IF($D316="tel",$C316,0))+VALUE(IF($H316="tel",$G316,0))</f>
        <v>0</v>
      </c>
      <c r="Y316" s="148" t="n">
        <f aca="false">VALUE(IF($D316="dop",$C316,0))+VALUE(IF($H316="dop",$G316,0))</f>
        <v>0</v>
      </c>
      <c r="Z316" s="148" t="n">
        <f aca="false">VALUE(IF($D316="nák",$C316,0))+VALUE(IF($H316="nák",$G316,0))</f>
        <v>0</v>
      </c>
      <c r="AA316" s="148" t="n">
        <f aca="false">VALUE(IF($D316="náj",$C316,0))+VALUE(IF($H316="náj",$G316,0))</f>
        <v>0</v>
      </c>
      <c r="AB316" s="148" t="n">
        <f aca="false">VALUE(IF($D316="půj",$C316,0))+VALUE(IF($H316="půj",$G316,0))</f>
        <v>0</v>
      </c>
      <c r="AC316" s="148" t="n">
        <f aca="false">VALUE(IF($D316="vst",$C316,0))+VALUE(IF($H316="vst",$G316,0))</f>
        <v>0</v>
      </c>
      <c r="AD316" s="148" t="n">
        <f aca="false">VALUE(IF($D316="kop",$C316,0))+VALUE(IF($H316="kop",$G316,0))</f>
        <v>0</v>
      </c>
      <c r="AE316" s="148" t="n">
        <f aca="false">VALUE(IF($D316="osl",$C316,0))+VALUE(IF($H316="osl",$G316,0))</f>
        <v>0</v>
      </c>
      <c r="AF316" s="148" t="n">
        <f aca="false">VALUE(IF($D316="vra",$C316,0))+VALUE(IF($H316="vra",$G316,0))</f>
        <v>0</v>
      </c>
      <c r="AG316" s="148" t="n">
        <f aca="false">VALUE(IF($D316="zho",$C316,0))+VALUE(IF($H316="zho",$G316,0))</f>
        <v>0</v>
      </c>
      <c r="AH316" s="148" t="n">
        <f aca="false">VALUE(IF($D316="zbú",$C316,0))+VALUE(IF($H316="zbú",$G316,0))</f>
        <v>0</v>
      </c>
      <c r="AI316" s="148" t="n">
        <f aca="false">VALUE(IF($D316="pří",$C316,0))+VALUE(IF($H316="pří",$G316,0))</f>
        <v>0</v>
      </c>
      <c r="AJ316" s="148" t="n">
        <f aca="false">VALUE(IF($D316="dot",$C316,0))+VALUE(IF($H316="dot",$G316,0))</f>
        <v>0</v>
      </c>
      <c r="AK316" s="148" t="n">
        <f aca="false">VALUE(IF($D316="opř",$C316,0))+VALUE(IF($H316="opř",$G316,0))</f>
        <v>0</v>
      </c>
      <c r="AL316" s="148" t="n">
        <f aca="false">SUM(P316:AK316)</f>
        <v>0</v>
      </c>
    </row>
    <row r="317" customFormat="false" ht="12.75" hidden="false" customHeight="false" outlineLevel="0" collapsed="false">
      <c r="P317" s="148" t="n">
        <f aca="false">VALUE(IF($D317="vyb",$C317,0))+VALUE(IF($H317="vyb",$G317,0))</f>
        <v>0</v>
      </c>
      <c r="Q317" s="148" t="n">
        <f aca="false">VALUE(IF($D317="mtv",$C317,0))+VALUE(IF($H317="mtv",$G317,0))</f>
        <v>0</v>
      </c>
      <c r="R317" s="148" t="n">
        <f aca="false">VALUE(IF($D317="mat",$C317,0))+VALUE(IF($H317="mat",$G317,0))</f>
        <v>0</v>
      </c>
      <c r="S317" s="148" t="n">
        <f aca="false">VALUE(IF($D317="pot",$C317,0))+VALUE(IF($H317="pot",$G317,0))</f>
        <v>0</v>
      </c>
      <c r="T317" s="148" t="n">
        <f aca="false">VALUE(IF($D317="táb",$C317,0))+VALUE(IF($H317="táb",$G317,0))</f>
        <v>0</v>
      </c>
      <c r="U317" s="148" t="n">
        <f aca="false">VALUE(IF($D317="oma",$C317,0))+VALUE(IF($H317="oma",$G317,0))</f>
        <v>0</v>
      </c>
      <c r="V317" s="148" t="n">
        <f aca="false">VALUE(IF($D317="ces",$C317,0))+VALUE(IF($H317="ces",$G317,0))</f>
        <v>0</v>
      </c>
      <c r="W317" s="148" t="n">
        <f aca="false">VALUE(IF($D317="poš",$C317,0))+VALUE(IF($H317="poš",$G317,0))</f>
        <v>0</v>
      </c>
      <c r="X317" s="148" t="n">
        <f aca="false">VALUE(IF($D317="tel",$C317,0))+VALUE(IF($H317="tel",$G317,0))</f>
        <v>0</v>
      </c>
      <c r="Y317" s="148" t="n">
        <f aca="false">VALUE(IF($D317="dop",$C317,0))+VALUE(IF($H317="dop",$G317,0))</f>
        <v>0</v>
      </c>
      <c r="Z317" s="148" t="n">
        <f aca="false">VALUE(IF($D317="nák",$C317,0))+VALUE(IF($H317="nák",$G317,0))</f>
        <v>0</v>
      </c>
      <c r="AA317" s="148" t="n">
        <f aca="false">VALUE(IF($D317="náj",$C317,0))+VALUE(IF($H317="náj",$G317,0))</f>
        <v>0</v>
      </c>
      <c r="AB317" s="148" t="n">
        <f aca="false">VALUE(IF($D317="půj",$C317,0))+VALUE(IF($H317="půj",$G317,0))</f>
        <v>0</v>
      </c>
      <c r="AC317" s="148" t="n">
        <f aca="false">VALUE(IF($D317="vst",$C317,0))+VALUE(IF($H317="vst",$G317,0))</f>
        <v>0</v>
      </c>
      <c r="AD317" s="148" t="n">
        <f aca="false">VALUE(IF($D317="kop",$C317,0))+VALUE(IF($H317="kop",$G317,0))</f>
        <v>0</v>
      </c>
      <c r="AE317" s="148" t="n">
        <f aca="false">VALUE(IF($D317="osl",$C317,0))+VALUE(IF($H317="osl",$G317,0))</f>
        <v>0</v>
      </c>
      <c r="AF317" s="148" t="n">
        <f aca="false">VALUE(IF($D317="vra",$C317,0))+VALUE(IF($H317="vra",$G317,0))</f>
        <v>0</v>
      </c>
      <c r="AG317" s="148" t="n">
        <f aca="false">VALUE(IF($D317="zho",$C317,0))+VALUE(IF($H317="zho",$G317,0))</f>
        <v>0</v>
      </c>
      <c r="AH317" s="148" t="n">
        <f aca="false">VALUE(IF($D317="zbú",$C317,0))+VALUE(IF($H317="zbú",$G317,0))</f>
        <v>0</v>
      </c>
      <c r="AI317" s="148" t="n">
        <f aca="false">VALUE(IF($D317="pří",$C317,0))+VALUE(IF($H317="pří",$G317,0))</f>
        <v>0</v>
      </c>
      <c r="AJ317" s="148" t="n">
        <f aca="false">VALUE(IF($D317="dot",$C317,0))+VALUE(IF($H317="dot",$G317,0))</f>
        <v>0</v>
      </c>
      <c r="AK317" s="148" t="n">
        <f aca="false">VALUE(IF($D317="opř",$C317,0))+VALUE(IF($H317="opř",$G317,0))</f>
        <v>0</v>
      </c>
      <c r="AL317" s="148" t="n">
        <f aca="false">SUM(P317:AK317)</f>
        <v>0</v>
      </c>
    </row>
    <row r="318" customFormat="false" ht="12.75" hidden="false" customHeight="false" outlineLevel="0" collapsed="false">
      <c r="P318" s="148" t="n">
        <f aca="false">VALUE(IF($D318="vyb",$C318,0))+VALUE(IF($H318="vyb",$G318,0))</f>
        <v>0</v>
      </c>
      <c r="Q318" s="148" t="n">
        <f aca="false">VALUE(IF($D318="mtv",$C318,0))+VALUE(IF($H318="mtv",$G318,0))</f>
        <v>0</v>
      </c>
      <c r="R318" s="148" t="n">
        <f aca="false">VALUE(IF($D318="mat",$C318,0))+VALUE(IF($H318="mat",$G318,0))</f>
        <v>0</v>
      </c>
      <c r="S318" s="148" t="n">
        <f aca="false">VALUE(IF($D318="pot",$C318,0))+VALUE(IF($H318="pot",$G318,0))</f>
        <v>0</v>
      </c>
      <c r="T318" s="148" t="n">
        <f aca="false">VALUE(IF($D318="táb",$C318,0))+VALUE(IF($H318="táb",$G318,0))</f>
        <v>0</v>
      </c>
      <c r="U318" s="148" t="n">
        <f aca="false">VALUE(IF($D318="oma",$C318,0))+VALUE(IF($H318="oma",$G318,0))</f>
        <v>0</v>
      </c>
      <c r="V318" s="148" t="n">
        <f aca="false">VALUE(IF($D318="ces",$C318,0))+VALUE(IF($H318="ces",$G318,0))</f>
        <v>0</v>
      </c>
      <c r="W318" s="148" t="n">
        <f aca="false">VALUE(IF($D318="poš",$C318,0))+VALUE(IF($H318="poš",$G318,0))</f>
        <v>0</v>
      </c>
      <c r="X318" s="148" t="n">
        <f aca="false">VALUE(IF($D318="tel",$C318,0))+VALUE(IF($H318="tel",$G318,0))</f>
        <v>0</v>
      </c>
      <c r="Y318" s="148" t="n">
        <f aca="false">VALUE(IF($D318="dop",$C318,0))+VALUE(IF($H318="dop",$G318,0))</f>
        <v>0</v>
      </c>
      <c r="Z318" s="148" t="n">
        <f aca="false">VALUE(IF($D318="nák",$C318,0))+VALUE(IF($H318="nák",$G318,0))</f>
        <v>0</v>
      </c>
      <c r="AA318" s="148" t="n">
        <f aca="false">VALUE(IF($D318="náj",$C318,0))+VALUE(IF($H318="náj",$G318,0))</f>
        <v>0</v>
      </c>
      <c r="AB318" s="148" t="n">
        <f aca="false">VALUE(IF($D318="půj",$C318,0))+VALUE(IF($H318="půj",$G318,0))</f>
        <v>0</v>
      </c>
      <c r="AC318" s="148" t="n">
        <f aca="false">VALUE(IF($D318="vst",$C318,0))+VALUE(IF($H318="vst",$G318,0))</f>
        <v>0</v>
      </c>
      <c r="AD318" s="148" t="n">
        <f aca="false">VALUE(IF($D318="kop",$C318,0))+VALUE(IF($H318="kop",$G318,0))</f>
        <v>0</v>
      </c>
      <c r="AE318" s="148" t="n">
        <f aca="false">VALUE(IF($D318="osl",$C318,0))+VALUE(IF($H318="osl",$G318,0))</f>
        <v>0</v>
      </c>
      <c r="AF318" s="148" t="n">
        <f aca="false">VALUE(IF($D318="vra",$C318,0))+VALUE(IF($H318="vra",$G318,0))</f>
        <v>0</v>
      </c>
      <c r="AG318" s="148" t="n">
        <f aca="false">VALUE(IF($D318="zho",$C318,0))+VALUE(IF($H318="zho",$G318,0))</f>
        <v>0</v>
      </c>
      <c r="AH318" s="148" t="n">
        <f aca="false">VALUE(IF($D318="zbú",$C318,0))+VALUE(IF($H318="zbú",$G318,0))</f>
        <v>0</v>
      </c>
      <c r="AI318" s="148" t="n">
        <f aca="false">VALUE(IF($D318="pří",$C318,0))+VALUE(IF($H318="pří",$G318,0))</f>
        <v>0</v>
      </c>
      <c r="AJ318" s="148" t="n">
        <f aca="false">VALUE(IF($D318="dot",$C318,0))+VALUE(IF($H318="dot",$G318,0))</f>
        <v>0</v>
      </c>
      <c r="AK318" s="148" t="n">
        <f aca="false">VALUE(IF($D318="opř",$C318,0))+VALUE(IF($H318="opř",$G318,0))</f>
        <v>0</v>
      </c>
      <c r="AL318" s="148" t="n">
        <f aca="false">SUM(P318:AK318)</f>
        <v>0</v>
      </c>
    </row>
    <row r="319" customFormat="false" ht="12.75" hidden="false" customHeight="false" outlineLevel="0" collapsed="false">
      <c r="P319" s="148" t="n">
        <f aca="false">VALUE(IF($D319="vyb",$C319,0))+VALUE(IF($H319="vyb",$G319,0))</f>
        <v>0</v>
      </c>
      <c r="Q319" s="148" t="n">
        <f aca="false">VALUE(IF($D319="mtv",$C319,0))+VALUE(IF($H319="mtv",$G319,0))</f>
        <v>0</v>
      </c>
      <c r="R319" s="148" t="n">
        <f aca="false">VALUE(IF($D319="mat",$C319,0))+VALUE(IF($H319="mat",$G319,0))</f>
        <v>0</v>
      </c>
      <c r="S319" s="148" t="n">
        <f aca="false">VALUE(IF($D319="pot",$C319,0))+VALUE(IF($H319="pot",$G319,0))</f>
        <v>0</v>
      </c>
      <c r="T319" s="148" t="n">
        <f aca="false">VALUE(IF($D319="táb",$C319,0))+VALUE(IF($H319="táb",$G319,0))</f>
        <v>0</v>
      </c>
      <c r="U319" s="148" t="n">
        <f aca="false">VALUE(IF($D319="oma",$C319,0))+VALUE(IF($H319="oma",$G319,0))</f>
        <v>0</v>
      </c>
      <c r="V319" s="148" t="n">
        <f aca="false">VALUE(IF($D319="ces",$C319,0))+VALUE(IF($H319="ces",$G319,0))</f>
        <v>0</v>
      </c>
      <c r="W319" s="148" t="n">
        <f aca="false">VALUE(IF($D319="poš",$C319,0))+VALUE(IF($H319="poš",$G319,0))</f>
        <v>0</v>
      </c>
      <c r="X319" s="148" t="n">
        <f aca="false">VALUE(IF($D319="tel",$C319,0))+VALUE(IF($H319="tel",$G319,0))</f>
        <v>0</v>
      </c>
      <c r="Y319" s="148" t="n">
        <f aca="false">VALUE(IF($D319="dop",$C319,0))+VALUE(IF($H319="dop",$G319,0))</f>
        <v>0</v>
      </c>
      <c r="Z319" s="148" t="n">
        <f aca="false">VALUE(IF($D319="nák",$C319,0))+VALUE(IF($H319="nák",$G319,0))</f>
        <v>0</v>
      </c>
      <c r="AA319" s="148" t="n">
        <f aca="false">VALUE(IF($D319="náj",$C319,0))+VALUE(IF($H319="náj",$G319,0))</f>
        <v>0</v>
      </c>
      <c r="AB319" s="148" t="n">
        <f aca="false">VALUE(IF($D319="půj",$C319,0))+VALUE(IF($H319="půj",$G319,0))</f>
        <v>0</v>
      </c>
      <c r="AC319" s="148" t="n">
        <f aca="false">VALUE(IF($D319="vst",$C319,0))+VALUE(IF($H319="vst",$G319,0))</f>
        <v>0</v>
      </c>
      <c r="AD319" s="148" t="n">
        <f aca="false">VALUE(IF($D319="kop",$C319,0))+VALUE(IF($H319="kop",$G319,0))</f>
        <v>0</v>
      </c>
      <c r="AE319" s="148" t="n">
        <f aca="false">VALUE(IF($D319="osl",$C319,0))+VALUE(IF($H319="osl",$G319,0))</f>
        <v>0</v>
      </c>
      <c r="AF319" s="148" t="n">
        <f aca="false">VALUE(IF($D319="vra",$C319,0))+VALUE(IF($H319="vra",$G319,0))</f>
        <v>0</v>
      </c>
      <c r="AG319" s="148" t="n">
        <f aca="false">VALUE(IF($D319="zho",$C319,0))+VALUE(IF($H319="zho",$G319,0))</f>
        <v>0</v>
      </c>
      <c r="AH319" s="148" t="n">
        <f aca="false">VALUE(IF($D319="zbú",$C319,0))+VALUE(IF($H319="zbú",$G319,0))</f>
        <v>0</v>
      </c>
      <c r="AI319" s="148" t="n">
        <f aca="false">VALUE(IF($D319="pří",$C319,0))+VALUE(IF($H319="pří",$G319,0))</f>
        <v>0</v>
      </c>
      <c r="AJ319" s="148" t="n">
        <f aca="false">VALUE(IF($D319="dot",$C319,0))+VALUE(IF($H319="dot",$G319,0))</f>
        <v>0</v>
      </c>
      <c r="AK319" s="148" t="n">
        <f aca="false">VALUE(IF($D319="opř",$C319,0))+VALUE(IF($H319="opř",$G319,0))</f>
        <v>0</v>
      </c>
      <c r="AL319" s="148" t="n">
        <f aca="false">SUM(P319:AK319)</f>
        <v>0</v>
      </c>
    </row>
    <row r="320" customFormat="false" ht="12.75" hidden="false" customHeight="false" outlineLevel="0" collapsed="false">
      <c r="P320" s="148" t="n">
        <f aca="false">VALUE(IF($D320="vyb",$C320,0))+VALUE(IF($H320="vyb",$G320,0))</f>
        <v>0</v>
      </c>
      <c r="Q320" s="148" t="n">
        <f aca="false">VALUE(IF($D320="mtv",$C320,0))+VALUE(IF($H320="mtv",$G320,0))</f>
        <v>0</v>
      </c>
      <c r="R320" s="148" t="n">
        <f aca="false">VALUE(IF($D320="mat",$C320,0))+VALUE(IF($H320="mat",$G320,0))</f>
        <v>0</v>
      </c>
      <c r="S320" s="148" t="n">
        <f aca="false">VALUE(IF($D320="pot",$C320,0))+VALUE(IF($H320="pot",$G320,0))</f>
        <v>0</v>
      </c>
      <c r="T320" s="148" t="n">
        <f aca="false">VALUE(IF($D320="táb",$C320,0))+VALUE(IF($H320="táb",$G320,0))</f>
        <v>0</v>
      </c>
      <c r="U320" s="148" t="n">
        <f aca="false">VALUE(IF($D320="oma",$C320,0))+VALUE(IF($H320="oma",$G320,0))</f>
        <v>0</v>
      </c>
      <c r="V320" s="148" t="n">
        <f aca="false">VALUE(IF($D320="ces",$C320,0))+VALUE(IF($H320="ces",$G320,0))</f>
        <v>0</v>
      </c>
      <c r="W320" s="148" t="n">
        <f aca="false">VALUE(IF($D320="poš",$C320,0))+VALUE(IF($H320="poš",$G320,0))</f>
        <v>0</v>
      </c>
      <c r="X320" s="148" t="n">
        <f aca="false">VALUE(IF($D320="tel",$C320,0))+VALUE(IF($H320="tel",$G320,0))</f>
        <v>0</v>
      </c>
      <c r="Y320" s="148" t="n">
        <f aca="false">VALUE(IF($D320="dop",$C320,0))+VALUE(IF($H320="dop",$G320,0))</f>
        <v>0</v>
      </c>
      <c r="Z320" s="148" t="n">
        <f aca="false">VALUE(IF($D320="nák",$C320,0))+VALUE(IF($H320="nák",$G320,0))</f>
        <v>0</v>
      </c>
      <c r="AA320" s="148" t="n">
        <f aca="false">VALUE(IF($D320="náj",$C320,0))+VALUE(IF($H320="náj",$G320,0))</f>
        <v>0</v>
      </c>
      <c r="AB320" s="148" t="n">
        <f aca="false">VALUE(IF($D320="půj",$C320,0))+VALUE(IF($H320="půj",$G320,0))</f>
        <v>0</v>
      </c>
      <c r="AC320" s="148" t="n">
        <f aca="false">VALUE(IF($D320="vst",$C320,0))+VALUE(IF($H320="vst",$G320,0))</f>
        <v>0</v>
      </c>
      <c r="AD320" s="148" t="n">
        <f aca="false">VALUE(IF($D320="kop",$C320,0))+VALUE(IF($H320="kop",$G320,0))</f>
        <v>0</v>
      </c>
      <c r="AE320" s="148" t="n">
        <f aca="false">VALUE(IF($D320="osl",$C320,0))+VALUE(IF($H320="osl",$G320,0))</f>
        <v>0</v>
      </c>
      <c r="AF320" s="148" t="n">
        <f aca="false">VALUE(IF($D320="vra",$C320,0))+VALUE(IF($H320="vra",$G320,0))</f>
        <v>0</v>
      </c>
      <c r="AG320" s="148" t="n">
        <f aca="false">VALUE(IF($D320="zho",$C320,0))+VALUE(IF($H320="zho",$G320,0))</f>
        <v>0</v>
      </c>
      <c r="AH320" s="148" t="n">
        <f aca="false">VALUE(IF($D320="zbú",$C320,0))+VALUE(IF($H320="zbú",$G320,0))</f>
        <v>0</v>
      </c>
      <c r="AI320" s="148" t="n">
        <f aca="false">VALUE(IF($D320="pří",$C320,0))+VALUE(IF($H320="pří",$G320,0))</f>
        <v>0</v>
      </c>
      <c r="AJ320" s="148" t="n">
        <f aca="false">VALUE(IF($D320="dot",$C320,0))+VALUE(IF($H320="dot",$G320,0))</f>
        <v>0</v>
      </c>
      <c r="AK320" s="148" t="n">
        <f aca="false">VALUE(IF($D320="opř",$C320,0))+VALUE(IF($H320="opř",$G320,0))</f>
        <v>0</v>
      </c>
      <c r="AL320" s="148" t="n">
        <f aca="false">SUM(P320:AK320)</f>
        <v>0</v>
      </c>
    </row>
    <row r="321" customFormat="false" ht="12.75" hidden="false" customHeight="false" outlineLevel="0" collapsed="false">
      <c r="P321" s="148" t="n">
        <f aca="false">VALUE(IF($D321="vyb",$C321,0))+VALUE(IF($H321="vyb",$G321,0))</f>
        <v>0</v>
      </c>
      <c r="Q321" s="148" t="n">
        <f aca="false">VALUE(IF($D321="mtv",$C321,0))+VALUE(IF($H321="mtv",$G321,0))</f>
        <v>0</v>
      </c>
      <c r="R321" s="148" t="n">
        <f aca="false">VALUE(IF($D321="mat",$C321,0))+VALUE(IF($H321="mat",$G321,0))</f>
        <v>0</v>
      </c>
      <c r="S321" s="148" t="n">
        <f aca="false">VALUE(IF($D321="pot",$C321,0))+VALUE(IF($H321="pot",$G321,0))</f>
        <v>0</v>
      </c>
      <c r="T321" s="148" t="n">
        <f aca="false">VALUE(IF($D321="táb",$C321,0))+VALUE(IF($H321="táb",$G321,0))</f>
        <v>0</v>
      </c>
      <c r="U321" s="148" t="n">
        <f aca="false">VALUE(IF($D321="oma",$C321,0))+VALUE(IF($H321="oma",$G321,0))</f>
        <v>0</v>
      </c>
      <c r="V321" s="148" t="n">
        <f aca="false">VALUE(IF($D321="ces",$C321,0))+VALUE(IF($H321="ces",$G321,0))</f>
        <v>0</v>
      </c>
      <c r="W321" s="148" t="n">
        <f aca="false">VALUE(IF($D321="poš",$C321,0))+VALUE(IF($H321="poš",$G321,0))</f>
        <v>0</v>
      </c>
      <c r="X321" s="148" t="n">
        <f aca="false">VALUE(IF($D321="tel",$C321,0))+VALUE(IF($H321="tel",$G321,0))</f>
        <v>0</v>
      </c>
      <c r="Y321" s="148" t="n">
        <f aca="false">VALUE(IF($D321="dop",$C321,0))+VALUE(IF($H321="dop",$G321,0))</f>
        <v>0</v>
      </c>
      <c r="Z321" s="148" t="n">
        <f aca="false">VALUE(IF($D321="nák",$C321,0))+VALUE(IF($H321="nák",$G321,0))</f>
        <v>0</v>
      </c>
      <c r="AA321" s="148" t="n">
        <f aca="false">VALUE(IF($D321="náj",$C321,0))+VALUE(IF($H321="náj",$G321,0))</f>
        <v>0</v>
      </c>
      <c r="AB321" s="148" t="n">
        <f aca="false">VALUE(IF($D321="půj",$C321,0))+VALUE(IF($H321="půj",$G321,0))</f>
        <v>0</v>
      </c>
      <c r="AC321" s="148" t="n">
        <f aca="false">VALUE(IF($D321="vst",$C321,0))+VALUE(IF($H321="vst",$G321,0))</f>
        <v>0</v>
      </c>
      <c r="AD321" s="148" t="n">
        <f aca="false">VALUE(IF($D321="kop",$C321,0))+VALUE(IF($H321="kop",$G321,0))</f>
        <v>0</v>
      </c>
      <c r="AE321" s="148" t="n">
        <f aca="false">VALUE(IF($D321="osl",$C321,0))+VALUE(IF($H321="osl",$G321,0))</f>
        <v>0</v>
      </c>
      <c r="AF321" s="148" t="n">
        <f aca="false">VALUE(IF($D321="vra",$C321,0))+VALUE(IF($H321="vra",$G321,0))</f>
        <v>0</v>
      </c>
      <c r="AG321" s="148" t="n">
        <f aca="false">VALUE(IF($D321="zho",$C321,0))+VALUE(IF($H321="zho",$G321,0))</f>
        <v>0</v>
      </c>
      <c r="AH321" s="148" t="n">
        <f aca="false">VALUE(IF($D321="zbú",$C321,0))+VALUE(IF($H321="zbú",$G321,0))</f>
        <v>0</v>
      </c>
      <c r="AI321" s="148" t="n">
        <f aca="false">VALUE(IF($D321="pří",$C321,0))+VALUE(IF($H321="pří",$G321,0))</f>
        <v>0</v>
      </c>
      <c r="AJ321" s="148" t="n">
        <f aca="false">VALUE(IF($D321="dot",$C321,0))+VALUE(IF($H321="dot",$G321,0))</f>
        <v>0</v>
      </c>
      <c r="AK321" s="148" t="n">
        <f aca="false">VALUE(IF($D321="opř",$C321,0))+VALUE(IF($H321="opř",$G321,0))</f>
        <v>0</v>
      </c>
      <c r="AL321" s="148" t="n">
        <f aca="false">SUM(P321:AK321)</f>
        <v>0</v>
      </c>
    </row>
    <row r="322" customFormat="false" ht="12.75" hidden="false" customHeight="false" outlineLevel="0" collapsed="false">
      <c r="P322" s="148" t="n">
        <f aca="false">VALUE(IF($D322="vyb",$C322,0))+VALUE(IF($H322="vyb",$G322,0))</f>
        <v>0</v>
      </c>
      <c r="Q322" s="148" t="n">
        <f aca="false">VALUE(IF($D322="mtv",$C322,0))+VALUE(IF($H322="mtv",$G322,0))</f>
        <v>0</v>
      </c>
      <c r="R322" s="148" t="n">
        <f aca="false">VALUE(IF($D322="mat",$C322,0))+VALUE(IF($H322="mat",$G322,0))</f>
        <v>0</v>
      </c>
      <c r="S322" s="148" t="n">
        <f aca="false">VALUE(IF($D322="pot",$C322,0))+VALUE(IF($H322="pot",$G322,0))</f>
        <v>0</v>
      </c>
      <c r="T322" s="148" t="n">
        <f aca="false">VALUE(IF($D322="táb",$C322,0))+VALUE(IF($H322="táb",$G322,0))</f>
        <v>0</v>
      </c>
      <c r="U322" s="148" t="n">
        <f aca="false">VALUE(IF($D322="oma",$C322,0))+VALUE(IF($H322="oma",$G322,0))</f>
        <v>0</v>
      </c>
      <c r="V322" s="148" t="n">
        <f aca="false">VALUE(IF($D322="ces",$C322,0))+VALUE(IF($H322="ces",$G322,0))</f>
        <v>0</v>
      </c>
      <c r="W322" s="148" t="n">
        <f aca="false">VALUE(IF($D322="poš",$C322,0))+VALUE(IF($H322="poš",$G322,0))</f>
        <v>0</v>
      </c>
      <c r="X322" s="148" t="n">
        <f aca="false">VALUE(IF($D322="tel",$C322,0))+VALUE(IF($H322="tel",$G322,0))</f>
        <v>0</v>
      </c>
      <c r="Y322" s="148" t="n">
        <f aca="false">VALUE(IF($D322="dop",$C322,0))+VALUE(IF($H322="dop",$G322,0))</f>
        <v>0</v>
      </c>
      <c r="Z322" s="148" t="n">
        <f aca="false">VALUE(IF($D322="nák",$C322,0))+VALUE(IF($H322="nák",$G322,0))</f>
        <v>0</v>
      </c>
      <c r="AA322" s="148" t="n">
        <f aca="false">VALUE(IF($D322="náj",$C322,0))+VALUE(IF($H322="náj",$G322,0))</f>
        <v>0</v>
      </c>
      <c r="AB322" s="148" t="n">
        <f aca="false">VALUE(IF($D322="půj",$C322,0))+VALUE(IF($H322="půj",$G322,0))</f>
        <v>0</v>
      </c>
      <c r="AC322" s="148" t="n">
        <f aca="false">VALUE(IF($D322="vst",$C322,0))+VALUE(IF($H322="vst",$G322,0))</f>
        <v>0</v>
      </c>
      <c r="AD322" s="148" t="n">
        <f aca="false">VALUE(IF($D322="kop",$C322,0))+VALUE(IF($H322="kop",$G322,0))</f>
        <v>0</v>
      </c>
      <c r="AE322" s="148" t="n">
        <f aca="false">VALUE(IF($D322="osl",$C322,0))+VALUE(IF($H322="osl",$G322,0))</f>
        <v>0</v>
      </c>
      <c r="AF322" s="148" t="n">
        <f aca="false">VALUE(IF($D322="vra",$C322,0))+VALUE(IF($H322="vra",$G322,0))</f>
        <v>0</v>
      </c>
      <c r="AG322" s="148" t="n">
        <f aca="false">VALUE(IF($D322="zho",$C322,0))+VALUE(IF($H322="zho",$G322,0))</f>
        <v>0</v>
      </c>
      <c r="AH322" s="148" t="n">
        <f aca="false">VALUE(IF($D322="zbú",$C322,0))+VALUE(IF($H322="zbú",$G322,0))</f>
        <v>0</v>
      </c>
      <c r="AI322" s="148" t="n">
        <f aca="false">VALUE(IF($D322="pří",$C322,0))+VALUE(IF($H322="pří",$G322,0))</f>
        <v>0</v>
      </c>
      <c r="AJ322" s="148" t="n">
        <f aca="false">VALUE(IF($D322="dot",$C322,0))+VALUE(IF($H322="dot",$G322,0))</f>
        <v>0</v>
      </c>
      <c r="AK322" s="148" t="n">
        <f aca="false">VALUE(IF($D322="opř",$C322,0))+VALUE(IF($H322="opř",$G322,0))</f>
        <v>0</v>
      </c>
      <c r="AL322" s="148" t="n">
        <f aca="false">SUM(P322:AK322)</f>
        <v>0</v>
      </c>
    </row>
    <row r="323" customFormat="false" ht="12.75" hidden="false" customHeight="false" outlineLevel="0" collapsed="false">
      <c r="P323" s="148" t="n">
        <f aca="false">VALUE(IF($D323="vyb",$C323,0))+VALUE(IF($H323="vyb",$G323,0))</f>
        <v>0</v>
      </c>
      <c r="Q323" s="148" t="n">
        <f aca="false">VALUE(IF($D323="mtv",$C323,0))+VALUE(IF($H323="mtv",$G323,0))</f>
        <v>0</v>
      </c>
      <c r="R323" s="148" t="n">
        <f aca="false">VALUE(IF($D323="mat",$C323,0))+VALUE(IF($H323="mat",$G323,0))</f>
        <v>0</v>
      </c>
      <c r="S323" s="148" t="n">
        <f aca="false">VALUE(IF($D323="pot",$C323,0))+VALUE(IF($H323="pot",$G323,0))</f>
        <v>0</v>
      </c>
      <c r="T323" s="148" t="n">
        <f aca="false">VALUE(IF($D323="táb",$C323,0))+VALUE(IF($H323="táb",$G323,0))</f>
        <v>0</v>
      </c>
      <c r="U323" s="148" t="n">
        <f aca="false">VALUE(IF($D323="oma",$C323,0))+VALUE(IF($H323="oma",$G323,0))</f>
        <v>0</v>
      </c>
      <c r="V323" s="148" t="n">
        <f aca="false">VALUE(IF($D323="ces",$C323,0))+VALUE(IF($H323="ces",$G323,0))</f>
        <v>0</v>
      </c>
      <c r="W323" s="148" t="n">
        <f aca="false">VALUE(IF($D323="poš",$C323,0))+VALUE(IF($H323="poš",$G323,0))</f>
        <v>0</v>
      </c>
      <c r="X323" s="148" t="n">
        <f aca="false">VALUE(IF($D323="tel",$C323,0))+VALUE(IF($H323="tel",$G323,0))</f>
        <v>0</v>
      </c>
      <c r="Y323" s="148" t="n">
        <f aca="false">VALUE(IF($D323="dop",$C323,0))+VALUE(IF($H323="dop",$G323,0))</f>
        <v>0</v>
      </c>
      <c r="Z323" s="148" t="n">
        <f aca="false">VALUE(IF($D323="nák",$C323,0))+VALUE(IF($H323="nák",$G323,0))</f>
        <v>0</v>
      </c>
      <c r="AA323" s="148" t="n">
        <f aca="false">VALUE(IF($D323="náj",$C323,0))+VALUE(IF($H323="náj",$G323,0))</f>
        <v>0</v>
      </c>
      <c r="AB323" s="148" t="n">
        <f aca="false">VALUE(IF($D323="půj",$C323,0))+VALUE(IF($H323="půj",$G323,0))</f>
        <v>0</v>
      </c>
      <c r="AC323" s="148" t="n">
        <f aca="false">VALUE(IF($D323="vst",$C323,0))+VALUE(IF($H323="vst",$G323,0))</f>
        <v>0</v>
      </c>
      <c r="AD323" s="148" t="n">
        <f aca="false">VALUE(IF($D323="kop",$C323,0))+VALUE(IF($H323="kop",$G323,0))</f>
        <v>0</v>
      </c>
      <c r="AE323" s="148" t="n">
        <f aca="false">VALUE(IF($D323="osl",$C323,0))+VALUE(IF($H323="osl",$G323,0))</f>
        <v>0</v>
      </c>
      <c r="AF323" s="148" t="n">
        <f aca="false">VALUE(IF($D323="vra",$C323,0))+VALUE(IF($H323="vra",$G323,0))</f>
        <v>0</v>
      </c>
      <c r="AG323" s="148" t="n">
        <f aca="false">VALUE(IF($D323="zho",$C323,0))+VALUE(IF($H323="zho",$G323,0))</f>
        <v>0</v>
      </c>
      <c r="AH323" s="148" t="n">
        <f aca="false">VALUE(IF($D323="zbú",$C323,0))+VALUE(IF($H323="zbú",$G323,0))</f>
        <v>0</v>
      </c>
      <c r="AI323" s="148" t="n">
        <f aca="false">VALUE(IF($D323="pří",$C323,0))+VALUE(IF($H323="pří",$G323,0))</f>
        <v>0</v>
      </c>
      <c r="AJ323" s="148" t="n">
        <f aca="false">VALUE(IF($D323="dot",$C323,0))+VALUE(IF($H323="dot",$G323,0))</f>
        <v>0</v>
      </c>
      <c r="AK323" s="148" t="n">
        <f aca="false">VALUE(IF($D323="opř",$C323,0))+VALUE(IF($H323="opř",$G323,0))</f>
        <v>0</v>
      </c>
      <c r="AL323" s="148" t="n">
        <f aca="false">SUM(P323:AK323)</f>
        <v>0</v>
      </c>
    </row>
    <row r="324" customFormat="false" ht="12.75" hidden="false" customHeight="false" outlineLevel="0" collapsed="false">
      <c r="P324" s="148" t="n">
        <f aca="false">VALUE(IF($D324="vyb",$C324,0))+VALUE(IF($H324="vyb",$G324,0))</f>
        <v>0</v>
      </c>
      <c r="Q324" s="148" t="n">
        <f aca="false">VALUE(IF($D324="mtv",$C324,0))+VALUE(IF($H324="mtv",$G324,0))</f>
        <v>0</v>
      </c>
      <c r="R324" s="148" t="n">
        <f aca="false">VALUE(IF($D324="mat",$C324,0))+VALUE(IF($H324="mat",$G324,0))</f>
        <v>0</v>
      </c>
      <c r="S324" s="148" t="n">
        <f aca="false">VALUE(IF($D324="pot",$C324,0))+VALUE(IF($H324="pot",$G324,0))</f>
        <v>0</v>
      </c>
      <c r="T324" s="148" t="n">
        <f aca="false">VALUE(IF($D324="táb",$C324,0))+VALUE(IF($H324="táb",$G324,0))</f>
        <v>0</v>
      </c>
      <c r="U324" s="148" t="n">
        <f aca="false">VALUE(IF($D324="oma",$C324,0))+VALUE(IF($H324="oma",$G324,0))</f>
        <v>0</v>
      </c>
      <c r="V324" s="148" t="n">
        <f aca="false">VALUE(IF($D324="ces",$C324,0))+VALUE(IF($H324="ces",$G324,0))</f>
        <v>0</v>
      </c>
      <c r="W324" s="148" t="n">
        <f aca="false">VALUE(IF($D324="poš",$C324,0))+VALUE(IF($H324="poš",$G324,0))</f>
        <v>0</v>
      </c>
      <c r="X324" s="148" t="n">
        <f aca="false">VALUE(IF($D324="tel",$C324,0))+VALUE(IF($H324="tel",$G324,0))</f>
        <v>0</v>
      </c>
      <c r="Y324" s="148" t="n">
        <f aca="false">VALUE(IF($D324="dop",$C324,0))+VALUE(IF($H324="dop",$G324,0))</f>
        <v>0</v>
      </c>
      <c r="Z324" s="148" t="n">
        <f aca="false">VALUE(IF($D324="nák",$C324,0))+VALUE(IF($H324="nák",$G324,0))</f>
        <v>0</v>
      </c>
      <c r="AA324" s="148" t="n">
        <f aca="false">VALUE(IF($D324="náj",$C324,0))+VALUE(IF($H324="náj",$G324,0))</f>
        <v>0</v>
      </c>
      <c r="AB324" s="148" t="n">
        <f aca="false">VALUE(IF($D324="půj",$C324,0))+VALUE(IF($H324="půj",$G324,0))</f>
        <v>0</v>
      </c>
      <c r="AC324" s="148" t="n">
        <f aca="false">VALUE(IF($D324="vst",$C324,0))+VALUE(IF($H324="vst",$G324,0))</f>
        <v>0</v>
      </c>
      <c r="AD324" s="148" t="n">
        <f aca="false">VALUE(IF($D324="kop",$C324,0))+VALUE(IF($H324="kop",$G324,0))</f>
        <v>0</v>
      </c>
      <c r="AE324" s="148" t="n">
        <f aca="false">VALUE(IF($D324="osl",$C324,0))+VALUE(IF($H324="osl",$G324,0))</f>
        <v>0</v>
      </c>
      <c r="AF324" s="148" t="n">
        <f aca="false">VALUE(IF($D324="vra",$C324,0))+VALUE(IF($H324="vra",$G324,0))</f>
        <v>0</v>
      </c>
      <c r="AG324" s="148" t="n">
        <f aca="false">VALUE(IF($D324="zho",$C324,0))+VALUE(IF($H324="zho",$G324,0))</f>
        <v>0</v>
      </c>
      <c r="AH324" s="148" t="n">
        <f aca="false">VALUE(IF($D324="zbú",$C324,0))+VALUE(IF($H324="zbú",$G324,0))</f>
        <v>0</v>
      </c>
      <c r="AI324" s="148" t="n">
        <f aca="false">VALUE(IF($D324="pří",$C324,0))+VALUE(IF($H324="pří",$G324,0))</f>
        <v>0</v>
      </c>
      <c r="AJ324" s="148" t="n">
        <f aca="false">VALUE(IF($D324="dot",$C324,0))+VALUE(IF($H324="dot",$G324,0))</f>
        <v>0</v>
      </c>
      <c r="AK324" s="148" t="n">
        <f aca="false">VALUE(IF($D324="opř",$C324,0))+VALUE(IF($H324="opř",$G324,0))</f>
        <v>0</v>
      </c>
      <c r="AL324" s="148" t="n">
        <f aca="false">SUM(P324:AK324)</f>
        <v>0</v>
      </c>
    </row>
    <row r="325" customFormat="false" ht="12.75" hidden="false" customHeight="false" outlineLevel="0" collapsed="false">
      <c r="P325" s="148" t="n">
        <f aca="false">VALUE(IF($D325="vyb",$C325,0))+VALUE(IF($H325="vyb",$G325,0))</f>
        <v>0</v>
      </c>
      <c r="Q325" s="148" t="n">
        <f aca="false">VALUE(IF($D325="mtv",$C325,0))+VALUE(IF($H325="mtv",$G325,0))</f>
        <v>0</v>
      </c>
      <c r="R325" s="148" t="n">
        <f aca="false">VALUE(IF($D325="mat",$C325,0))+VALUE(IF($H325="mat",$G325,0))</f>
        <v>0</v>
      </c>
      <c r="S325" s="148" t="n">
        <f aca="false">VALUE(IF($D325="pot",$C325,0))+VALUE(IF($H325="pot",$G325,0))</f>
        <v>0</v>
      </c>
      <c r="T325" s="148" t="n">
        <f aca="false">VALUE(IF($D325="táb",$C325,0))+VALUE(IF($H325="táb",$G325,0))</f>
        <v>0</v>
      </c>
      <c r="U325" s="148" t="n">
        <f aca="false">VALUE(IF($D325="oma",$C325,0))+VALUE(IF($H325="oma",$G325,0))</f>
        <v>0</v>
      </c>
      <c r="V325" s="148" t="n">
        <f aca="false">VALUE(IF($D325="ces",$C325,0))+VALUE(IF($H325="ces",$G325,0))</f>
        <v>0</v>
      </c>
      <c r="W325" s="148" t="n">
        <f aca="false">VALUE(IF($D325="poš",$C325,0))+VALUE(IF($H325="poš",$G325,0))</f>
        <v>0</v>
      </c>
      <c r="X325" s="148" t="n">
        <f aca="false">VALUE(IF($D325="tel",$C325,0))+VALUE(IF($H325="tel",$G325,0))</f>
        <v>0</v>
      </c>
      <c r="Y325" s="148" t="n">
        <f aca="false">VALUE(IF($D325="dop",$C325,0))+VALUE(IF($H325="dop",$G325,0))</f>
        <v>0</v>
      </c>
      <c r="Z325" s="148" t="n">
        <f aca="false">VALUE(IF($D325="nák",$C325,0))+VALUE(IF($H325="nák",$G325,0))</f>
        <v>0</v>
      </c>
      <c r="AA325" s="148" t="n">
        <f aca="false">VALUE(IF($D325="náj",$C325,0))+VALUE(IF($H325="náj",$G325,0))</f>
        <v>0</v>
      </c>
      <c r="AB325" s="148" t="n">
        <f aca="false">VALUE(IF($D325="půj",$C325,0))+VALUE(IF($H325="půj",$G325,0))</f>
        <v>0</v>
      </c>
      <c r="AC325" s="148" t="n">
        <f aca="false">VALUE(IF($D325="vst",$C325,0))+VALUE(IF($H325="vst",$G325,0))</f>
        <v>0</v>
      </c>
      <c r="AD325" s="148" t="n">
        <f aca="false">VALUE(IF($D325="kop",$C325,0))+VALUE(IF($H325="kop",$G325,0))</f>
        <v>0</v>
      </c>
      <c r="AE325" s="148" t="n">
        <f aca="false">VALUE(IF($D325="osl",$C325,0))+VALUE(IF($H325="osl",$G325,0))</f>
        <v>0</v>
      </c>
      <c r="AF325" s="148" t="n">
        <f aca="false">VALUE(IF($D325="vra",$C325,0))+VALUE(IF($H325="vra",$G325,0))</f>
        <v>0</v>
      </c>
      <c r="AG325" s="148" t="n">
        <f aca="false">VALUE(IF($D325="zho",$C325,0))+VALUE(IF($H325="zho",$G325,0))</f>
        <v>0</v>
      </c>
      <c r="AH325" s="148" t="n">
        <f aca="false">VALUE(IF($D325="zbú",$C325,0))+VALUE(IF($H325="zbú",$G325,0))</f>
        <v>0</v>
      </c>
      <c r="AI325" s="148" t="n">
        <f aca="false">VALUE(IF($D325="pří",$C325,0))+VALUE(IF($H325="pří",$G325,0))</f>
        <v>0</v>
      </c>
      <c r="AJ325" s="148" t="n">
        <f aca="false">VALUE(IF($D325="dot",$C325,0))+VALUE(IF($H325="dot",$G325,0))</f>
        <v>0</v>
      </c>
      <c r="AK325" s="148" t="n">
        <f aca="false">VALUE(IF($D325="opř",$C325,0))+VALUE(IF($H325="opř",$G325,0))</f>
        <v>0</v>
      </c>
      <c r="AL325" s="148" t="n">
        <f aca="false">SUM(P325:AK325)</f>
        <v>0</v>
      </c>
    </row>
    <row r="326" customFormat="false" ht="12.75" hidden="false" customHeight="false" outlineLevel="0" collapsed="false">
      <c r="P326" s="148" t="n">
        <f aca="false">VALUE(IF($D326="vyb",$C326,0))+VALUE(IF($H326="vyb",$G326,0))</f>
        <v>0</v>
      </c>
      <c r="Q326" s="148" t="n">
        <f aca="false">VALUE(IF($D326="mtv",$C326,0))+VALUE(IF($H326="mtv",$G326,0))</f>
        <v>0</v>
      </c>
      <c r="R326" s="148" t="n">
        <f aca="false">VALUE(IF($D326="mat",$C326,0))+VALUE(IF($H326="mat",$G326,0))</f>
        <v>0</v>
      </c>
      <c r="S326" s="148" t="n">
        <f aca="false">VALUE(IF($D326="pot",$C326,0))+VALUE(IF($H326="pot",$G326,0))</f>
        <v>0</v>
      </c>
      <c r="T326" s="148" t="n">
        <f aca="false">VALUE(IF($D326="táb",$C326,0))+VALUE(IF($H326="táb",$G326,0))</f>
        <v>0</v>
      </c>
      <c r="U326" s="148" t="n">
        <f aca="false">VALUE(IF($D326="oma",$C326,0))+VALUE(IF($H326="oma",$G326,0))</f>
        <v>0</v>
      </c>
      <c r="V326" s="148" t="n">
        <f aca="false">VALUE(IF($D326="ces",$C326,0))+VALUE(IF($H326="ces",$G326,0))</f>
        <v>0</v>
      </c>
      <c r="W326" s="148" t="n">
        <f aca="false">VALUE(IF($D326="poš",$C326,0))+VALUE(IF($H326="poš",$G326,0))</f>
        <v>0</v>
      </c>
      <c r="X326" s="148" t="n">
        <f aca="false">VALUE(IF($D326="tel",$C326,0))+VALUE(IF($H326="tel",$G326,0))</f>
        <v>0</v>
      </c>
      <c r="Y326" s="148" t="n">
        <f aca="false">VALUE(IF($D326="dop",$C326,0))+VALUE(IF($H326="dop",$G326,0))</f>
        <v>0</v>
      </c>
      <c r="Z326" s="148" t="n">
        <f aca="false">VALUE(IF($D326="nák",$C326,0))+VALUE(IF($H326="nák",$G326,0))</f>
        <v>0</v>
      </c>
      <c r="AA326" s="148" t="n">
        <f aca="false">VALUE(IF($D326="náj",$C326,0))+VALUE(IF($H326="náj",$G326,0))</f>
        <v>0</v>
      </c>
      <c r="AB326" s="148" t="n">
        <f aca="false">VALUE(IF($D326="půj",$C326,0))+VALUE(IF($H326="půj",$G326,0))</f>
        <v>0</v>
      </c>
      <c r="AC326" s="148" t="n">
        <f aca="false">VALUE(IF($D326="vst",$C326,0))+VALUE(IF($H326="vst",$G326,0))</f>
        <v>0</v>
      </c>
      <c r="AD326" s="148" t="n">
        <f aca="false">VALUE(IF($D326="kop",$C326,0))+VALUE(IF($H326="kop",$G326,0))</f>
        <v>0</v>
      </c>
      <c r="AE326" s="148" t="n">
        <f aca="false">VALUE(IF($D326="osl",$C326,0))+VALUE(IF($H326="osl",$G326,0))</f>
        <v>0</v>
      </c>
      <c r="AF326" s="148" t="n">
        <f aca="false">VALUE(IF($D326="vra",$C326,0))+VALUE(IF($H326="vra",$G326,0))</f>
        <v>0</v>
      </c>
      <c r="AG326" s="148" t="n">
        <f aca="false">VALUE(IF($D326="zho",$C326,0))+VALUE(IF($H326="zho",$G326,0))</f>
        <v>0</v>
      </c>
      <c r="AH326" s="148" t="n">
        <f aca="false">VALUE(IF($D326="zbú",$C326,0))+VALUE(IF($H326="zbú",$G326,0))</f>
        <v>0</v>
      </c>
      <c r="AI326" s="148" t="n">
        <f aca="false">VALUE(IF($D326="pří",$C326,0))+VALUE(IF($H326="pří",$G326,0))</f>
        <v>0</v>
      </c>
      <c r="AJ326" s="148" t="n">
        <f aca="false">VALUE(IF($D326="dot",$C326,0))+VALUE(IF($H326="dot",$G326,0))</f>
        <v>0</v>
      </c>
      <c r="AK326" s="148" t="n">
        <f aca="false">VALUE(IF($D326="opř",$C326,0))+VALUE(IF($H326="opř",$G326,0))</f>
        <v>0</v>
      </c>
      <c r="AL326" s="148" t="n">
        <f aca="false">SUM(P326:AK326)</f>
        <v>0</v>
      </c>
    </row>
    <row r="327" customFormat="false" ht="12.75" hidden="false" customHeight="false" outlineLevel="0" collapsed="false">
      <c r="P327" s="148" t="n">
        <f aca="false">VALUE(IF($D327="vyb",$C327,0))+VALUE(IF($H327="vyb",$G327,0))</f>
        <v>0</v>
      </c>
      <c r="Q327" s="148" t="n">
        <f aca="false">VALUE(IF($D327="mtv",$C327,0))+VALUE(IF($H327="mtv",$G327,0))</f>
        <v>0</v>
      </c>
      <c r="R327" s="148" t="n">
        <f aca="false">VALUE(IF($D327="mat",$C327,0))+VALUE(IF($H327="mat",$G327,0))</f>
        <v>0</v>
      </c>
      <c r="S327" s="148" t="n">
        <f aca="false">VALUE(IF($D327="pot",$C327,0))+VALUE(IF($H327="pot",$G327,0))</f>
        <v>0</v>
      </c>
      <c r="T327" s="148" t="n">
        <f aca="false">VALUE(IF($D327="táb",$C327,0))+VALUE(IF($H327="táb",$G327,0))</f>
        <v>0</v>
      </c>
      <c r="U327" s="148" t="n">
        <f aca="false">VALUE(IF($D327="oma",$C327,0))+VALUE(IF($H327="oma",$G327,0))</f>
        <v>0</v>
      </c>
      <c r="V327" s="148" t="n">
        <f aca="false">VALUE(IF($D327="ces",$C327,0))+VALUE(IF($H327="ces",$G327,0))</f>
        <v>0</v>
      </c>
      <c r="W327" s="148" t="n">
        <f aca="false">VALUE(IF($D327="poš",$C327,0))+VALUE(IF($H327="poš",$G327,0))</f>
        <v>0</v>
      </c>
      <c r="X327" s="148" t="n">
        <f aca="false">VALUE(IF($D327="tel",$C327,0))+VALUE(IF($H327="tel",$G327,0))</f>
        <v>0</v>
      </c>
      <c r="Y327" s="148" t="n">
        <f aca="false">VALUE(IF($D327="dop",$C327,0))+VALUE(IF($H327="dop",$G327,0))</f>
        <v>0</v>
      </c>
      <c r="Z327" s="148" t="n">
        <f aca="false">VALUE(IF($D327="nák",$C327,0))+VALUE(IF($H327="nák",$G327,0))</f>
        <v>0</v>
      </c>
      <c r="AA327" s="148" t="n">
        <f aca="false">VALUE(IF($D327="náj",$C327,0))+VALUE(IF($H327="náj",$G327,0))</f>
        <v>0</v>
      </c>
      <c r="AB327" s="148" t="n">
        <f aca="false">VALUE(IF($D327="půj",$C327,0))+VALUE(IF($H327="půj",$G327,0))</f>
        <v>0</v>
      </c>
      <c r="AC327" s="148" t="n">
        <f aca="false">VALUE(IF($D327="vst",$C327,0))+VALUE(IF($H327="vst",$G327,0))</f>
        <v>0</v>
      </c>
      <c r="AD327" s="148" t="n">
        <f aca="false">VALUE(IF($D327="kop",$C327,0))+VALUE(IF($H327="kop",$G327,0))</f>
        <v>0</v>
      </c>
      <c r="AE327" s="148" t="n">
        <f aca="false">VALUE(IF($D327="osl",$C327,0))+VALUE(IF($H327="osl",$G327,0))</f>
        <v>0</v>
      </c>
      <c r="AF327" s="148" t="n">
        <f aca="false">VALUE(IF($D327="vra",$C327,0))+VALUE(IF($H327="vra",$G327,0))</f>
        <v>0</v>
      </c>
      <c r="AG327" s="148" t="n">
        <f aca="false">VALUE(IF($D327="zho",$C327,0))+VALUE(IF($H327="zho",$G327,0))</f>
        <v>0</v>
      </c>
      <c r="AH327" s="148" t="n">
        <f aca="false">VALUE(IF($D327="zbú",$C327,0))+VALUE(IF($H327="zbú",$G327,0))</f>
        <v>0</v>
      </c>
      <c r="AI327" s="148" t="n">
        <f aca="false">VALUE(IF($D327="pří",$C327,0))+VALUE(IF($H327="pří",$G327,0))</f>
        <v>0</v>
      </c>
      <c r="AJ327" s="148" t="n">
        <f aca="false">VALUE(IF($D327="dot",$C327,0))+VALUE(IF($H327="dot",$G327,0))</f>
        <v>0</v>
      </c>
      <c r="AK327" s="148" t="n">
        <f aca="false">VALUE(IF($D327="opř",$C327,0))+VALUE(IF($H327="opř",$G327,0))</f>
        <v>0</v>
      </c>
      <c r="AL327" s="148" t="n">
        <f aca="false">SUM(P327:AK327)</f>
        <v>0</v>
      </c>
    </row>
    <row r="328" customFormat="false" ht="12.75" hidden="false" customHeight="false" outlineLevel="0" collapsed="false">
      <c r="P328" s="148" t="n">
        <f aca="false">VALUE(IF($D328="vyb",$C328,0))+VALUE(IF($H328="vyb",$G328,0))</f>
        <v>0</v>
      </c>
      <c r="Q328" s="148" t="n">
        <f aca="false">VALUE(IF($D328="mtv",$C328,0))+VALUE(IF($H328="mtv",$G328,0))</f>
        <v>0</v>
      </c>
      <c r="R328" s="148" t="n">
        <f aca="false">VALUE(IF($D328="mat",$C328,0))+VALUE(IF($H328="mat",$G328,0))</f>
        <v>0</v>
      </c>
      <c r="S328" s="148" t="n">
        <f aca="false">VALUE(IF($D328="pot",$C328,0))+VALUE(IF($H328="pot",$G328,0))</f>
        <v>0</v>
      </c>
      <c r="T328" s="148" t="n">
        <f aca="false">VALUE(IF($D328="táb",$C328,0))+VALUE(IF($H328="táb",$G328,0))</f>
        <v>0</v>
      </c>
      <c r="U328" s="148" t="n">
        <f aca="false">VALUE(IF($D328="oma",$C328,0))+VALUE(IF($H328="oma",$G328,0))</f>
        <v>0</v>
      </c>
      <c r="V328" s="148" t="n">
        <f aca="false">VALUE(IF($D328="ces",$C328,0))+VALUE(IF($H328="ces",$G328,0))</f>
        <v>0</v>
      </c>
      <c r="W328" s="148" t="n">
        <f aca="false">VALUE(IF($D328="poš",$C328,0))+VALUE(IF($H328="poš",$G328,0))</f>
        <v>0</v>
      </c>
      <c r="X328" s="148" t="n">
        <f aca="false">VALUE(IF($D328="tel",$C328,0))+VALUE(IF($H328="tel",$G328,0))</f>
        <v>0</v>
      </c>
      <c r="Y328" s="148" t="n">
        <f aca="false">VALUE(IF($D328="dop",$C328,0))+VALUE(IF($H328="dop",$G328,0))</f>
        <v>0</v>
      </c>
      <c r="Z328" s="148" t="n">
        <f aca="false">VALUE(IF($D328="nák",$C328,0))+VALUE(IF($H328="nák",$G328,0))</f>
        <v>0</v>
      </c>
      <c r="AA328" s="148" t="n">
        <f aca="false">VALUE(IF($D328="náj",$C328,0))+VALUE(IF($H328="náj",$G328,0))</f>
        <v>0</v>
      </c>
      <c r="AB328" s="148" t="n">
        <f aca="false">VALUE(IF($D328="půj",$C328,0))+VALUE(IF($H328="půj",$G328,0))</f>
        <v>0</v>
      </c>
      <c r="AC328" s="148" t="n">
        <f aca="false">VALUE(IF($D328="vst",$C328,0))+VALUE(IF($H328="vst",$G328,0))</f>
        <v>0</v>
      </c>
      <c r="AD328" s="148" t="n">
        <f aca="false">VALUE(IF($D328="kop",$C328,0))+VALUE(IF($H328="kop",$G328,0))</f>
        <v>0</v>
      </c>
      <c r="AE328" s="148" t="n">
        <f aca="false">VALUE(IF($D328="osl",$C328,0))+VALUE(IF($H328="osl",$G328,0))</f>
        <v>0</v>
      </c>
      <c r="AF328" s="148" t="n">
        <f aca="false">VALUE(IF($D328="vra",$C328,0))+VALUE(IF($H328="vra",$G328,0))</f>
        <v>0</v>
      </c>
      <c r="AG328" s="148" t="n">
        <f aca="false">VALUE(IF($D328="zho",$C328,0))+VALUE(IF($H328="zho",$G328,0))</f>
        <v>0</v>
      </c>
      <c r="AH328" s="148" t="n">
        <f aca="false">VALUE(IF($D328="zbú",$C328,0))+VALUE(IF($H328="zbú",$G328,0))</f>
        <v>0</v>
      </c>
      <c r="AI328" s="148" t="n">
        <f aca="false">VALUE(IF($D328="pří",$C328,0))+VALUE(IF($H328="pří",$G328,0))</f>
        <v>0</v>
      </c>
      <c r="AJ328" s="148" t="n">
        <f aca="false">VALUE(IF($D328="dot",$C328,0))+VALUE(IF($H328="dot",$G328,0))</f>
        <v>0</v>
      </c>
      <c r="AK328" s="148" t="n">
        <f aca="false">VALUE(IF($D328="opř",$C328,0))+VALUE(IF($H328="opř",$G328,0))</f>
        <v>0</v>
      </c>
      <c r="AL328" s="148" t="n">
        <f aca="false">SUM(P328:AK328)</f>
        <v>0</v>
      </c>
    </row>
    <row r="329" customFormat="false" ht="12.75" hidden="false" customHeight="false" outlineLevel="0" collapsed="false">
      <c r="P329" s="148" t="n">
        <f aca="false">VALUE(IF($D329="vyb",$C329,0))+VALUE(IF($H329="vyb",$G329,0))</f>
        <v>0</v>
      </c>
      <c r="Q329" s="148" t="n">
        <f aca="false">VALUE(IF($D329="mtv",$C329,0))+VALUE(IF($H329="mtv",$G329,0))</f>
        <v>0</v>
      </c>
      <c r="R329" s="148" t="n">
        <f aca="false">VALUE(IF($D329="mat",$C329,0))+VALUE(IF($H329="mat",$G329,0))</f>
        <v>0</v>
      </c>
      <c r="S329" s="148" t="n">
        <f aca="false">VALUE(IF($D329="pot",$C329,0))+VALUE(IF($H329="pot",$G329,0))</f>
        <v>0</v>
      </c>
      <c r="T329" s="148" t="n">
        <f aca="false">VALUE(IF($D329="táb",$C329,0))+VALUE(IF($H329="táb",$G329,0))</f>
        <v>0</v>
      </c>
      <c r="U329" s="148" t="n">
        <f aca="false">VALUE(IF($D329="oma",$C329,0))+VALUE(IF($H329="oma",$G329,0))</f>
        <v>0</v>
      </c>
      <c r="V329" s="148" t="n">
        <f aca="false">VALUE(IF($D329="ces",$C329,0))+VALUE(IF($H329="ces",$G329,0))</f>
        <v>0</v>
      </c>
      <c r="W329" s="148" t="n">
        <f aca="false">VALUE(IF($D329="poš",$C329,0))+VALUE(IF($H329="poš",$G329,0))</f>
        <v>0</v>
      </c>
      <c r="X329" s="148" t="n">
        <f aca="false">VALUE(IF($D329="tel",$C329,0))+VALUE(IF($H329="tel",$G329,0))</f>
        <v>0</v>
      </c>
      <c r="Y329" s="148" t="n">
        <f aca="false">VALUE(IF($D329="dop",$C329,0))+VALUE(IF($H329="dop",$G329,0))</f>
        <v>0</v>
      </c>
      <c r="Z329" s="148" t="n">
        <f aca="false">VALUE(IF($D329="nák",$C329,0))+VALUE(IF($H329="nák",$G329,0))</f>
        <v>0</v>
      </c>
      <c r="AA329" s="148" t="n">
        <f aca="false">VALUE(IF($D329="náj",$C329,0))+VALUE(IF($H329="náj",$G329,0))</f>
        <v>0</v>
      </c>
      <c r="AB329" s="148" t="n">
        <f aca="false">VALUE(IF($D329="půj",$C329,0))+VALUE(IF($H329="půj",$G329,0))</f>
        <v>0</v>
      </c>
      <c r="AC329" s="148" t="n">
        <f aca="false">VALUE(IF($D329="vst",$C329,0))+VALUE(IF($H329="vst",$G329,0))</f>
        <v>0</v>
      </c>
      <c r="AD329" s="148" t="n">
        <f aca="false">VALUE(IF($D329="kop",$C329,0))+VALUE(IF($H329="kop",$G329,0))</f>
        <v>0</v>
      </c>
      <c r="AE329" s="148" t="n">
        <f aca="false">VALUE(IF($D329="osl",$C329,0))+VALUE(IF($H329="osl",$G329,0))</f>
        <v>0</v>
      </c>
      <c r="AF329" s="148" t="n">
        <f aca="false">VALUE(IF($D329="vra",$C329,0))+VALUE(IF($H329="vra",$G329,0))</f>
        <v>0</v>
      </c>
      <c r="AG329" s="148" t="n">
        <f aca="false">VALUE(IF($D329="zho",$C329,0))+VALUE(IF($H329="zho",$G329,0))</f>
        <v>0</v>
      </c>
      <c r="AH329" s="148" t="n">
        <f aca="false">VALUE(IF($D329="zbú",$C329,0))+VALUE(IF($H329="zbú",$G329,0))</f>
        <v>0</v>
      </c>
      <c r="AI329" s="148" t="n">
        <f aca="false">VALUE(IF($D329="pří",$C329,0))+VALUE(IF($H329="pří",$G329,0))</f>
        <v>0</v>
      </c>
      <c r="AJ329" s="148" t="n">
        <f aca="false">VALUE(IF($D329="dot",$C329,0))+VALUE(IF($H329="dot",$G329,0))</f>
        <v>0</v>
      </c>
      <c r="AK329" s="148" t="n">
        <f aca="false">VALUE(IF($D329="opř",$C329,0))+VALUE(IF($H329="opř",$G329,0))</f>
        <v>0</v>
      </c>
      <c r="AL329" s="148" t="n">
        <f aca="false">SUM(P329:AK329)</f>
        <v>0</v>
      </c>
    </row>
    <row r="330" customFormat="false" ht="12.75" hidden="false" customHeight="false" outlineLevel="0" collapsed="false">
      <c r="P330" s="148" t="n">
        <f aca="false">VALUE(IF($D330="vyb",$C330,0))+VALUE(IF($H330="vyb",$G330,0))</f>
        <v>0</v>
      </c>
      <c r="Q330" s="148" t="n">
        <f aca="false">VALUE(IF($D330="mtv",$C330,0))+VALUE(IF($H330="mtv",$G330,0))</f>
        <v>0</v>
      </c>
      <c r="R330" s="148" t="n">
        <f aca="false">VALUE(IF($D330="mat",$C330,0))+VALUE(IF($H330="mat",$G330,0))</f>
        <v>0</v>
      </c>
      <c r="S330" s="148" t="n">
        <f aca="false">VALUE(IF($D330="pot",$C330,0))+VALUE(IF($H330="pot",$G330,0))</f>
        <v>0</v>
      </c>
      <c r="T330" s="148" t="n">
        <f aca="false">VALUE(IF($D330="táb",$C330,0))+VALUE(IF($H330="táb",$G330,0))</f>
        <v>0</v>
      </c>
      <c r="U330" s="148" t="n">
        <f aca="false">VALUE(IF($D330="oma",$C330,0))+VALUE(IF($H330="oma",$G330,0))</f>
        <v>0</v>
      </c>
      <c r="V330" s="148" t="n">
        <f aca="false">VALUE(IF($D330="ces",$C330,0))+VALUE(IF($H330="ces",$G330,0))</f>
        <v>0</v>
      </c>
      <c r="W330" s="148" t="n">
        <f aca="false">VALUE(IF($D330="poš",$C330,0))+VALUE(IF($H330="poš",$G330,0))</f>
        <v>0</v>
      </c>
      <c r="X330" s="148" t="n">
        <f aca="false">VALUE(IF($D330="tel",$C330,0))+VALUE(IF($H330="tel",$G330,0))</f>
        <v>0</v>
      </c>
      <c r="Y330" s="148" t="n">
        <f aca="false">VALUE(IF($D330="dop",$C330,0))+VALUE(IF($H330="dop",$G330,0))</f>
        <v>0</v>
      </c>
      <c r="Z330" s="148" t="n">
        <f aca="false">VALUE(IF($D330="nák",$C330,0))+VALUE(IF($H330="nák",$G330,0))</f>
        <v>0</v>
      </c>
      <c r="AA330" s="148" t="n">
        <f aca="false">VALUE(IF($D330="náj",$C330,0))+VALUE(IF($H330="náj",$G330,0))</f>
        <v>0</v>
      </c>
      <c r="AB330" s="148" t="n">
        <f aca="false">VALUE(IF($D330="půj",$C330,0))+VALUE(IF($H330="půj",$G330,0))</f>
        <v>0</v>
      </c>
      <c r="AC330" s="148" t="n">
        <f aca="false">VALUE(IF($D330="vst",$C330,0))+VALUE(IF($H330="vst",$G330,0))</f>
        <v>0</v>
      </c>
      <c r="AD330" s="148" t="n">
        <f aca="false">VALUE(IF($D330="kop",$C330,0))+VALUE(IF($H330="kop",$G330,0))</f>
        <v>0</v>
      </c>
      <c r="AE330" s="148" t="n">
        <f aca="false">VALUE(IF($D330="osl",$C330,0))+VALUE(IF($H330="osl",$G330,0))</f>
        <v>0</v>
      </c>
      <c r="AF330" s="148" t="n">
        <f aca="false">VALUE(IF($D330="vra",$C330,0))+VALUE(IF($H330="vra",$G330,0))</f>
        <v>0</v>
      </c>
      <c r="AG330" s="148" t="n">
        <f aca="false">VALUE(IF($D330="zho",$C330,0))+VALUE(IF($H330="zho",$G330,0))</f>
        <v>0</v>
      </c>
      <c r="AH330" s="148" t="n">
        <f aca="false">VALUE(IF($D330="zbú",$C330,0))+VALUE(IF($H330="zbú",$G330,0))</f>
        <v>0</v>
      </c>
      <c r="AI330" s="148" t="n">
        <f aca="false">VALUE(IF($D330="pří",$C330,0))+VALUE(IF($H330="pří",$G330,0))</f>
        <v>0</v>
      </c>
      <c r="AJ330" s="148" t="n">
        <f aca="false">VALUE(IF($D330="dot",$C330,0))+VALUE(IF($H330="dot",$G330,0))</f>
        <v>0</v>
      </c>
      <c r="AK330" s="148" t="n">
        <f aca="false">VALUE(IF($D330="opř",$C330,0))+VALUE(IF($H330="opř",$G330,0))</f>
        <v>0</v>
      </c>
      <c r="AL330" s="148" t="n">
        <f aca="false">SUM(P330:AK330)</f>
        <v>0</v>
      </c>
    </row>
    <row r="331" customFormat="false" ht="12.75" hidden="false" customHeight="false" outlineLevel="0" collapsed="false">
      <c r="P331" s="148" t="n">
        <f aca="false">VALUE(IF($D331="vyb",$C331,0))+VALUE(IF($H331="vyb",$G331,0))</f>
        <v>0</v>
      </c>
      <c r="Q331" s="148" t="n">
        <f aca="false">VALUE(IF($D331="mtv",$C331,0))+VALUE(IF($H331="mtv",$G331,0))</f>
        <v>0</v>
      </c>
      <c r="R331" s="148" t="n">
        <f aca="false">VALUE(IF($D331="mat",$C331,0))+VALUE(IF($H331="mat",$G331,0))</f>
        <v>0</v>
      </c>
      <c r="S331" s="148" t="n">
        <f aca="false">VALUE(IF($D331="pot",$C331,0))+VALUE(IF($H331="pot",$G331,0))</f>
        <v>0</v>
      </c>
      <c r="T331" s="148" t="n">
        <f aca="false">VALUE(IF($D331="táb",$C331,0))+VALUE(IF($H331="táb",$G331,0))</f>
        <v>0</v>
      </c>
      <c r="U331" s="148" t="n">
        <f aca="false">VALUE(IF($D331="oma",$C331,0))+VALUE(IF($H331="oma",$G331,0))</f>
        <v>0</v>
      </c>
      <c r="V331" s="148" t="n">
        <f aca="false">VALUE(IF($D331="ces",$C331,0))+VALUE(IF($H331="ces",$G331,0))</f>
        <v>0</v>
      </c>
      <c r="W331" s="148" t="n">
        <f aca="false">VALUE(IF($D331="poš",$C331,0))+VALUE(IF($H331="poš",$G331,0))</f>
        <v>0</v>
      </c>
      <c r="X331" s="148" t="n">
        <f aca="false">VALUE(IF($D331="tel",$C331,0))+VALUE(IF($H331="tel",$G331,0))</f>
        <v>0</v>
      </c>
      <c r="Y331" s="148" t="n">
        <f aca="false">VALUE(IF($D331="dop",$C331,0))+VALUE(IF($H331="dop",$G331,0))</f>
        <v>0</v>
      </c>
      <c r="Z331" s="148" t="n">
        <f aca="false">VALUE(IF($D331="nák",$C331,0))+VALUE(IF($H331="nák",$G331,0))</f>
        <v>0</v>
      </c>
      <c r="AA331" s="148" t="n">
        <f aca="false">VALUE(IF($D331="náj",$C331,0))+VALUE(IF($H331="náj",$G331,0))</f>
        <v>0</v>
      </c>
      <c r="AB331" s="148" t="n">
        <f aca="false">VALUE(IF($D331="půj",$C331,0))+VALUE(IF($H331="půj",$G331,0))</f>
        <v>0</v>
      </c>
      <c r="AC331" s="148" t="n">
        <f aca="false">VALUE(IF($D331="vst",$C331,0))+VALUE(IF($H331="vst",$G331,0))</f>
        <v>0</v>
      </c>
      <c r="AD331" s="148" t="n">
        <f aca="false">VALUE(IF($D331="kop",$C331,0))+VALUE(IF($H331="kop",$G331,0))</f>
        <v>0</v>
      </c>
      <c r="AE331" s="148" t="n">
        <f aca="false">VALUE(IF($D331="osl",$C331,0))+VALUE(IF($H331="osl",$G331,0))</f>
        <v>0</v>
      </c>
      <c r="AF331" s="148" t="n">
        <f aca="false">VALUE(IF($D331="vra",$C331,0))+VALUE(IF($H331="vra",$G331,0))</f>
        <v>0</v>
      </c>
      <c r="AG331" s="148" t="n">
        <f aca="false">VALUE(IF($D331="zho",$C331,0))+VALUE(IF($H331="zho",$G331,0))</f>
        <v>0</v>
      </c>
      <c r="AH331" s="148" t="n">
        <f aca="false">VALUE(IF($D331="zbú",$C331,0))+VALUE(IF($H331="zbú",$G331,0))</f>
        <v>0</v>
      </c>
      <c r="AI331" s="148" t="n">
        <f aca="false">VALUE(IF($D331="pří",$C331,0))+VALUE(IF($H331="pří",$G331,0))</f>
        <v>0</v>
      </c>
      <c r="AJ331" s="148" t="n">
        <f aca="false">VALUE(IF($D331="dot",$C331,0))+VALUE(IF($H331="dot",$G331,0))</f>
        <v>0</v>
      </c>
      <c r="AK331" s="148" t="n">
        <f aca="false">VALUE(IF($D331="opř",$C331,0))+VALUE(IF($H331="opř",$G331,0))</f>
        <v>0</v>
      </c>
      <c r="AL331" s="148" t="n">
        <f aca="false">SUM(P331:AK331)</f>
        <v>0</v>
      </c>
    </row>
    <row r="332" customFormat="false" ht="12.75" hidden="false" customHeight="false" outlineLevel="0" collapsed="false">
      <c r="P332" s="148" t="n">
        <f aca="false">VALUE(IF($D332="vyb",$C332,0))+VALUE(IF($H332="vyb",$G332,0))</f>
        <v>0</v>
      </c>
      <c r="Q332" s="148" t="n">
        <f aca="false">VALUE(IF($D332="mtv",$C332,0))+VALUE(IF($H332="mtv",$G332,0))</f>
        <v>0</v>
      </c>
      <c r="R332" s="148" t="n">
        <f aca="false">VALUE(IF($D332="mat",$C332,0))+VALUE(IF($H332="mat",$G332,0))</f>
        <v>0</v>
      </c>
      <c r="S332" s="148" t="n">
        <f aca="false">VALUE(IF($D332="pot",$C332,0))+VALUE(IF($H332="pot",$G332,0))</f>
        <v>0</v>
      </c>
      <c r="T332" s="148" t="n">
        <f aca="false">VALUE(IF($D332="táb",$C332,0))+VALUE(IF($H332="táb",$G332,0))</f>
        <v>0</v>
      </c>
      <c r="U332" s="148" t="n">
        <f aca="false">VALUE(IF($D332="oma",$C332,0))+VALUE(IF($H332="oma",$G332,0))</f>
        <v>0</v>
      </c>
      <c r="V332" s="148" t="n">
        <f aca="false">VALUE(IF($D332="ces",$C332,0))+VALUE(IF($H332="ces",$G332,0))</f>
        <v>0</v>
      </c>
      <c r="W332" s="148" t="n">
        <f aca="false">VALUE(IF($D332="poš",$C332,0))+VALUE(IF($H332="poš",$G332,0))</f>
        <v>0</v>
      </c>
      <c r="X332" s="148" t="n">
        <f aca="false">VALUE(IF($D332="tel",$C332,0))+VALUE(IF($H332="tel",$G332,0))</f>
        <v>0</v>
      </c>
      <c r="Y332" s="148" t="n">
        <f aca="false">VALUE(IF($D332="dop",$C332,0))+VALUE(IF($H332="dop",$G332,0))</f>
        <v>0</v>
      </c>
      <c r="Z332" s="148" t="n">
        <f aca="false">VALUE(IF($D332="nák",$C332,0))+VALUE(IF($H332="nák",$G332,0))</f>
        <v>0</v>
      </c>
      <c r="AA332" s="148" t="n">
        <f aca="false">VALUE(IF($D332="náj",$C332,0))+VALUE(IF($H332="náj",$G332,0))</f>
        <v>0</v>
      </c>
      <c r="AB332" s="148" t="n">
        <f aca="false">VALUE(IF($D332="půj",$C332,0))+VALUE(IF($H332="půj",$G332,0))</f>
        <v>0</v>
      </c>
      <c r="AC332" s="148" t="n">
        <f aca="false">VALUE(IF($D332="vst",$C332,0))+VALUE(IF($H332="vst",$G332,0))</f>
        <v>0</v>
      </c>
      <c r="AD332" s="148" t="n">
        <f aca="false">VALUE(IF($D332="kop",$C332,0))+VALUE(IF($H332="kop",$G332,0))</f>
        <v>0</v>
      </c>
      <c r="AE332" s="148" t="n">
        <f aca="false">VALUE(IF($D332="osl",$C332,0))+VALUE(IF($H332="osl",$G332,0))</f>
        <v>0</v>
      </c>
      <c r="AF332" s="148" t="n">
        <f aca="false">VALUE(IF($D332="vra",$C332,0))+VALUE(IF($H332="vra",$G332,0))</f>
        <v>0</v>
      </c>
      <c r="AG332" s="148" t="n">
        <f aca="false">VALUE(IF($D332="zho",$C332,0))+VALUE(IF($H332="zho",$G332,0))</f>
        <v>0</v>
      </c>
      <c r="AH332" s="148" t="n">
        <f aca="false">VALUE(IF($D332="zbú",$C332,0))+VALUE(IF($H332="zbú",$G332,0))</f>
        <v>0</v>
      </c>
      <c r="AI332" s="148" t="n">
        <f aca="false">VALUE(IF($D332="pří",$C332,0))+VALUE(IF($H332="pří",$G332,0))</f>
        <v>0</v>
      </c>
      <c r="AJ332" s="148" t="n">
        <f aca="false">VALUE(IF($D332="dot",$C332,0))+VALUE(IF($H332="dot",$G332,0))</f>
        <v>0</v>
      </c>
      <c r="AK332" s="148" t="n">
        <f aca="false">VALUE(IF($D332="opř",$C332,0))+VALUE(IF($H332="opř",$G332,0))</f>
        <v>0</v>
      </c>
      <c r="AL332" s="148" t="n">
        <f aca="false">SUM(P332:AK332)</f>
        <v>0</v>
      </c>
    </row>
    <row r="333" customFormat="false" ht="12.75" hidden="false" customHeight="false" outlineLevel="0" collapsed="false">
      <c r="P333" s="148" t="n">
        <f aca="false">VALUE(IF($D333="vyb",$C333,0))+VALUE(IF($H333="vyb",$G333,0))</f>
        <v>0</v>
      </c>
      <c r="Q333" s="148" t="n">
        <f aca="false">VALUE(IF($D333="mtv",$C333,0))+VALUE(IF($H333="mtv",$G333,0))</f>
        <v>0</v>
      </c>
      <c r="R333" s="148" t="n">
        <f aca="false">VALUE(IF($D333="mat",$C333,0))+VALUE(IF($H333="mat",$G333,0))</f>
        <v>0</v>
      </c>
      <c r="S333" s="148" t="n">
        <f aca="false">VALUE(IF($D333="pot",$C333,0))+VALUE(IF($H333="pot",$G333,0))</f>
        <v>0</v>
      </c>
      <c r="T333" s="148" t="n">
        <f aca="false">VALUE(IF($D333="táb",$C333,0))+VALUE(IF($H333="táb",$G333,0))</f>
        <v>0</v>
      </c>
      <c r="U333" s="148" t="n">
        <f aca="false">VALUE(IF($D333="oma",$C333,0))+VALUE(IF($H333="oma",$G333,0))</f>
        <v>0</v>
      </c>
      <c r="V333" s="148" t="n">
        <f aca="false">VALUE(IF($D333="ces",$C333,0))+VALUE(IF($H333="ces",$G333,0))</f>
        <v>0</v>
      </c>
      <c r="W333" s="148" t="n">
        <f aca="false">VALUE(IF($D333="poš",$C333,0))+VALUE(IF($H333="poš",$G333,0))</f>
        <v>0</v>
      </c>
      <c r="X333" s="148" t="n">
        <f aca="false">VALUE(IF($D333="tel",$C333,0))+VALUE(IF($H333="tel",$G333,0))</f>
        <v>0</v>
      </c>
      <c r="Y333" s="148" t="n">
        <f aca="false">VALUE(IF($D333="dop",$C333,0))+VALUE(IF($H333="dop",$G333,0))</f>
        <v>0</v>
      </c>
      <c r="Z333" s="148" t="n">
        <f aca="false">VALUE(IF($D333="nák",$C333,0))+VALUE(IF($H333="nák",$G333,0))</f>
        <v>0</v>
      </c>
      <c r="AA333" s="148" t="n">
        <f aca="false">VALUE(IF($D333="náj",$C333,0))+VALUE(IF($H333="náj",$G333,0))</f>
        <v>0</v>
      </c>
      <c r="AB333" s="148" t="n">
        <f aca="false">VALUE(IF($D333="půj",$C333,0))+VALUE(IF($H333="půj",$G333,0))</f>
        <v>0</v>
      </c>
      <c r="AC333" s="148" t="n">
        <f aca="false">VALUE(IF($D333="vst",$C333,0))+VALUE(IF($H333="vst",$G333,0))</f>
        <v>0</v>
      </c>
      <c r="AD333" s="148" t="n">
        <f aca="false">VALUE(IF($D333="kop",$C333,0))+VALUE(IF($H333="kop",$G333,0))</f>
        <v>0</v>
      </c>
      <c r="AE333" s="148" t="n">
        <f aca="false">VALUE(IF($D333="osl",$C333,0))+VALUE(IF($H333="osl",$G333,0))</f>
        <v>0</v>
      </c>
      <c r="AF333" s="148" t="n">
        <f aca="false">VALUE(IF($D333="vra",$C333,0))+VALUE(IF($H333="vra",$G333,0))</f>
        <v>0</v>
      </c>
      <c r="AG333" s="148" t="n">
        <f aca="false">VALUE(IF($D333="zho",$C333,0))+VALUE(IF($H333="zho",$G333,0))</f>
        <v>0</v>
      </c>
      <c r="AH333" s="148" t="n">
        <f aca="false">VALUE(IF($D333="zbú",$C333,0))+VALUE(IF($H333="zbú",$G333,0))</f>
        <v>0</v>
      </c>
      <c r="AI333" s="148" t="n">
        <f aca="false">VALUE(IF($D333="pří",$C333,0))+VALUE(IF($H333="pří",$G333,0))</f>
        <v>0</v>
      </c>
      <c r="AJ333" s="148" t="n">
        <f aca="false">VALUE(IF($D333="dot",$C333,0))+VALUE(IF($H333="dot",$G333,0))</f>
        <v>0</v>
      </c>
      <c r="AK333" s="148" t="n">
        <f aca="false">VALUE(IF($D333="opř",$C333,0))+VALUE(IF($H333="opř",$G333,0))</f>
        <v>0</v>
      </c>
      <c r="AL333" s="148" t="n">
        <f aca="false">SUM(P333:AK333)</f>
        <v>0</v>
      </c>
    </row>
    <row r="334" customFormat="false" ht="12.75" hidden="false" customHeight="false" outlineLevel="0" collapsed="false">
      <c r="P334" s="148" t="n">
        <f aca="false">VALUE(IF($D334="vyb",$C334,0))+VALUE(IF($H334="vyb",$G334,0))</f>
        <v>0</v>
      </c>
      <c r="Q334" s="148" t="n">
        <f aca="false">VALUE(IF($D334="mtv",$C334,0))+VALUE(IF($H334="mtv",$G334,0))</f>
        <v>0</v>
      </c>
      <c r="R334" s="148" t="n">
        <f aca="false">VALUE(IF($D334="mat",$C334,0))+VALUE(IF($H334="mat",$G334,0))</f>
        <v>0</v>
      </c>
      <c r="S334" s="148" t="n">
        <f aca="false">VALUE(IF($D334="pot",$C334,0))+VALUE(IF($H334="pot",$G334,0))</f>
        <v>0</v>
      </c>
      <c r="T334" s="148" t="n">
        <f aca="false">VALUE(IF($D334="táb",$C334,0))+VALUE(IF($H334="táb",$G334,0))</f>
        <v>0</v>
      </c>
      <c r="U334" s="148" t="n">
        <f aca="false">VALUE(IF($D334="oma",$C334,0))+VALUE(IF($H334="oma",$G334,0))</f>
        <v>0</v>
      </c>
      <c r="V334" s="148" t="n">
        <f aca="false">VALUE(IF($D334="ces",$C334,0))+VALUE(IF($H334="ces",$G334,0))</f>
        <v>0</v>
      </c>
      <c r="W334" s="148" t="n">
        <f aca="false">VALUE(IF($D334="poš",$C334,0))+VALUE(IF($H334="poš",$G334,0))</f>
        <v>0</v>
      </c>
      <c r="X334" s="148" t="n">
        <f aca="false">VALUE(IF($D334="tel",$C334,0))+VALUE(IF($H334="tel",$G334,0))</f>
        <v>0</v>
      </c>
      <c r="Y334" s="148" t="n">
        <f aca="false">VALUE(IF($D334="dop",$C334,0))+VALUE(IF($H334="dop",$G334,0))</f>
        <v>0</v>
      </c>
      <c r="Z334" s="148" t="n">
        <f aca="false">VALUE(IF($D334="nák",$C334,0))+VALUE(IF($H334="nák",$G334,0))</f>
        <v>0</v>
      </c>
      <c r="AA334" s="148" t="n">
        <f aca="false">VALUE(IF($D334="náj",$C334,0))+VALUE(IF($H334="náj",$G334,0))</f>
        <v>0</v>
      </c>
      <c r="AB334" s="148" t="n">
        <f aca="false">VALUE(IF($D334="půj",$C334,0))+VALUE(IF($H334="půj",$G334,0))</f>
        <v>0</v>
      </c>
      <c r="AC334" s="148" t="n">
        <f aca="false">VALUE(IF($D334="vst",$C334,0))+VALUE(IF($H334="vst",$G334,0))</f>
        <v>0</v>
      </c>
      <c r="AD334" s="148" t="n">
        <f aca="false">VALUE(IF($D334="kop",$C334,0))+VALUE(IF($H334="kop",$G334,0))</f>
        <v>0</v>
      </c>
      <c r="AE334" s="148" t="n">
        <f aca="false">VALUE(IF($D334="osl",$C334,0))+VALUE(IF($H334="osl",$G334,0))</f>
        <v>0</v>
      </c>
      <c r="AF334" s="148" t="n">
        <f aca="false">VALUE(IF($D334="vra",$C334,0))+VALUE(IF($H334="vra",$G334,0))</f>
        <v>0</v>
      </c>
      <c r="AG334" s="148" t="n">
        <f aca="false">VALUE(IF($D334="zho",$C334,0))+VALUE(IF($H334="zho",$G334,0))</f>
        <v>0</v>
      </c>
      <c r="AH334" s="148" t="n">
        <f aca="false">VALUE(IF($D334="zbú",$C334,0))+VALUE(IF($H334="zbú",$G334,0))</f>
        <v>0</v>
      </c>
      <c r="AI334" s="148" t="n">
        <f aca="false">VALUE(IF($D334="pří",$C334,0))+VALUE(IF($H334="pří",$G334,0))</f>
        <v>0</v>
      </c>
      <c r="AJ334" s="148" t="n">
        <f aca="false">VALUE(IF($D334="dot",$C334,0))+VALUE(IF($H334="dot",$G334,0))</f>
        <v>0</v>
      </c>
      <c r="AK334" s="148" t="n">
        <f aca="false">VALUE(IF($D334="opř",$C334,0))+VALUE(IF($H334="opř",$G334,0))</f>
        <v>0</v>
      </c>
      <c r="AL334" s="148" t="n">
        <f aca="false">SUM(P334:AK334)</f>
        <v>0</v>
      </c>
    </row>
    <row r="335" customFormat="false" ht="12.75" hidden="false" customHeight="false" outlineLevel="0" collapsed="false">
      <c r="P335" s="148" t="n">
        <f aca="false">VALUE(IF($D335="vyb",$C335,0))+VALUE(IF($H335="vyb",$G335,0))</f>
        <v>0</v>
      </c>
      <c r="Q335" s="148" t="n">
        <f aca="false">VALUE(IF($D335="mtv",$C335,0))+VALUE(IF($H335="mtv",$G335,0))</f>
        <v>0</v>
      </c>
      <c r="R335" s="148" t="n">
        <f aca="false">VALUE(IF($D335="mat",$C335,0))+VALUE(IF($H335="mat",$G335,0))</f>
        <v>0</v>
      </c>
      <c r="S335" s="148" t="n">
        <f aca="false">VALUE(IF($D335="pot",$C335,0))+VALUE(IF($H335="pot",$G335,0))</f>
        <v>0</v>
      </c>
      <c r="T335" s="148" t="n">
        <f aca="false">VALUE(IF($D335="táb",$C335,0))+VALUE(IF($H335="táb",$G335,0))</f>
        <v>0</v>
      </c>
      <c r="U335" s="148" t="n">
        <f aca="false">VALUE(IF($D335="oma",$C335,0))+VALUE(IF($H335="oma",$G335,0))</f>
        <v>0</v>
      </c>
      <c r="V335" s="148" t="n">
        <f aca="false">VALUE(IF($D335="ces",$C335,0))+VALUE(IF($H335="ces",$G335,0))</f>
        <v>0</v>
      </c>
      <c r="W335" s="148" t="n">
        <f aca="false">VALUE(IF($D335="poš",$C335,0))+VALUE(IF($H335="poš",$G335,0))</f>
        <v>0</v>
      </c>
      <c r="X335" s="148" t="n">
        <f aca="false">VALUE(IF($D335="tel",$C335,0))+VALUE(IF($H335="tel",$G335,0))</f>
        <v>0</v>
      </c>
      <c r="Y335" s="148" t="n">
        <f aca="false">VALUE(IF($D335="dop",$C335,0))+VALUE(IF($H335="dop",$G335,0))</f>
        <v>0</v>
      </c>
      <c r="Z335" s="148" t="n">
        <f aca="false">VALUE(IF($D335="nák",$C335,0))+VALUE(IF($H335="nák",$G335,0))</f>
        <v>0</v>
      </c>
      <c r="AA335" s="148" t="n">
        <f aca="false">VALUE(IF($D335="náj",$C335,0))+VALUE(IF($H335="náj",$G335,0))</f>
        <v>0</v>
      </c>
      <c r="AB335" s="148" t="n">
        <f aca="false">VALUE(IF($D335="půj",$C335,0))+VALUE(IF($H335="půj",$G335,0))</f>
        <v>0</v>
      </c>
      <c r="AC335" s="148" t="n">
        <f aca="false">VALUE(IF($D335="vst",$C335,0))+VALUE(IF($H335="vst",$G335,0))</f>
        <v>0</v>
      </c>
      <c r="AD335" s="148" t="n">
        <f aca="false">VALUE(IF($D335="kop",$C335,0))+VALUE(IF($H335="kop",$G335,0))</f>
        <v>0</v>
      </c>
      <c r="AE335" s="148" t="n">
        <f aca="false">VALUE(IF($D335="osl",$C335,0))+VALUE(IF($H335="osl",$G335,0))</f>
        <v>0</v>
      </c>
      <c r="AF335" s="148" t="n">
        <f aca="false">VALUE(IF($D335="vra",$C335,0))+VALUE(IF($H335="vra",$G335,0))</f>
        <v>0</v>
      </c>
      <c r="AG335" s="148" t="n">
        <f aca="false">VALUE(IF($D335="zho",$C335,0))+VALUE(IF($H335="zho",$G335,0))</f>
        <v>0</v>
      </c>
      <c r="AH335" s="148" t="n">
        <f aca="false">VALUE(IF($D335="zbú",$C335,0))+VALUE(IF($H335="zbú",$G335,0))</f>
        <v>0</v>
      </c>
      <c r="AI335" s="148" t="n">
        <f aca="false">VALUE(IF($D335="pří",$C335,0))+VALUE(IF($H335="pří",$G335,0))</f>
        <v>0</v>
      </c>
      <c r="AJ335" s="148" t="n">
        <f aca="false">VALUE(IF($D335="dot",$C335,0))+VALUE(IF($H335="dot",$G335,0))</f>
        <v>0</v>
      </c>
      <c r="AK335" s="148" t="n">
        <f aca="false">VALUE(IF($D335="opř",$C335,0))+VALUE(IF($H335="opř",$G335,0))</f>
        <v>0</v>
      </c>
      <c r="AL335" s="148" t="n">
        <f aca="false">SUM(P335:AK335)</f>
        <v>0</v>
      </c>
    </row>
    <row r="336" customFormat="false" ht="12.75" hidden="false" customHeight="false" outlineLevel="0" collapsed="false">
      <c r="P336" s="148" t="n">
        <f aca="false">VALUE(IF($D336="vyb",$C336,0))+VALUE(IF($H336="vyb",$G336,0))</f>
        <v>0</v>
      </c>
      <c r="Q336" s="148" t="n">
        <f aca="false">VALUE(IF($D336="mtv",$C336,0))+VALUE(IF($H336="mtv",$G336,0))</f>
        <v>0</v>
      </c>
      <c r="R336" s="148" t="n">
        <f aca="false">VALUE(IF($D336="mat",$C336,0))+VALUE(IF($H336="mat",$G336,0))</f>
        <v>0</v>
      </c>
      <c r="S336" s="148" t="n">
        <f aca="false">VALUE(IF($D336="pot",$C336,0))+VALUE(IF($H336="pot",$G336,0))</f>
        <v>0</v>
      </c>
      <c r="T336" s="148" t="n">
        <f aca="false">VALUE(IF($D336="táb",$C336,0))+VALUE(IF($H336="táb",$G336,0))</f>
        <v>0</v>
      </c>
      <c r="U336" s="148" t="n">
        <f aca="false">VALUE(IF($D336="oma",$C336,0))+VALUE(IF($H336="oma",$G336,0))</f>
        <v>0</v>
      </c>
      <c r="V336" s="148" t="n">
        <f aca="false">VALUE(IF($D336="ces",$C336,0))+VALUE(IF($H336="ces",$G336,0))</f>
        <v>0</v>
      </c>
      <c r="W336" s="148" t="n">
        <f aca="false">VALUE(IF($D336="poš",$C336,0))+VALUE(IF($H336="poš",$G336,0))</f>
        <v>0</v>
      </c>
      <c r="X336" s="148" t="n">
        <f aca="false">VALUE(IF($D336="tel",$C336,0))+VALUE(IF($H336="tel",$G336,0))</f>
        <v>0</v>
      </c>
      <c r="Y336" s="148" t="n">
        <f aca="false">VALUE(IF($D336="dop",$C336,0))+VALUE(IF($H336="dop",$G336,0))</f>
        <v>0</v>
      </c>
      <c r="Z336" s="148" t="n">
        <f aca="false">VALUE(IF($D336="nák",$C336,0))+VALUE(IF($H336="nák",$G336,0))</f>
        <v>0</v>
      </c>
      <c r="AA336" s="148" t="n">
        <f aca="false">VALUE(IF($D336="náj",$C336,0))+VALUE(IF($H336="náj",$G336,0))</f>
        <v>0</v>
      </c>
      <c r="AB336" s="148" t="n">
        <f aca="false">VALUE(IF($D336="půj",$C336,0))+VALUE(IF($H336="půj",$G336,0))</f>
        <v>0</v>
      </c>
      <c r="AC336" s="148" t="n">
        <f aca="false">VALUE(IF($D336="vst",$C336,0))+VALUE(IF($H336="vst",$G336,0))</f>
        <v>0</v>
      </c>
      <c r="AD336" s="148" t="n">
        <f aca="false">VALUE(IF($D336="kop",$C336,0))+VALUE(IF($H336="kop",$G336,0))</f>
        <v>0</v>
      </c>
      <c r="AE336" s="148" t="n">
        <f aca="false">VALUE(IF($D336="osl",$C336,0))+VALUE(IF($H336="osl",$G336,0))</f>
        <v>0</v>
      </c>
      <c r="AF336" s="148" t="n">
        <f aca="false">VALUE(IF($D336="vra",$C336,0))+VALUE(IF($H336="vra",$G336,0))</f>
        <v>0</v>
      </c>
      <c r="AG336" s="148" t="n">
        <f aca="false">VALUE(IF($D336="zho",$C336,0))+VALUE(IF($H336="zho",$G336,0))</f>
        <v>0</v>
      </c>
      <c r="AH336" s="148" t="n">
        <f aca="false">VALUE(IF($D336="zbú",$C336,0))+VALUE(IF($H336="zbú",$G336,0))</f>
        <v>0</v>
      </c>
      <c r="AI336" s="148" t="n">
        <f aca="false">VALUE(IF($D336="pří",$C336,0))+VALUE(IF($H336="pří",$G336,0))</f>
        <v>0</v>
      </c>
      <c r="AJ336" s="148" t="n">
        <f aca="false">VALUE(IF($D336="dot",$C336,0))+VALUE(IF($H336="dot",$G336,0))</f>
        <v>0</v>
      </c>
      <c r="AK336" s="148" t="n">
        <f aca="false">VALUE(IF($D336="opř",$C336,0))+VALUE(IF($H336="opř",$G336,0))</f>
        <v>0</v>
      </c>
      <c r="AL336" s="148" t="n">
        <f aca="false">SUM(P336:AK336)</f>
        <v>0</v>
      </c>
    </row>
    <row r="337" customFormat="false" ht="12.75" hidden="false" customHeight="false" outlineLevel="0" collapsed="false">
      <c r="P337" s="148" t="n">
        <f aca="false">VALUE(IF($D337="vyb",$C337,0))+VALUE(IF($H337="vyb",$G337,0))</f>
        <v>0</v>
      </c>
      <c r="Q337" s="148" t="n">
        <f aca="false">VALUE(IF($D337="mtv",$C337,0))+VALUE(IF($H337="mtv",$G337,0))</f>
        <v>0</v>
      </c>
      <c r="R337" s="148" t="n">
        <f aca="false">VALUE(IF($D337="mat",$C337,0))+VALUE(IF($H337="mat",$G337,0))</f>
        <v>0</v>
      </c>
      <c r="S337" s="148" t="n">
        <f aca="false">VALUE(IF($D337="pot",$C337,0))+VALUE(IF($H337="pot",$G337,0))</f>
        <v>0</v>
      </c>
      <c r="T337" s="148" t="n">
        <f aca="false">VALUE(IF($D337="táb",$C337,0))+VALUE(IF($H337="táb",$G337,0))</f>
        <v>0</v>
      </c>
      <c r="U337" s="148" t="n">
        <f aca="false">VALUE(IF($D337="oma",$C337,0))+VALUE(IF($H337="oma",$G337,0))</f>
        <v>0</v>
      </c>
      <c r="V337" s="148" t="n">
        <f aca="false">VALUE(IF($D337="ces",$C337,0))+VALUE(IF($H337="ces",$G337,0))</f>
        <v>0</v>
      </c>
      <c r="W337" s="148" t="n">
        <f aca="false">VALUE(IF($D337="poš",$C337,0))+VALUE(IF($H337="poš",$G337,0))</f>
        <v>0</v>
      </c>
      <c r="X337" s="148" t="n">
        <f aca="false">VALUE(IF($D337="tel",$C337,0))+VALUE(IF($H337="tel",$G337,0))</f>
        <v>0</v>
      </c>
      <c r="Y337" s="148" t="n">
        <f aca="false">VALUE(IF($D337="dop",$C337,0))+VALUE(IF($H337="dop",$G337,0))</f>
        <v>0</v>
      </c>
      <c r="Z337" s="148" t="n">
        <f aca="false">VALUE(IF($D337="nák",$C337,0))+VALUE(IF($H337="nák",$G337,0))</f>
        <v>0</v>
      </c>
      <c r="AA337" s="148" t="n">
        <f aca="false">VALUE(IF($D337="náj",$C337,0))+VALUE(IF($H337="náj",$G337,0))</f>
        <v>0</v>
      </c>
      <c r="AB337" s="148" t="n">
        <f aca="false">VALUE(IF($D337="půj",$C337,0))+VALUE(IF($H337="půj",$G337,0))</f>
        <v>0</v>
      </c>
      <c r="AC337" s="148" t="n">
        <f aca="false">VALUE(IF($D337="vst",$C337,0))+VALUE(IF($H337="vst",$G337,0))</f>
        <v>0</v>
      </c>
      <c r="AD337" s="148" t="n">
        <f aca="false">VALUE(IF($D337="kop",$C337,0))+VALUE(IF($H337="kop",$G337,0))</f>
        <v>0</v>
      </c>
      <c r="AE337" s="148" t="n">
        <f aca="false">VALUE(IF($D337="osl",$C337,0))+VALUE(IF($H337="osl",$G337,0))</f>
        <v>0</v>
      </c>
      <c r="AF337" s="148" t="n">
        <f aca="false">VALUE(IF($D337="vra",$C337,0))+VALUE(IF($H337="vra",$G337,0))</f>
        <v>0</v>
      </c>
      <c r="AG337" s="148" t="n">
        <f aca="false">VALUE(IF($D337="zho",$C337,0))+VALUE(IF($H337="zho",$G337,0))</f>
        <v>0</v>
      </c>
      <c r="AH337" s="148" t="n">
        <f aca="false">VALUE(IF($D337="zbú",$C337,0))+VALUE(IF($H337="zbú",$G337,0))</f>
        <v>0</v>
      </c>
      <c r="AI337" s="148" t="n">
        <f aca="false">VALUE(IF($D337="pří",$C337,0))+VALUE(IF($H337="pří",$G337,0))</f>
        <v>0</v>
      </c>
      <c r="AJ337" s="148" t="n">
        <f aca="false">VALUE(IF($D337="dot",$C337,0))+VALUE(IF($H337="dot",$G337,0))</f>
        <v>0</v>
      </c>
      <c r="AK337" s="148" t="n">
        <f aca="false">VALUE(IF($D337="opř",$C337,0))+VALUE(IF($H337="opř",$G337,0))</f>
        <v>0</v>
      </c>
      <c r="AL337" s="148" t="n">
        <f aca="false">SUM(P337:AK337)</f>
        <v>0</v>
      </c>
    </row>
    <row r="338" customFormat="false" ht="12.75" hidden="false" customHeight="false" outlineLevel="0" collapsed="false">
      <c r="P338" s="148" t="n">
        <f aca="false">VALUE(IF($D338="vyb",$C338,0))+VALUE(IF($H338="vyb",$G338,0))</f>
        <v>0</v>
      </c>
      <c r="Q338" s="148" t="n">
        <f aca="false">VALUE(IF($D338="mtv",$C338,0))+VALUE(IF($H338="mtv",$G338,0))</f>
        <v>0</v>
      </c>
      <c r="R338" s="148" t="n">
        <f aca="false">VALUE(IF($D338="mat",$C338,0))+VALUE(IF($H338="mat",$G338,0))</f>
        <v>0</v>
      </c>
      <c r="S338" s="148" t="n">
        <f aca="false">VALUE(IF($D338="pot",$C338,0))+VALUE(IF($H338="pot",$G338,0))</f>
        <v>0</v>
      </c>
      <c r="T338" s="148" t="n">
        <f aca="false">VALUE(IF($D338="táb",$C338,0))+VALUE(IF($H338="táb",$G338,0))</f>
        <v>0</v>
      </c>
      <c r="U338" s="148" t="n">
        <f aca="false">VALUE(IF($D338="oma",$C338,0))+VALUE(IF($H338="oma",$G338,0))</f>
        <v>0</v>
      </c>
      <c r="V338" s="148" t="n">
        <f aca="false">VALUE(IF($D338="ces",$C338,0))+VALUE(IF($H338="ces",$G338,0))</f>
        <v>0</v>
      </c>
      <c r="W338" s="148" t="n">
        <f aca="false">VALUE(IF($D338="poš",$C338,0))+VALUE(IF($H338="poš",$G338,0))</f>
        <v>0</v>
      </c>
      <c r="X338" s="148" t="n">
        <f aca="false">VALUE(IF($D338="tel",$C338,0))+VALUE(IF($H338="tel",$G338,0))</f>
        <v>0</v>
      </c>
      <c r="Y338" s="148" t="n">
        <f aca="false">VALUE(IF($D338="dop",$C338,0))+VALUE(IF($H338="dop",$G338,0))</f>
        <v>0</v>
      </c>
      <c r="Z338" s="148" t="n">
        <f aca="false">VALUE(IF($D338="nák",$C338,0))+VALUE(IF($H338="nák",$G338,0))</f>
        <v>0</v>
      </c>
      <c r="AA338" s="148" t="n">
        <f aca="false">VALUE(IF($D338="náj",$C338,0))+VALUE(IF($H338="náj",$G338,0))</f>
        <v>0</v>
      </c>
      <c r="AB338" s="148" t="n">
        <f aca="false">VALUE(IF($D338="půj",$C338,0))+VALUE(IF($H338="půj",$G338,0))</f>
        <v>0</v>
      </c>
      <c r="AC338" s="148" t="n">
        <f aca="false">VALUE(IF($D338="vst",$C338,0))+VALUE(IF($H338="vst",$G338,0))</f>
        <v>0</v>
      </c>
      <c r="AD338" s="148" t="n">
        <f aca="false">VALUE(IF($D338="kop",$C338,0))+VALUE(IF($H338="kop",$G338,0))</f>
        <v>0</v>
      </c>
      <c r="AE338" s="148" t="n">
        <f aca="false">VALUE(IF($D338="osl",$C338,0))+VALUE(IF($H338="osl",$G338,0))</f>
        <v>0</v>
      </c>
      <c r="AF338" s="148" t="n">
        <f aca="false">VALUE(IF($D338="vra",$C338,0))+VALUE(IF($H338="vra",$G338,0))</f>
        <v>0</v>
      </c>
      <c r="AG338" s="148" t="n">
        <f aca="false">VALUE(IF($D338="zho",$C338,0))+VALUE(IF($H338="zho",$G338,0))</f>
        <v>0</v>
      </c>
      <c r="AH338" s="148" t="n">
        <f aca="false">VALUE(IF($D338="zbú",$C338,0))+VALUE(IF($H338="zbú",$G338,0))</f>
        <v>0</v>
      </c>
      <c r="AI338" s="148" t="n">
        <f aca="false">VALUE(IF($D338="pří",$C338,0))+VALUE(IF($H338="pří",$G338,0))</f>
        <v>0</v>
      </c>
      <c r="AJ338" s="148" t="n">
        <f aca="false">VALUE(IF($D338="dot",$C338,0))+VALUE(IF($H338="dot",$G338,0))</f>
        <v>0</v>
      </c>
      <c r="AK338" s="148" t="n">
        <f aca="false">VALUE(IF($D338="opř",$C338,0))+VALUE(IF($H338="opř",$G338,0))</f>
        <v>0</v>
      </c>
      <c r="AL338" s="148" t="n">
        <f aca="false">SUM(P338:AK338)</f>
        <v>0</v>
      </c>
    </row>
    <row r="339" customFormat="false" ht="12.75" hidden="false" customHeight="false" outlineLevel="0" collapsed="false">
      <c r="P339" s="148" t="n">
        <f aca="false">VALUE(IF($D339="vyb",$C339,0))+VALUE(IF($H339="vyb",$G339,0))</f>
        <v>0</v>
      </c>
      <c r="Q339" s="148" t="n">
        <f aca="false">VALUE(IF($D339="mtv",$C339,0))+VALUE(IF($H339="mtv",$G339,0))</f>
        <v>0</v>
      </c>
      <c r="R339" s="148" t="n">
        <f aca="false">VALUE(IF($D339="mat",$C339,0))+VALUE(IF($H339="mat",$G339,0))</f>
        <v>0</v>
      </c>
      <c r="S339" s="148" t="n">
        <f aca="false">VALUE(IF($D339="pot",$C339,0))+VALUE(IF($H339="pot",$G339,0))</f>
        <v>0</v>
      </c>
      <c r="T339" s="148" t="n">
        <f aca="false">VALUE(IF($D339="táb",$C339,0))+VALUE(IF($H339="táb",$G339,0))</f>
        <v>0</v>
      </c>
      <c r="U339" s="148" t="n">
        <f aca="false">VALUE(IF($D339="oma",$C339,0))+VALUE(IF($H339="oma",$G339,0))</f>
        <v>0</v>
      </c>
      <c r="V339" s="148" t="n">
        <f aca="false">VALUE(IF($D339="ces",$C339,0))+VALUE(IF($H339="ces",$G339,0))</f>
        <v>0</v>
      </c>
      <c r="W339" s="148" t="n">
        <f aca="false">VALUE(IF($D339="poš",$C339,0))+VALUE(IF($H339="poš",$G339,0))</f>
        <v>0</v>
      </c>
      <c r="X339" s="148" t="n">
        <f aca="false">VALUE(IF($D339="tel",$C339,0))+VALUE(IF($H339="tel",$G339,0))</f>
        <v>0</v>
      </c>
      <c r="Y339" s="148" t="n">
        <f aca="false">VALUE(IF($D339="dop",$C339,0))+VALUE(IF($H339="dop",$G339,0))</f>
        <v>0</v>
      </c>
      <c r="Z339" s="148" t="n">
        <f aca="false">VALUE(IF($D339="nák",$C339,0))+VALUE(IF($H339="nák",$G339,0))</f>
        <v>0</v>
      </c>
      <c r="AA339" s="148" t="n">
        <f aca="false">VALUE(IF($D339="náj",$C339,0))+VALUE(IF($H339="náj",$G339,0))</f>
        <v>0</v>
      </c>
      <c r="AB339" s="148" t="n">
        <f aca="false">VALUE(IF($D339="půj",$C339,0))+VALUE(IF($H339="půj",$G339,0))</f>
        <v>0</v>
      </c>
      <c r="AC339" s="148" t="n">
        <f aca="false">VALUE(IF($D339="vst",$C339,0))+VALUE(IF($H339="vst",$G339,0))</f>
        <v>0</v>
      </c>
      <c r="AD339" s="148" t="n">
        <f aca="false">VALUE(IF($D339="kop",$C339,0))+VALUE(IF($H339="kop",$G339,0))</f>
        <v>0</v>
      </c>
      <c r="AE339" s="148" t="n">
        <f aca="false">VALUE(IF($D339="osl",$C339,0))+VALUE(IF($H339="osl",$G339,0))</f>
        <v>0</v>
      </c>
      <c r="AF339" s="148" t="n">
        <f aca="false">VALUE(IF($D339="vra",$C339,0))+VALUE(IF($H339="vra",$G339,0))</f>
        <v>0</v>
      </c>
      <c r="AG339" s="148" t="n">
        <f aca="false">VALUE(IF($D339="zho",$C339,0))+VALUE(IF($H339="zho",$G339,0))</f>
        <v>0</v>
      </c>
      <c r="AH339" s="148" t="n">
        <f aca="false">VALUE(IF($D339="zbú",$C339,0))+VALUE(IF($H339="zbú",$G339,0))</f>
        <v>0</v>
      </c>
      <c r="AI339" s="148" t="n">
        <f aca="false">VALUE(IF($D339="pří",$C339,0))+VALUE(IF($H339="pří",$G339,0))</f>
        <v>0</v>
      </c>
      <c r="AJ339" s="148" t="n">
        <f aca="false">VALUE(IF($D339="dot",$C339,0))+VALUE(IF($H339="dot",$G339,0))</f>
        <v>0</v>
      </c>
      <c r="AK339" s="148" t="n">
        <f aca="false">VALUE(IF($D339="opř",$C339,0))+VALUE(IF($H339="opř",$G339,0))</f>
        <v>0</v>
      </c>
      <c r="AL339" s="148" t="n">
        <f aca="false">SUM(P339:AK339)</f>
        <v>0</v>
      </c>
    </row>
    <row r="340" customFormat="false" ht="12.75" hidden="false" customHeight="false" outlineLevel="0" collapsed="false">
      <c r="P340" s="148" t="n">
        <f aca="false">VALUE(IF($D340="vyb",$C340,0))+VALUE(IF($H340="vyb",$G340,0))</f>
        <v>0</v>
      </c>
      <c r="Q340" s="148" t="n">
        <f aca="false">VALUE(IF($D340="mtv",$C340,0))+VALUE(IF($H340="mtv",$G340,0))</f>
        <v>0</v>
      </c>
      <c r="R340" s="148" t="n">
        <f aca="false">VALUE(IF($D340="mat",$C340,0))+VALUE(IF($H340="mat",$G340,0))</f>
        <v>0</v>
      </c>
      <c r="S340" s="148" t="n">
        <f aca="false">VALUE(IF($D340="pot",$C340,0))+VALUE(IF($H340="pot",$G340,0))</f>
        <v>0</v>
      </c>
      <c r="T340" s="148" t="n">
        <f aca="false">VALUE(IF($D340="táb",$C340,0))+VALUE(IF($H340="táb",$G340,0))</f>
        <v>0</v>
      </c>
      <c r="U340" s="148" t="n">
        <f aca="false">VALUE(IF($D340="oma",$C340,0))+VALUE(IF($H340="oma",$G340,0))</f>
        <v>0</v>
      </c>
      <c r="V340" s="148" t="n">
        <f aca="false">VALUE(IF($D340="ces",$C340,0))+VALUE(IF($H340="ces",$G340,0))</f>
        <v>0</v>
      </c>
      <c r="W340" s="148" t="n">
        <f aca="false">VALUE(IF($D340="poš",$C340,0))+VALUE(IF($H340="poš",$G340,0))</f>
        <v>0</v>
      </c>
      <c r="X340" s="148" t="n">
        <f aca="false">VALUE(IF($D340="tel",$C340,0))+VALUE(IF($H340="tel",$G340,0))</f>
        <v>0</v>
      </c>
      <c r="Y340" s="148" t="n">
        <f aca="false">VALUE(IF($D340="dop",$C340,0))+VALUE(IF($H340="dop",$G340,0))</f>
        <v>0</v>
      </c>
      <c r="Z340" s="148" t="n">
        <f aca="false">VALUE(IF($D340="nák",$C340,0))+VALUE(IF($H340="nák",$G340,0))</f>
        <v>0</v>
      </c>
      <c r="AA340" s="148" t="n">
        <f aca="false">VALUE(IF($D340="náj",$C340,0))+VALUE(IF($H340="náj",$G340,0))</f>
        <v>0</v>
      </c>
      <c r="AB340" s="148" t="n">
        <f aca="false">VALUE(IF($D340="půj",$C340,0))+VALUE(IF($H340="půj",$G340,0))</f>
        <v>0</v>
      </c>
      <c r="AC340" s="148" t="n">
        <f aca="false">VALUE(IF($D340="vst",$C340,0))+VALUE(IF($H340="vst",$G340,0))</f>
        <v>0</v>
      </c>
      <c r="AD340" s="148" t="n">
        <f aca="false">VALUE(IF($D340="kop",$C340,0))+VALUE(IF($H340="kop",$G340,0))</f>
        <v>0</v>
      </c>
      <c r="AE340" s="148" t="n">
        <f aca="false">VALUE(IF($D340="osl",$C340,0))+VALUE(IF($H340="osl",$G340,0))</f>
        <v>0</v>
      </c>
      <c r="AF340" s="148" t="n">
        <f aca="false">VALUE(IF($D340="vra",$C340,0))+VALUE(IF($H340="vra",$G340,0))</f>
        <v>0</v>
      </c>
      <c r="AG340" s="148" t="n">
        <f aca="false">VALUE(IF($D340="zho",$C340,0))+VALUE(IF($H340="zho",$G340,0))</f>
        <v>0</v>
      </c>
      <c r="AH340" s="148" t="n">
        <f aca="false">VALUE(IF($D340="zbú",$C340,0))+VALUE(IF($H340="zbú",$G340,0))</f>
        <v>0</v>
      </c>
      <c r="AI340" s="148" t="n">
        <f aca="false">VALUE(IF($D340="pří",$C340,0))+VALUE(IF($H340="pří",$G340,0))</f>
        <v>0</v>
      </c>
      <c r="AJ340" s="148" t="n">
        <f aca="false">VALUE(IF($D340="dot",$C340,0))+VALUE(IF($H340="dot",$G340,0))</f>
        <v>0</v>
      </c>
      <c r="AK340" s="148" t="n">
        <f aca="false">VALUE(IF($D340="opř",$C340,0))+VALUE(IF($H340="opř",$G340,0))</f>
        <v>0</v>
      </c>
      <c r="AL340" s="148" t="n">
        <f aca="false">SUM(P340:AK340)</f>
        <v>0</v>
      </c>
    </row>
    <row r="341" customFormat="false" ht="12.75" hidden="false" customHeight="false" outlineLevel="0" collapsed="false">
      <c r="P341" s="148" t="n">
        <f aca="false">VALUE(IF($D341="vyb",$C341,0))+VALUE(IF($H341="vyb",$G341,0))</f>
        <v>0</v>
      </c>
      <c r="Q341" s="148" t="n">
        <f aca="false">VALUE(IF($D341="mtv",$C341,0))+VALUE(IF($H341="mtv",$G341,0))</f>
        <v>0</v>
      </c>
      <c r="R341" s="148" t="n">
        <f aca="false">VALUE(IF($D341="mat",$C341,0))+VALUE(IF($H341="mat",$G341,0))</f>
        <v>0</v>
      </c>
      <c r="S341" s="148" t="n">
        <f aca="false">VALUE(IF($D341="pot",$C341,0))+VALUE(IF($H341="pot",$G341,0))</f>
        <v>0</v>
      </c>
      <c r="T341" s="148" t="n">
        <f aca="false">VALUE(IF($D341="táb",$C341,0))+VALUE(IF($H341="táb",$G341,0))</f>
        <v>0</v>
      </c>
      <c r="U341" s="148" t="n">
        <f aca="false">VALUE(IF($D341="oma",$C341,0))+VALUE(IF($H341="oma",$G341,0))</f>
        <v>0</v>
      </c>
      <c r="V341" s="148" t="n">
        <f aca="false">VALUE(IF($D341="ces",$C341,0))+VALUE(IF($H341="ces",$G341,0))</f>
        <v>0</v>
      </c>
      <c r="W341" s="148" t="n">
        <f aca="false">VALUE(IF($D341="poš",$C341,0))+VALUE(IF($H341="poš",$G341,0))</f>
        <v>0</v>
      </c>
      <c r="X341" s="148" t="n">
        <f aca="false">VALUE(IF($D341="tel",$C341,0))+VALUE(IF($H341="tel",$G341,0))</f>
        <v>0</v>
      </c>
      <c r="Y341" s="148" t="n">
        <f aca="false">VALUE(IF($D341="dop",$C341,0))+VALUE(IF($H341="dop",$G341,0))</f>
        <v>0</v>
      </c>
      <c r="Z341" s="148" t="n">
        <f aca="false">VALUE(IF($D341="nák",$C341,0))+VALUE(IF($H341="nák",$G341,0))</f>
        <v>0</v>
      </c>
      <c r="AA341" s="148" t="n">
        <f aca="false">VALUE(IF($D341="náj",$C341,0))+VALUE(IF($H341="náj",$G341,0))</f>
        <v>0</v>
      </c>
      <c r="AB341" s="148" t="n">
        <f aca="false">VALUE(IF($D341="půj",$C341,0))+VALUE(IF($H341="půj",$G341,0))</f>
        <v>0</v>
      </c>
      <c r="AC341" s="148" t="n">
        <f aca="false">VALUE(IF($D341="vst",$C341,0))+VALUE(IF($H341="vst",$G341,0))</f>
        <v>0</v>
      </c>
      <c r="AD341" s="148" t="n">
        <f aca="false">VALUE(IF($D341="kop",$C341,0))+VALUE(IF($H341="kop",$G341,0))</f>
        <v>0</v>
      </c>
      <c r="AE341" s="148" t="n">
        <f aca="false">VALUE(IF($D341="osl",$C341,0))+VALUE(IF($H341="osl",$G341,0))</f>
        <v>0</v>
      </c>
      <c r="AF341" s="148" t="n">
        <f aca="false">VALUE(IF($D341="vra",$C341,0))+VALUE(IF($H341="vra",$G341,0))</f>
        <v>0</v>
      </c>
      <c r="AG341" s="148" t="n">
        <f aca="false">VALUE(IF($D341="zho",$C341,0))+VALUE(IF($H341="zho",$G341,0))</f>
        <v>0</v>
      </c>
      <c r="AH341" s="148" t="n">
        <f aca="false">VALUE(IF($D341="zbú",$C341,0))+VALUE(IF($H341="zbú",$G341,0))</f>
        <v>0</v>
      </c>
      <c r="AI341" s="148" t="n">
        <f aca="false">VALUE(IF($D341="pří",$C341,0))+VALUE(IF($H341="pří",$G341,0))</f>
        <v>0</v>
      </c>
      <c r="AJ341" s="148" t="n">
        <f aca="false">VALUE(IF($D341="dot",$C341,0))+VALUE(IF($H341="dot",$G341,0))</f>
        <v>0</v>
      </c>
      <c r="AK341" s="148" t="n">
        <f aca="false">VALUE(IF($D341="opř",$C341,0))+VALUE(IF($H341="opř",$G341,0))</f>
        <v>0</v>
      </c>
      <c r="AL341" s="148" t="n">
        <f aca="false">SUM(P341:AK341)</f>
        <v>0</v>
      </c>
    </row>
    <row r="342" customFormat="false" ht="12.75" hidden="false" customHeight="false" outlineLevel="0" collapsed="false">
      <c r="P342" s="148" t="n">
        <f aca="false">VALUE(IF($D342="vyb",$C342,0))+VALUE(IF($H342="vyb",$G342,0))</f>
        <v>0</v>
      </c>
      <c r="Q342" s="148" t="n">
        <f aca="false">VALUE(IF($D342="mtv",$C342,0))+VALUE(IF($H342="mtv",$G342,0))</f>
        <v>0</v>
      </c>
      <c r="R342" s="148" t="n">
        <f aca="false">VALUE(IF($D342="mat",$C342,0))+VALUE(IF($H342="mat",$G342,0))</f>
        <v>0</v>
      </c>
      <c r="S342" s="148" t="n">
        <f aca="false">VALUE(IF($D342="pot",$C342,0))+VALUE(IF($H342="pot",$G342,0))</f>
        <v>0</v>
      </c>
      <c r="T342" s="148" t="n">
        <f aca="false">VALUE(IF($D342="táb",$C342,0))+VALUE(IF($H342="táb",$G342,0))</f>
        <v>0</v>
      </c>
      <c r="U342" s="148" t="n">
        <f aca="false">VALUE(IF($D342="oma",$C342,0))+VALUE(IF($H342="oma",$G342,0))</f>
        <v>0</v>
      </c>
      <c r="V342" s="148" t="n">
        <f aca="false">VALUE(IF($D342="ces",$C342,0))+VALUE(IF($H342="ces",$G342,0))</f>
        <v>0</v>
      </c>
      <c r="W342" s="148" t="n">
        <f aca="false">VALUE(IF($D342="poš",$C342,0))+VALUE(IF($H342="poš",$G342,0))</f>
        <v>0</v>
      </c>
      <c r="X342" s="148" t="n">
        <f aca="false">VALUE(IF($D342="tel",$C342,0))+VALUE(IF($H342="tel",$G342,0))</f>
        <v>0</v>
      </c>
      <c r="Y342" s="148" t="n">
        <f aca="false">VALUE(IF($D342="dop",$C342,0))+VALUE(IF($H342="dop",$G342,0))</f>
        <v>0</v>
      </c>
      <c r="Z342" s="148" t="n">
        <f aca="false">VALUE(IF($D342="nák",$C342,0))+VALUE(IF($H342="nák",$G342,0))</f>
        <v>0</v>
      </c>
      <c r="AA342" s="148" t="n">
        <f aca="false">VALUE(IF($D342="náj",$C342,0))+VALUE(IF($H342="náj",$G342,0))</f>
        <v>0</v>
      </c>
      <c r="AB342" s="148" t="n">
        <f aca="false">VALUE(IF($D342="půj",$C342,0))+VALUE(IF($H342="půj",$G342,0))</f>
        <v>0</v>
      </c>
      <c r="AC342" s="148" t="n">
        <f aca="false">VALUE(IF($D342="vst",$C342,0))+VALUE(IF($H342="vst",$G342,0))</f>
        <v>0</v>
      </c>
      <c r="AD342" s="148" t="n">
        <f aca="false">VALUE(IF($D342="kop",$C342,0))+VALUE(IF($H342="kop",$G342,0))</f>
        <v>0</v>
      </c>
      <c r="AE342" s="148" t="n">
        <f aca="false">VALUE(IF($D342="osl",$C342,0))+VALUE(IF($H342="osl",$G342,0))</f>
        <v>0</v>
      </c>
      <c r="AF342" s="148" t="n">
        <f aca="false">VALUE(IF($D342="vra",$C342,0))+VALUE(IF($H342="vra",$G342,0))</f>
        <v>0</v>
      </c>
      <c r="AG342" s="148" t="n">
        <f aca="false">VALUE(IF($D342="zho",$C342,0))+VALUE(IF($H342="zho",$G342,0))</f>
        <v>0</v>
      </c>
      <c r="AH342" s="148" t="n">
        <f aca="false">VALUE(IF($D342="zbú",$C342,0))+VALUE(IF($H342="zbú",$G342,0))</f>
        <v>0</v>
      </c>
      <c r="AI342" s="148" t="n">
        <f aca="false">VALUE(IF($D342="pří",$C342,0))+VALUE(IF($H342="pří",$G342,0))</f>
        <v>0</v>
      </c>
      <c r="AJ342" s="148" t="n">
        <f aca="false">VALUE(IF($D342="dot",$C342,0))+VALUE(IF($H342="dot",$G342,0))</f>
        <v>0</v>
      </c>
      <c r="AK342" s="148" t="n">
        <f aca="false">VALUE(IF($D342="opř",$C342,0))+VALUE(IF($H342="opř",$G342,0))</f>
        <v>0</v>
      </c>
      <c r="AL342" s="148" t="n">
        <f aca="false">SUM(P342:AK342)</f>
        <v>0</v>
      </c>
    </row>
    <row r="343" customFormat="false" ht="12.75" hidden="false" customHeight="false" outlineLevel="0" collapsed="false">
      <c r="P343" s="148" t="n">
        <f aca="false">VALUE(IF($D343="vyb",$C343,0))+VALUE(IF($H343="vyb",$G343,0))</f>
        <v>0</v>
      </c>
      <c r="Q343" s="148" t="n">
        <f aca="false">VALUE(IF($D343="mtv",$C343,0))+VALUE(IF($H343="mtv",$G343,0))</f>
        <v>0</v>
      </c>
      <c r="R343" s="148" t="n">
        <f aca="false">VALUE(IF($D343="mat",$C343,0))+VALUE(IF($H343="mat",$G343,0))</f>
        <v>0</v>
      </c>
      <c r="S343" s="148" t="n">
        <f aca="false">VALUE(IF($D343="pot",$C343,0))+VALUE(IF($H343="pot",$G343,0))</f>
        <v>0</v>
      </c>
      <c r="T343" s="148" t="n">
        <f aca="false">VALUE(IF($D343="táb",$C343,0))+VALUE(IF($H343="táb",$G343,0))</f>
        <v>0</v>
      </c>
      <c r="U343" s="148" t="n">
        <f aca="false">VALUE(IF($D343="oma",$C343,0))+VALUE(IF($H343="oma",$G343,0))</f>
        <v>0</v>
      </c>
      <c r="V343" s="148" t="n">
        <f aca="false">VALUE(IF($D343="ces",$C343,0))+VALUE(IF($H343="ces",$G343,0))</f>
        <v>0</v>
      </c>
      <c r="W343" s="148" t="n">
        <f aca="false">VALUE(IF($D343="poš",$C343,0))+VALUE(IF($H343="poš",$G343,0))</f>
        <v>0</v>
      </c>
      <c r="X343" s="148" t="n">
        <f aca="false">VALUE(IF($D343="tel",$C343,0))+VALUE(IF($H343="tel",$G343,0))</f>
        <v>0</v>
      </c>
      <c r="Y343" s="148" t="n">
        <f aca="false">VALUE(IF($D343="dop",$C343,0))+VALUE(IF($H343="dop",$G343,0))</f>
        <v>0</v>
      </c>
      <c r="Z343" s="148" t="n">
        <f aca="false">VALUE(IF($D343="nák",$C343,0))+VALUE(IF($H343="nák",$G343,0))</f>
        <v>0</v>
      </c>
      <c r="AA343" s="148" t="n">
        <f aca="false">VALUE(IF($D343="náj",$C343,0))+VALUE(IF($H343="náj",$G343,0))</f>
        <v>0</v>
      </c>
      <c r="AB343" s="148" t="n">
        <f aca="false">VALUE(IF($D343="půj",$C343,0))+VALUE(IF($H343="půj",$G343,0))</f>
        <v>0</v>
      </c>
      <c r="AC343" s="148" t="n">
        <f aca="false">VALUE(IF($D343="vst",$C343,0))+VALUE(IF($H343="vst",$G343,0))</f>
        <v>0</v>
      </c>
      <c r="AD343" s="148" t="n">
        <f aca="false">VALUE(IF($D343="kop",$C343,0))+VALUE(IF($H343="kop",$G343,0))</f>
        <v>0</v>
      </c>
      <c r="AE343" s="148" t="n">
        <f aca="false">VALUE(IF($D343="osl",$C343,0))+VALUE(IF($H343="osl",$G343,0))</f>
        <v>0</v>
      </c>
      <c r="AF343" s="148" t="n">
        <f aca="false">VALUE(IF($D343="vra",$C343,0))+VALUE(IF($H343="vra",$G343,0))</f>
        <v>0</v>
      </c>
      <c r="AG343" s="148" t="n">
        <f aca="false">VALUE(IF($D343="zho",$C343,0))+VALUE(IF($H343="zho",$G343,0))</f>
        <v>0</v>
      </c>
      <c r="AH343" s="148" t="n">
        <f aca="false">VALUE(IF($D343="zbú",$C343,0))+VALUE(IF($H343="zbú",$G343,0))</f>
        <v>0</v>
      </c>
      <c r="AI343" s="148" t="n">
        <f aca="false">VALUE(IF($D343="pří",$C343,0))+VALUE(IF($H343="pří",$G343,0))</f>
        <v>0</v>
      </c>
      <c r="AJ343" s="148" t="n">
        <f aca="false">VALUE(IF($D343="dot",$C343,0))+VALUE(IF($H343="dot",$G343,0))</f>
        <v>0</v>
      </c>
      <c r="AK343" s="148" t="n">
        <f aca="false">VALUE(IF($D343="opř",$C343,0))+VALUE(IF($H343="opř",$G343,0))</f>
        <v>0</v>
      </c>
      <c r="AL343" s="148" t="n">
        <f aca="false">SUM(P343:AK343)</f>
        <v>0</v>
      </c>
    </row>
    <row r="344" customFormat="false" ht="12.75" hidden="false" customHeight="false" outlineLevel="0" collapsed="false">
      <c r="P344" s="148" t="n">
        <f aca="false">VALUE(IF($D344="vyb",$C344,0))+VALUE(IF($H344="vyb",$G344,0))</f>
        <v>0</v>
      </c>
      <c r="Q344" s="148" t="n">
        <f aca="false">VALUE(IF($D344="mtv",$C344,0))+VALUE(IF($H344="mtv",$G344,0))</f>
        <v>0</v>
      </c>
      <c r="R344" s="148" t="n">
        <f aca="false">VALUE(IF($D344="mat",$C344,0))+VALUE(IF($H344="mat",$G344,0))</f>
        <v>0</v>
      </c>
      <c r="S344" s="148" t="n">
        <f aca="false">VALUE(IF($D344="pot",$C344,0))+VALUE(IF($H344="pot",$G344,0))</f>
        <v>0</v>
      </c>
      <c r="T344" s="148" t="n">
        <f aca="false">VALUE(IF($D344="táb",$C344,0))+VALUE(IF($H344="táb",$G344,0))</f>
        <v>0</v>
      </c>
      <c r="U344" s="148" t="n">
        <f aca="false">VALUE(IF($D344="oma",$C344,0))+VALUE(IF($H344="oma",$G344,0))</f>
        <v>0</v>
      </c>
      <c r="V344" s="148" t="n">
        <f aca="false">VALUE(IF($D344="ces",$C344,0))+VALUE(IF($H344="ces",$G344,0))</f>
        <v>0</v>
      </c>
      <c r="W344" s="148" t="n">
        <f aca="false">VALUE(IF($D344="poš",$C344,0))+VALUE(IF($H344="poš",$G344,0))</f>
        <v>0</v>
      </c>
      <c r="X344" s="148" t="n">
        <f aca="false">VALUE(IF($D344="tel",$C344,0))+VALUE(IF($H344="tel",$G344,0))</f>
        <v>0</v>
      </c>
      <c r="Y344" s="148" t="n">
        <f aca="false">VALUE(IF($D344="dop",$C344,0))+VALUE(IF($H344="dop",$G344,0))</f>
        <v>0</v>
      </c>
      <c r="Z344" s="148" t="n">
        <f aca="false">VALUE(IF($D344="nák",$C344,0))+VALUE(IF($H344="nák",$G344,0))</f>
        <v>0</v>
      </c>
      <c r="AA344" s="148" t="n">
        <f aca="false">VALUE(IF($D344="náj",$C344,0))+VALUE(IF($H344="náj",$G344,0))</f>
        <v>0</v>
      </c>
      <c r="AB344" s="148" t="n">
        <f aca="false">VALUE(IF($D344="půj",$C344,0))+VALUE(IF($H344="půj",$G344,0))</f>
        <v>0</v>
      </c>
      <c r="AC344" s="148" t="n">
        <f aca="false">VALUE(IF($D344="vst",$C344,0))+VALUE(IF($H344="vst",$G344,0))</f>
        <v>0</v>
      </c>
      <c r="AD344" s="148" t="n">
        <f aca="false">VALUE(IF($D344="kop",$C344,0))+VALUE(IF($H344="kop",$G344,0))</f>
        <v>0</v>
      </c>
      <c r="AE344" s="148" t="n">
        <f aca="false">VALUE(IF($D344="osl",$C344,0))+VALUE(IF($H344="osl",$G344,0))</f>
        <v>0</v>
      </c>
      <c r="AF344" s="148" t="n">
        <f aca="false">VALUE(IF($D344="vra",$C344,0))+VALUE(IF($H344="vra",$G344,0))</f>
        <v>0</v>
      </c>
      <c r="AG344" s="148" t="n">
        <f aca="false">VALUE(IF($D344="zho",$C344,0))+VALUE(IF($H344="zho",$G344,0))</f>
        <v>0</v>
      </c>
      <c r="AH344" s="148" t="n">
        <f aca="false">VALUE(IF($D344="zbú",$C344,0))+VALUE(IF($H344="zbú",$G344,0))</f>
        <v>0</v>
      </c>
      <c r="AI344" s="148" t="n">
        <f aca="false">VALUE(IF($D344="pří",$C344,0))+VALUE(IF($H344="pří",$G344,0))</f>
        <v>0</v>
      </c>
      <c r="AJ344" s="148" t="n">
        <f aca="false">VALUE(IF($D344="dot",$C344,0))+VALUE(IF($H344="dot",$G344,0))</f>
        <v>0</v>
      </c>
      <c r="AK344" s="148" t="n">
        <f aca="false">VALUE(IF($D344="opř",$C344,0))+VALUE(IF($H344="opř",$G344,0))</f>
        <v>0</v>
      </c>
      <c r="AL344" s="148" t="n">
        <f aca="false">SUM(P344:AK344)</f>
        <v>0</v>
      </c>
    </row>
    <row r="345" customFormat="false" ht="12.75" hidden="false" customHeight="false" outlineLevel="0" collapsed="false">
      <c r="P345" s="148" t="n">
        <f aca="false">VALUE(IF($D345="vyb",$C345,0))+VALUE(IF($H345="vyb",$G345,0))</f>
        <v>0</v>
      </c>
      <c r="Q345" s="148" t="n">
        <f aca="false">VALUE(IF($D345="mtv",$C345,0))+VALUE(IF($H345="mtv",$G345,0))</f>
        <v>0</v>
      </c>
      <c r="R345" s="148" t="n">
        <f aca="false">VALUE(IF($D345="mat",$C345,0))+VALUE(IF($H345="mat",$G345,0))</f>
        <v>0</v>
      </c>
      <c r="S345" s="148" t="n">
        <f aca="false">VALUE(IF($D345="pot",$C345,0))+VALUE(IF($H345="pot",$G345,0))</f>
        <v>0</v>
      </c>
      <c r="T345" s="148" t="n">
        <f aca="false">VALUE(IF($D345="táb",$C345,0))+VALUE(IF($H345="táb",$G345,0))</f>
        <v>0</v>
      </c>
      <c r="U345" s="148" t="n">
        <f aca="false">VALUE(IF($D345="oma",$C345,0))+VALUE(IF($H345="oma",$G345,0))</f>
        <v>0</v>
      </c>
      <c r="V345" s="148" t="n">
        <f aca="false">VALUE(IF($D345="ces",$C345,0))+VALUE(IF($H345="ces",$G345,0))</f>
        <v>0</v>
      </c>
      <c r="W345" s="148" t="n">
        <f aca="false">VALUE(IF($D345="poš",$C345,0))+VALUE(IF($H345="poš",$G345,0))</f>
        <v>0</v>
      </c>
      <c r="X345" s="148" t="n">
        <f aca="false">VALUE(IF($D345="tel",$C345,0))+VALUE(IF($H345="tel",$G345,0))</f>
        <v>0</v>
      </c>
      <c r="Y345" s="148" t="n">
        <f aca="false">VALUE(IF($D345="dop",$C345,0))+VALUE(IF($H345="dop",$G345,0))</f>
        <v>0</v>
      </c>
      <c r="Z345" s="148" t="n">
        <f aca="false">VALUE(IF($D345="nák",$C345,0))+VALUE(IF($H345="nák",$G345,0))</f>
        <v>0</v>
      </c>
      <c r="AA345" s="148" t="n">
        <f aca="false">VALUE(IF($D345="náj",$C345,0))+VALUE(IF($H345="náj",$G345,0))</f>
        <v>0</v>
      </c>
      <c r="AB345" s="148" t="n">
        <f aca="false">VALUE(IF($D345="půj",$C345,0))+VALUE(IF($H345="půj",$G345,0))</f>
        <v>0</v>
      </c>
      <c r="AC345" s="148" t="n">
        <f aca="false">VALUE(IF($D345="vst",$C345,0))+VALUE(IF($H345="vst",$G345,0))</f>
        <v>0</v>
      </c>
      <c r="AD345" s="148" t="n">
        <f aca="false">VALUE(IF($D345="kop",$C345,0))+VALUE(IF($H345="kop",$G345,0))</f>
        <v>0</v>
      </c>
      <c r="AE345" s="148" t="n">
        <f aca="false">VALUE(IF($D345="osl",$C345,0))+VALUE(IF($H345="osl",$G345,0))</f>
        <v>0</v>
      </c>
      <c r="AF345" s="148" t="n">
        <f aca="false">VALUE(IF($D345="vra",$C345,0))+VALUE(IF($H345="vra",$G345,0))</f>
        <v>0</v>
      </c>
      <c r="AG345" s="148" t="n">
        <f aca="false">VALUE(IF($D345="zho",$C345,0))+VALUE(IF($H345="zho",$G345,0))</f>
        <v>0</v>
      </c>
      <c r="AH345" s="148" t="n">
        <f aca="false">VALUE(IF($D345="zbú",$C345,0))+VALUE(IF($H345="zbú",$G345,0))</f>
        <v>0</v>
      </c>
      <c r="AI345" s="148" t="n">
        <f aca="false">VALUE(IF($D345="pří",$C345,0))+VALUE(IF($H345="pří",$G345,0))</f>
        <v>0</v>
      </c>
      <c r="AJ345" s="148" t="n">
        <f aca="false">VALUE(IF($D345="dot",$C345,0))+VALUE(IF($H345="dot",$G345,0))</f>
        <v>0</v>
      </c>
      <c r="AK345" s="148" t="n">
        <f aca="false">VALUE(IF($D345="opř",$C345,0))+VALUE(IF($H345="opř",$G345,0))</f>
        <v>0</v>
      </c>
      <c r="AL345" s="148" t="n">
        <f aca="false">SUM(P345:AK345)</f>
        <v>0</v>
      </c>
    </row>
    <row r="346" customFormat="false" ht="12.75" hidden="false" customHeight="false" outlineLevel="0" collapsed="false">
      <c r="P346" s="148" t="n">
        <f aca="false">VALUE(IF($D346="vyb",$C346,0))+VALUE(IF($H346="vyb",$G346,0))</f>
        <v>0</v>
      </c>
      <c r="Q346" s="148" t="n">
        <f aca="false">VALUE(IF($D346="mtv",$C346,0))+VALUE(IF($H346="mtv",$G346,0))</f>
        <v>0</v>
      </c>
      <c r="R346" s="148" t="n">
        <f aca="false">VALUE(IF($D346="mat",$C346,0))+VALUE(IF($H346="mat",$G346,0))</f>
        <v>0</v>
      </c>
      <c r="S346" s="148" t="n">
        <f aca="false">VALUE(IF($D346="pot",$C346,0))+VALUE(IF($H346="pot",$G346,0))</f>
        <v>0</v>
      </c>
      <c r="T346" s="148" t="n">
        <f aca="false">VALUE(IF($D346="táb",$C346,0))+VALUE(IF($H346="táb",$G346,0))</f>
        <v>0</v>
      </c>
      <c r="U346" s="148" t="n">
        <f aca="false">VALUE(IF($D346="oma",$C346,0))+VALUE(IF($H346="oma",$G346,0))</f>
        <v>0</v>
      </c>
      <c r="V346" s="148" t="n">
        <f aca="false">VALUE(IF($D346="ces",$C346,0))+VALUE(IF($H346="ces",$G346,0))</f>
        <v>0</v>
      </c>
      <c r="W346" s="148" t="n">
        <f aca="false">VALUE(IF($D346="poš",$C346,0))+VALUE(IF($H346="poš",$G346,0))</f>
        <v>0</v>
      </c>
      <c r="X346" s="148" t="n">
        <f aca="false">VALUE(IF($D346="tel",$C346,0))+VALUE(IF($H346="tel",$G346,0))</f>
        <v>0</v>
      </c>
      <c r="Y346" s="148" t="n">
        <f aca="false">VALUE(IF($D346="dop",$C346,0))+VALUE(IF($H346="dop",$G346,0))</f>
        <v>0</v>
      </c>
      <c r="Z346" s="148" t="n">
        <f aca="false">VALUE(IF($D346="nák",$C346,0))+VALUE(IF($H346="nák",$G346,0))</f>
        <v>0</v>
      </c>
      <c r="AA346" s="148" t="n">
        <f aca="false">VALUE(IF($D346="náj",$C346,0))+VALUE(IF($H346="náj",$G346,0))</f>
        <v>0</v>
      </c>
      <c r="AB346" s="148" t="n">
        <f aca="false">VALUE(IF($D346="půj",$C346,0))+VALUE(IF($H346="půj",$G346,0))</f>
        <v>0</v>
      </c>
      <c r="AC346" s="148" t="n">
        <f aca="false">VALUE(IF($D346="vst",$C346,0))+VALUE(IF($H346="vst",$G346,0))</f>
        <v>0</v>
      </c>
      <c r="AD346" s="148" t="n">
        <f aca="false">VALUE(IF($D346="kop",$C346,0))+VALUE(IF($H346="kop",$G346,0))</f>
        <v>0</v>
      </c>
      <c r="AE346" s="148" t="n">
        <f aca="false">VALUE(IF($D346="osl",$C346,0))+VALUE(IF($H346="osl",$G346,0))</f>
        <v>0</v>
      </c>
      <c r="AF346" s="148" t="n">
        <f aca="false">VALUE(IF($D346="vra",$C346,0))+VALUE(IF($H346="vra",$G346,0))</f>
        <v>0</v>
      </c>
      <c r="AG346" s="148" t="n">
        <f aca="false">VALUE(IF($D346="zho",$C346,0))+VALUE(IF($H346="zho",$G346,0))</f>
        <v>0</v>
      </c>
      <c r="AH346" s="148" t="n">
        <f aca="false">VALUE(IF($D346="zbú",$C346,0))+VALUE(IF($H346="zbú",$G346,0))</f>
        <v>0</v>
      </c>
      <c r="AI346" s="148" t="n">
        <f aca="false">VALUE(IF($D346="pří",$C346,0))+VALUE(IF($H346="pří",$G346,0))</f>
        <v>0</v>
      </c>
      <c r="AJ346" s="148" t="n">
        <f aca="false">VALUE(IF($D346="dot",$C346,0))+VALUE(IF($H346="dot",$G346,0))</f>
        <v>0</v>
      </c>
      <c r="AK346" s="148" t="n">
        <f aca="false">VALUE(IF($D346="opř",$C346,0))+VALUE(IF($H346="opř",$G346,0))</f>
        <v>0</v>
      </c>
      <c r="AL346" s="148" t="n">
        <f aca="false">SUM(P346:AK346)</f>
        <v>0</v>
      </c>
    </row>
    <row r="347" customFormat="false" ht="12.75" hidden="false" customHeight="false" outlineLevel="0" collapsed="false">
      <c r="P347" s="148" t="n">
        <f aca="false">VALUE(IF($D347="vyb",$C347,0))+VALUE(IF($H347="vyb",$G347,0))</f>
        <v>0</v>
      </c>
      <c r="Q347" s="148" t="n">
        <f aca="false">VALUE(IF($D347="mtv",$C347,0))+VALUE(IF($H347="mtv",$G347,0))</f>
        <v>0</v>
      </c>
      <c r="R347" s="148" t="n">
        <f aca="false">VALUE(IF($D347="mat",$C347,0))+VALUE(IF($H347="mat",$G347,0))</f>
        <v>0</v>
      </c>
      <c r="S347" s="148" t="n">
        <f aca="false">VALUE(IF($D347="pot",$C347,0))+VALUE(IF($H347="pot",$G347,0))</f>
        <v>0</v>
      </c>
      <c r="T347" s="148" t="n">
        <f aca="false">VALUE(IF($D347="táb",$C347,0))+VALUE(IF($H347="táb",$G347,0))</f>
        <v>0</v>
      </c>
      <c r="U347" s="148" t="n">
        <f aca="false">VALUE(IF($D347="oma",$C347,0))+VALUE(IF($H347="oma",$G347,0))</f>
        <v>0</v>
      </c>
      <c r="V347" s="148" t="n">
        <f aca="false">VALUE(IF($D347="ces",$C347,0))+VALUE(IF($H347="ces",$G347,0))</f>
        <v>0</v>
      </c>
      <c r="W347" s="148" t="n">
        <f aca="false">VALUE(IF($D347="poš",$C347,0))+VALUE(IF($H347="poš",$G347,0))</f>
        <v>0</v>
      </c>
      <c r="X347" s="148" t="n">
        <f aca="false">VALUE(IF($D347="tel",$C347,0))+VALUE(IF($H347="tel",$G347,0))</f>
        <v>0</v>
      </c>
      <c r="Y347" s="148" t="n">
        <f aca="false">VALUE(IF($D347="dop",$C347,0))+VALUE(IF($H347="dop",$G347,0))</f>
        <v>0</v>
      </c>
      <c r="Z347" s="148" t="n">
        <f aca="false">VALUE(IF($D347="nák",$C347,0))+VALUE(IF($H347="nák",$G347,0))</f>
        <v>0</v>
      </c>
      <c r="AA347" s="148" t="n">
        <f aca="false">VALUE(IF($D347="náj",$C347,0))+VALUE(IF($H347="náj",$G347,0))</f>
        <v>0</v>
      </c>
      <c r="AB347" s="148" t="n">
        <f aca="false">VALUE(IF($D347="půj",$C347,0))+VALUE(IF($H347="půj",$G347,0))</f>
        <v>0</v>
      </c>
      <c r="AC347" s="148" t="n">
        <f aca="false">VALUE(IF($D347="vst",$C347,0))+VALUE(IF($H347="vst",$G347,0))</f>
        <v>0</v>
      </c>
      <c r="AD347" s="148" t="n">
        <f aca="false">VALUE(IF($D347="kop",$C347,0))+VALUE(IF($H347="kop",$G347,0))</f>
        <v>0</v>
      </c>
      <c r="AE347" s="148" t="n">
        <f aca="false">VALUE(IF($D347="osl",$C347,0))+VALUE(IF($H347="osl",$G347,0))</f>
        <v>0</v>
      </c>
      <c r="AF347" s="148" t="n">
        <f aca="false">VALUE(IF($D347="vra",$C347,0))+VALUE(IF($H347="vra",$G347,0))</f>
        <v>0</v>
      </c>
      <c r="AG347" s="148" t="n">
        <f aca="false">VALUE(IF($D347="zho",$C347,0))+VALUE(IF($H347="zho",$G347,0))</f>
        <v>0</v>
      </c>
      <c r="AH347" s="148" t="n">
        <f aca="false">VALUE(IF($D347="zbú",$C347,0))+VALUE(IF($H347="zbú",$G347,0))</f>
        <v>0</v>
      </c>
      <c r="AI347" s="148" t="n">
        <f aca="false">VALUE(IF($D347="pří",$C347,0))+VALUE(IF($H347="pří",$G347,0))</f>
        <v>0</v>
      </c>
      <c r="AJ347" s="148" t="n">
        <f aca="false">VALUE(IF($D347="dot",$C347,0))+VALUE(IF($H347="dot",$G347,0))</f>
        <v>0</v>
      </c>
      <c r="AK347" s="148" t="n">
        <f aca="false">VALUE(IF($D347="opř",$C347,0))+VALUE(IF($H347="opř",$G347,0))</f>
        <v>0</v>
      </c>
      <c r="AL347" s="148" t="n">
        <f aca="false">SUM(P347:AK347)</f>
        <v>0</v>
      </c>
    </row>
    <row r="348" customFormat="false" ht="12.75" hidden="false" customHeight="false" outlineLevel="0" collapsed="false">
      <c r="P348" s="148" t="n">
        <f aca="false">VALUE(IF($D348="vyb",$C348,0))+VALUE(IF($H348="vyb",$G348,0))</f>
        <v>0</v>
      </c>
      <c r="Q348" s="148" t="n">
        <f aca="false">VALUE(IF($D348="mtv",$C348,0))+VALUE(IF($H348="mtv",$G348,0))</f>
        <v>0</v>
      </c>
      <c r="R348" s="148" t="n">
        <f aca="false">VALUE(IF($D348="mat",$C348,0))+VALUE(IF($H348="mat",$G348,0))</f>
        <v>0</v>
      </c>
      <c r="S348" s="148" t="n">
        <f aca="false">VALUE(IF($D348="pot",$C348,0))+VALUE(IF($H348="pot",$G348,0))</f>
        <v>0</v>
      </c>
      <c r="T348" s="148" t="n">
        <f aca="false">VALUE(IF($D348="táb",$C348,0))+VALUE(IF($H348="táb",$G348,0))</f>
        <v>0</v>
      </c>
      <c r="U348" s="148" t="n">
        <f aca="false">VALUE(IF($D348="oma",$C348,0))+VALUE(IF($H348="oma",$G348,0))</f>
        <v>0</v>
      </c>
      <c r="V348" s="148" t="n">
        <f aca="false">VALUE(IF($D348="ces",$C348,0))+VALUE(IF($H348="ces",$G348,0))</f>
        <v>0</v>
      </c>
      <c r="W348" s="148" t="n">
        <f aca="false">VALUE(IF($D348="poš",$C348,0))+VALUE(IF($H348="poš",$G348,0))</f>
        <v>0</v>
      </c>
      <c r="X348" s="148" t="n">
        <f aca="false">VALUE(IF($D348="tel",$C348,0))+VALUE(IF($H348="tel",$G348,0))</f>
        <v>0</v>
      </c>
      <c r="Y348" s="148" t="n">
        <f aca="false">VALUE(IF($D348="dop",$C348,0))+VALUE(IF($H348="dop",$G348,0))</f>
        <v>0</v>
      </c>
      <c r="Z348" s="148" t="n">
        <f aca="false">VALUE(IF($D348="nák",$C348,0))+VALUE(IF($H348="nák",$G348,0))</f>
        <v>0</v>
      </c>
      <c r="AA348" s="148" t="n">
        <f aca="false">VALUE(IF($D348="náj",$C348,0))+VALUE(IF($H348="náj",$G348,0))</f>
        <v>0</v>
      </c>
      <c r="AB348" s="148" t="n">
        <f aca="false">VALUE(IF($D348="půj",$C348,0))+VALUE(IF($H348="půj",$G348,0))</f>
        <v>0</v>
      </c>
      <c r="AC348" s="148" t="n">
        <f aca="false">VALUE(IF($D348="vst",$C348,0))+VALUE(IF($H348="vst",$G348,0))</f>
        <v>0</v>
      </c>
      <c r="AD348" s="148" t="n">
        <f aca="false">VALUE(IF($D348="kop",$C348,0))+VALUE(IF($H348="kop",$G348,0))</f>
        <v>0</v>
      </c>
      <c r="AE348" s="148" t="n">
        <f aca="false">VALUE(IF($D348="osl",$C348,0))+VALUE(IF($H348="osl",$G348,0))</f>
        <v>0</v>
      </c>
      <c r="AF348" s="148" t="n">
        <f aca="false">VALUE(IF($D348="vra",$C348,0))+VALUE(IF($H348="vra",$G348,0))</f>
        <v>0</v>
      </c>
      <c r="AG348" s="148" t="n">
        <f aca="false">VALUE(IF($D348="zho",$C348,0))+VALUE(IF($H348="zho",$G348,0))</f>
        <v>0</v>
      </c>
      <c r="AH348" s="148" t="n">
        <f aca="false">VALUE(IF($D348="zbú",$C348,0))+VALUE(IF($H348="zbú",$G348,0))</f>
        <v>0</v>
      </c>
      <c r="AI348" s="148" t="n">
        <f aca="false">VALUE(IF($D348="pří",$C348,0))+VALUE(IF($H348="pří",$G348,0))</f>
        <v>0</v>
      </c>
      <c r="AJ348" s="148" t="n">
        <f aca="false">VALUE(IF($D348="dot",$C348,0))+VALUE(IF($H348="dot",$G348,0))</f>
        <v>0</v>
      </c>
      <c r="AK348" s="148" t="n">
        <f aca="false">VALUE(IF($D348="opř",$C348,0))+VALUE(IF($H348="opř",$G348,0))</f>
        <v>0</v>
      </c>
      <c r="AL348" s="148" t="n">
        <f aca="false">SUM(P348:AK348)</f>
        <v>0</v>
      </c>
    </row>
    <row r="349" customFormat="false" ht="12.75" hidden="false" customHeight="false" outlineLevel="0" collapsed="false">
      <c r="P349" s="148" t="n">
        <f aca="false">VALUE(IF($D349="vyb",$C349,0))+VALUE(IF($H349="vyb",$G349,0))</f>
        <v>0</v>
      </c>
      <c r="Q349" s="148" t="n">
        <f aca="false">VALUE(IF($D349="mtv",$C349,0))+VALUE(IF($H349="mtv",$G349,0))</f>
        <v>0</v>
      </c>
      <c r="R349" s="148" t="n">
        <f aca="false">VALUE(IF($D349="mat",$C349,0))+VALUE(IF($H349="mat",$G349,0))</f>
        <v>0</v>
      </c>
      <c r="S349" s="148" t="n">
        <f aca="false">VALUE(IF($D349="pot",$C349,0))+VALUE(IF($H349="pot",$G349,0))</f>
        <v>0</v>
      </c>
      <c r="T349" s="148" t="n">
        <f aca="false">VALUE(IF($D349="táb",$C349,0))+VALUE(IF($H349="táb",$G349,0))</f>
        <v>0</v>
      </c>
      <c r="U349" s="148" t="n">
        <f aca="false">VALUE(IF($D349="oma",$C349,0))+VALUE(IF($H349="oma",$G349,0))</f>
        <v>0</v>
      </c>
      <c r="V349" s="148" t="n">
        <f aca="false">VALUE(IF($D349="ces",$C349,0))+VALUE(IF($H349="ces",$G349,0))</f>
        <v>0</v>
      </c>
      <c r="W349" s="148" t="n">
        <f aca="false">VALUE(IF($D349="poš",$C349,0))+VALUE(IF($H349="poš",$G349,0))</f>
        <v>0</v>
      </c>
      <c r="X349" s="148" t="n">
        <f aca="false">VALUE(IF($D349="tel",$C349,0))+VALUE(IF($H349="tel",$G349,0))</f>
        <v>0</v>
      </c>
      <c r="Y349" s="148" t="n">
        <f aca="false">VALUE(IF($D349="dop",$C349,0))+VALUE(IF($H349="dop",$G349,0))</f>
        <v>0</v>
      </c>
      <c r="Z349" s="148" t="n">
        <f aca="false">VALUE(IF($D349="nák",$C349,0))+VALUE(IF($H349="nák",$G349,0))</f>
        <v>0</v>
      </c>
      <c r="AA349" s="148" t="n">
        <f aca="false">VALUE(IF($D349="náj",$C349,0))+VALUE(IF($H349="náj",$G349,0))</f>
        <v>0</v>
      </c>
      <c r="AB349" s="148" t="n">
        <f aca="false">VALUE(IF($D349="půj",$C349,0))+VALUE(IF($H349="půj",$G349,0))</f>
        <v>0</v>
      </c>
      <c r="AC349" s="148" t="n">
        <f aca="false">VALUE(IF($D349="vst",$C349,0))+VALUE(IF($H349="vst",$G349,0))</f>
        <v>0</v>
      </c>
      <c r="AD349" s="148" t="n">
        <f aca="false">VALUE(IF($D349="kop",$C349,0))+VALUE(IF($H349="kop",$G349,0))</f>
        <v>0</v>
      </c>
      <c r="AE349" s="148" t="n">
        <f aca="false">VALUE(IF($D349="osl",$C349,0))+VALUE(IF($H349="osl",$G349,0))</f>
        <v>0</v>
      </c>
      <c r="AF349" s="148" t="n">
        <f aca="false">VALUE(IF($D349="vra",$C349,0))+VALUE(IF($H349="vra",$G349,0))</f>
        <v>0</v>
      </c>
      <c r="AG349" s="148" t="n">
        <f aca="false">VALUE(IF($D349="zho",$C349,0))+VALUE(IF($H349="zho",$G349,0))</f>
        <v>0</v>
      </c>
      <c r="AH349" s="148" t="n">
        <f aca="false">VALUE(IF($D349="zbú",$C349,0))+VALUE(IF($H349="zbú",$G349,0))</f>
        <v>0</v>
      </c>
      <c r="AI349" s="148" t="n">
        <f aca="false">VALUE(IF($D349="pří",$C349,0))+VALUE(IF($H349="pří",$G349,0))</f>
        <v>0</v>
      </c>
      <c r="AJ349" s="148" t="n">
        <f aca="false">VALUE(IF($D349="dot",$C349,0))+VALUE(IF($H349="dot",$G349,0))</f>
        <v>0</v>
      </c>
      <c r="AK349" s="148" t="n">
        <f aca="false">VALUE(IF($D349="opř",$C349,0))+VALUE(IF($H349="opř",$G349,0))</f>
        <v>0</v>
      </c>
      <c r="AL349" s="148" t="n">
        <f aca="false">SUM(P349:AK349)</f>
        <v>0</v>
      </c>
    </row>
    <row r="350" customFormat="false" ht="12.75" hidden="false" customHeight="false" outlineLevel="0" collapsed="false">
      <c r="P350" s="148" t="n">
        <f aca="false">VALUE(IF($D350="vyb",$C350,0))+VALUE(IF($H350="vyb",$G350,0))</f>
        <v>0</v>
      </c>
      <c r="Q350" s="148" t="n">
        <f aca="false">VALUE(IF($D350="mtv",$C350,0))+VALUE(IF($H350="mtv",$G350,0))</f>
        <v>0</v>
      </c>
      <c r="R350" s="148" t="n">
        <f aca="false">VALUE(IF($D350="mat",$C350,0))+VALUE(IF($H350="mat",$G350,0))</f>
        <v>0</v>
      </c>
      <c r="S350" s="148" t="n">
        <f aca="false">VALUE(IF($D350="pot",$C350,0))+VALUE(IF($H350="pot",$G350,0))</f>
        <v>0</v>
      </c>
      <c r="T350" s="148" t="n">
        <f aca="false">VALUE(IF($D350="táb",$C350,0))+VALUE(IF($H350="táb",$G350,0))</f>
        <v>0</v>
      </c>
      <c r="U350" s="148" t="n">
        <f aca="false">VALUE(IF($D350="oma",$C350,0))+VALUE(IF($H350="oma",$G350,0))</f>
        <v>0</v>
      </c>
      <c r="V350" s="148" t="n">
        <f aca="false">VALUE(IF($D350="ces",$C350,0))+VALUE(IF($H350="ces",$G350,0))</f>
        <v>0</v>
      </c>
      <c r="W350" s="148" t="n">
        <f aca="false">VALUE(IF($D350="poš",$C350,0))+VALUE(IF($H350="poš",$G350,0))</f>
        <v>0</v>
      </c>
      <c r="X350" s="148" t="n">
        <f aca="false">VALUE(IF($D350="tel",$C350,0))+VALUE(IF($H350="tel",$G350,0))</f>
        <v>0</v>
      </c>
      <c r="Y350" s="148" t="n">
        <f aca="false">VALUE(IF($D350="dop",$C350,0))+VALUE(IF($H350="dop",$G350,0))</f>
        <v>0</v>
      </c>
      <c r="Z350" s="148" t="n">
        <f aca="false">VALUE(IF($D350="nák",$C350,0))+VALUE(IF($H350="nák",$G350,0))</f>
        <v>0</v>
      </c>
      <c r="AA350" s="148" t="n">
        <f aca="false">VALUE(IF($D350="náj",$C350,0))+VALUE(IF($H350="náj",$G350,0))</f>
        <v>0</v>
      </c>
      <c r="AB350" s="148" t="n">
        <f aca="false">VALUE(IF($D350="půj",$C350,0))+VALUE(IF($H350="půj",$G350,0))</f>
        <v>0</v>
      </c>
      <c r="AC350" s="148" t="n">
        <f aca="false">VALUE(IF($D350="vst",$C350,0))+VALUE(IF($H350="vst",$G350,0))</f>
        <v>0</v>
      </c>
      <c r="AD350" s="148" t="n">
        <f aca="false">VALUE(IF($D350="kop",$C350,0))+VALUE(IF($H350="kop",$G350,0))</f>
        <v>0</v>
      </c>
      <c r="AE350" s="148" t="n">
        <f aca="false">VALUE(IF($D350="osl",$C350,0))+VALUE(IF($H350="osl",$G350,0))</f>
        <v>0</v>
      </c>
      <c r="AF350" s="148" t="n">
        <f aca="false">VALUE(IF($D350="vra",$C350,0))+VALUE(IF($H350="vra",$G350,0))</f>
        <v>0</v>
      </c>
      <c r="AG350" s="148" t="n">
        <f aca="false">VALUE(IF($D350="zho",$C350,0))+VALUE(IF($H350="zho",$G350,0))</f>
        <v>0</v>
      </c>
      <c r="AH350" s="148" t="n">
        <f aca="false">VALUE(IF($D350="zbú",$C350,0))+VALUE(IF($H350="zbú",$G350,0))</f>
        <v>0</v>
      </c>
      <c r="AI350" s="148" t="n">
        <f aca="false">VALUE(IF($D350="pří",$C350,0))+VALUE(IF($H350="pří",$G350,0))</f>
        <v>0</v>
      </c>
      <c r="AJ350" s="148" t="n">
        <f aca="false">VALUE(IF($D350="dot",$C350,0))+VALUE(IF($H350="dot",$G350,0))</f>
        <v>0</v>
      </c>
      <c r="AK350" s="148" t="n">
        <f aca="false">VALUE(IF($D350="opř",$C350,0))+VALUE(IF($H350="opř",$G350,0))</f>
        <v>0</v>
      </c>
      <c r="AL350" s="148" t="n">
        <f aca="false">SUM(P350:AK350)</f>
        <v>0</v>
      </c>
    </row>
    <row r="351" customFormat="false" ht="12.75" hidden="false" customHeight="false" outlineLevel="0" collapsed="false">
      <c r="P351" s="148" t="n">
        <f aca="false">VALUE(IF($D351="vyb",$C351,0))+VALUE(IF($H351="vyb",$G351,0))</f>
        <v>0</v>
      </c>
      <c r="Q351" s="148" t="n">
        <f aca="false">VALUE(IF($D351="mtv",$C351,0))+VALUE(IF($H351="mtv",$G351,0))</f>
        <v>0</v>
      </c>
      <c r="R351" s="148" t="n">
        <f aca="false">VALUE(IF($D351="mat",$C351,0))+VALUE(IF($H351="mat",$G351,0))</f>
        <v>0</v>
      </c>
      <c r="S351" s="148" t="n">
        <f aca="false">VALUE(IF($D351="pot",$C351,0))+VALUE(IF($H351="pot",$G351,0))</f>
        <v>0</v>
      </c>
      <c r="T351" s="148" t="n">
        <f aca="false">VALUE(IF($D351="táb",$C351,0))+VALUE(IF($H351="táb",$G351,0))</f>
        <v>0</v>
      </c>
      <c r="U351" s="148" t="n">
        <f aca="false">VALUE(IF($D351="oma",$C351,0))+VALUE(IF($H351="oma",$G351,0))</f>
        <v>0</v>
      </c>
      <c r="V351" s="148" t="n">
        <f aca="false">VALUE(IF($D351="ces",$C351,0))+VALUE(IF($H351="ces",$G351,0))</f>
        <v>0</v>
      </c>
      <c r="W351" s="148" t="n">
        <f aca="false">VALUE(IF($D351="poš",$C351,0))+VALUE(IF($H351="poš",$G351,0))</f>
        <v>0</v>
      </c>
      <c r="X351" s="148" t="n">
        <f aca="false">VALUE(IF($D351="tel",$C351,0))+VALUE(IF($H351="tel",$G351,0))</f>
        <v>0</v>
      </c>
      <c r="Y351" s="148" t="n">
        <f aca="false">VALUE(IF($D351="dop",$C351,0))+VALUE(IF($H351="dop",$G351,0))</f>
        <v>0</v>
      </c>
      <c r="Z351" s="148" t="n">
        <f aca="false">VALUE(IF($D351="nák",$C351,0))+VALUE(IF($H351="nák",$G351,0))</f>
        <v>0</v>
      </c>
      <c r="AA351" s="148" t="n">
        <f aca="false">VALUE(IF($D351="náj",$C351,0))+VALUE(IF($H351="náj",$G351,0))</f>
        <v>0</v>
      </c>
      <c r="AB351" s="148" t="n">
        <f aca="false">VALUE(IF($D351="půj",$C351,0))+VALUE(IF($H351="půj",$G351,0))</f>
        <v>0</v>
      </c>
      <c r="AC351" s="148" t="n">
        <f aca="false">VALUE(IF($D351="vst",$C351,0))+VALUE(IF($H351="vst",$G351,0))</f>
        <v>0</v>
      </c>
      <c r="AD351" s="148" t="n">
        <f aca="false">VALUE(IF($D351="kop",$C351,0))+VALUE(IF($H351="kop",$G351,0))</f>
        <v>0</v>
      </c>
      <c r="AE351" s="148" t="n">
        <f aca="false">VALUE(IF($D351="osl",$C351,0))+VALUE(IF($H351="osl",$G351,0))</f>
        <v>0</v>
      </c>
      <c r="AF351" s="148" t="n">
        <f aca="false">VALUE(IF($D351="vra",$C351,0))+VALUE(IF($H351="vra",$G351,0))</f>
        <v>0</v>
      </c>
      <c r="AG351" s="148" t="n">
        <f aca="false">VALUE(IF($D351="zho",$C351,0))+VALUE(IF($H351="zho",$G351,0))</f>
        <v>0</v>
      </c>
      <c r="AH351" s="148" t="n">
        <f aca="false">VALUE(IF($D351="zbú",$C351,0))+VALUE(IF($H351="zbú",$G351,0))</f>
        <v>0</v>
      </c>
      <c r="AI351" s="148" t="n">
        <f aca="false">VALUE(IF($D351="pří",$C351,0))+VALUE(IF($H351="pří",$G351,0))</f>
        <v>0</v>
      </c>
      <c r="AJ351" s="148" t="n">
        <f aca="false">VALUE(IF($D351="dot",$C351,0))+VALUE(IF($H351="dot",$G351,0))</f>
        <v>0</v>
      </c>
      <c r="AK351" s="148" t="n">
        <f aca="false">VALUE(IF($D351="opř",$C351,0))+VALUE(IF($H351="opř",$G351,0))</f>
        <v>0</v>
      </c>
      <c r="AL351" s="148" t="n">
        <f aca="false">SUM(P351:AK351)</f>
        <v>0</v>
      </c>
    </row>
    <row r="352" customFormat="false" ht="12.75" hidden="false" customHeight="false" outlineLevel="0" collapsed="false">
      <c r="P352" s="148" t="n">
        <f aca="false">VALUE(IF($D352="vyb",$C352,0))+VALUE(IF($H352="vyb",$G352,0))</f>
        <v>0</v>
      </c>
      <c r="Q352" s="148" t="n">
        <f aca="false">VALUE(IF($D352="mtv",$C352,0))+VALUE(IF($H352="mtv",$G352,0))</f>
        <v>0</v>
      </c>
      <c r="R352" s="148" t="n">
        <f aca="false">VALUE(IF($D352="mat",$C352,0))+VALUE(IF($H352="mat",$G352,0))</f>
        <v>0</v>
      </c>
      <c r="S352" s="148" t="n">
        <f aca="false">VALUE(IF($D352="pot",$C352,0))+VALUE(IF($H352="pot",$G352,0))</f>
        <v>0</v>
      </c>
      <c r="T352" s="148" t="n">
        <f aca="false">VALUE(IF($D352="táb",$C352,0))+VALUE(IF($H352="táb",$G352,0))</f>
        <v>0</v>
      </c>
      <c r="U352" s="148" t="n">
        <f aca="false">VALUE(IF($D352="oma",$C352,0))+VALUE(IF($H352="oma",$G352,0))</f>
        <v>0</v>
      </c>
      <c r="V352" s="148" t="n">
        <f aca="false">VALUE(IF($D352="ces",$C352,0))+VALUE(IF($H352="ces",$G352,0))</f>
        <v>0</v>
      </c>
      <c r="W352" s="148" t="n">
        <f aca="false">VALUE(IF($D352="poš",$C352,0))+VALUE(IF($H352="poš",$G352,0))</f>
        <v>0</v>
      </c>
      <c r="X352" s="148" t="n">
        <f aca="false">VALUE(IF($D352="tel",$C352,0))+VALUE(IF($H352="tel",$G352,0))</f>
        <v>0</v>
      </c>
      <c r="Y352" s="148" t="n">
        <f aca="false">VALUE(IF($D352="dop",$C352,0))+VALUE(IF($H352="dop",$G352,0))</f>
        <v>0</v>
      </c>
      <c r="Z352" s="148" t="n">
        <f aca="false">VALUE(IF($D352="nák",$C352,0))+VALUE(IF($H352="nák",$G352,0))</f>
        <v>0</v>
      </c>
      <c r="AA352" s="148" t="n">
        <f aca="false">VALUE(IF($D352="náj",$C352,0))+VALUE(IF($H352="náj",$G352,0))</f>
        <v>0</v>
      </c>
      <c r="AB352" s="148" t="n">
        <f aca="false">VALUE(IF($D352="půj",$C352,0))+VALUE(IF($H352="půj",$G352,0))</f>
        <v>0</v>
      </c>
      <c r="AC352" s="148" t="n">
        <f aca="false">VALUE(IF($D352="vst",$C352,0))+VALUE(IF($H352="vst",$G352,0))</f>
        <v>0</v>
      </c>
      <c r="AD352" s="148" t="n">
        <f aca="false">VALUE(IF($D352="kop",$C352,0))+VALUE(IF($H352="kop",$G352,0))</f>
        <v>0</v>
      </c>
      <c r="AE352" s="148" t="n">
        <f aca="false">VALUE(IF($D352="osl",$C352,0))+VALUE(IF($H352="osl",$G352,0))</f>
        <v>0</v>
      </c>
      <c r="AF352" s="148" t="n">
        <f aca="false">VALUE(IF($D352="vra",$C352,0))+VALUE(IF($H352="vra",$G352,0))</f>
        <v>0</v>
      </c>
      <c r="AG352" s="148" t="n">
        <f aca="false">VALUE(IF($D352="zho",$C352,0))+VALUE(IF($H352="zho",$G352,0))</f>
        <v>0</v>
      </c>
      <c r="AH352" s="148" t="n">
        <f aca="false">VALUE(IF($D352="zbú",$C352,0))+VALUE(IF($H352="zbú",$G352,0))</f>
        <v>0</v>
      </c>
      <c r="AI352" s="148" t="n">
        <f aca="false">VALUE(IF($D352="pří",$C352,0))+VALUE(IF($H352="pří",$G352,0))</f>
        <v>0</v>
      </c>
      <c r="AJ352" s="148" t="n">
        <f aca="false">VALUE(IF($D352="dot",$C352,0))+VALUE(IF($H352="dot",$G352,0))</f>
        <v>0</v>
      </c>
      <c r="AK352" s="148" t="n">
        <f aca="false">VALUE(IF($D352="opř",$C352,0))+VALUE(IF($H352="opř",$G352,0))</f>
        <v>0</v>
      </c>
      <c r="AL352" s="148" t="n">
        <f aca="false">SUM(P352:AK352)</f>
        <v>0</v>
      </c>
    </row>
    <row r="353" customFormat="false" ht="12.75" hidden="false" customHeight="false" outlineLevel="0" collapsed="false">
      <c r="P353" s="148" t="n">
        <f aca="false">VALUE(IF($D353="vyb",$C353,0))+VALUE(IF($H353="vyb",$G353,0))</f>
        <v>0</v>
      </c>
      <c r="Q353" s="148" t="n">
        <f aca="false">VALUE(IF($D353="mtv",$C353,0))+VALUE(IF($H353="mtv",$G353,0))</f>
        <v>0</v>
      </c>
      <c r="R353" s="148" t="n">
        <f aca="false">VALUE(IF($D353="mat",$C353,0))+VALUE(IF($H353="mat",$G353,0))</f>
        <v>0</v>
      </c>
      <c r="S353" s="148" t="n">
        <f aca="false">VALUE(IF($D353="pot",$C353,0))+VALUE(IF($H353="pot",$G353,0))</f>
        <v>0</v>
      </c>
      <c r="T353" s="148" t="n">
        <f aca="false">VALUE(IF($D353="táb",$C353,0))+VALUE(IF($H353="táb",$G353,0))</f>
        <v>0</v>
      </c>
      <c r="U353" s="148" t="n">
        <f aca="false">VALUE(IF($D353="oma",$C353,0))+VALUE(IF($H353="oma",$G353,0))</f>
        <v>0</v>
      </c>
      <c r="V353" s="148" t="n">
        <f aca="false">VALUE(IF($D353="ces",$C353,0))+VALUE(IF($H353="ces",$G353,0))</f>
        <v>0</v>
      </c>
      <c r="W353" s="148" t="n">
        <f aca="false">VALUE(IF($D353="poš",$C353,0))+VALUE(IF($H353="poš",$G353,0))</f>
        <v>0</v>
      </c>
      <c r="X353" s="148" t="n">
        <f aca="false">VALUE(IF($D353="tel",$C353,0))+VALUE(IF($H353="tel",$G353,0))</f>
        <v>0</v>
      </c>
      <c r="Y353" s="148" t="n">
        <f aca="false">VALUE(IF($D353="dop",$C353,0))+VALUE(IF($H353="dop",$G353,0))</f>
        <v>0</v>
      </c>
      <c r="Z353" s="148" t="n">
        <f aca="false">VALUE(IF($D353="nák",$C353,0))+VALUE(IF($H353="nák",$G353,0))</f>
        <v>0</v>
      </c>
      <c r="AA353" s="148" t="n">
        <f aca="false">VALUE(IF($D353="náj",$C353,0))+VALUE(IF($H353="náj",$G353,0))</f>
        <v>0</v>
      </c>
      <c r="AB353" s="148" t="n">
        <f aca="false">VALUE(IF($D353="půj",$C353,0))+VALUE(IF($H353="půj",$G353,0))</f>
        <v>0</v>
      </c>
      <c r="AC353" s="148" t="n">
        <f aca="false">VALUE(IF($D353="vst",$C353,0))+VALUE(IF($H353="vst",$G353,0))</f>
        <v>0</v>
      </c>
      <c r="AD353" s="148" t="n">
        <f aca="false">VALUE(IF($D353="kop",$C353,0))+VALUE(IF($H353="kop",$G353,0))</f>
        <v>0</v>
      </c>
      <c r="AE353" s="148" t="n">
        <f aca="false">VALUE(IF($D353="osl",$C353,0))+VALUE(IF($H353="osl",$G353,0))</f>
        <v>0</v>
      </c>
      <c r="AF353" s="148" t="n">
        <f aca="false">VALUE(IF($D353="vra",$C353,0))+VALUE(IF($H353="vra",$G353,0))</f>
        <v>0</v>
      </c>
      <c r="AG353" s="148" t="n">
        <f aca="false">VALUE(IF($D353="zho",$C353,0))+VALUE(IF($H353="zho",$G353,0))</f>
        <v>0</v>
      </c>
      <c r="AH353" s="148" t="n">
        <f aca="false">VALUE(IF($D353="zbú",$C353,0))+VALUE(IF($H353="zbú",$G353,0))</f>
        <v>0</v>
      </c>
      <c r="AI353" s="148" t="n">
        <f aca="false">VALUE(IF($D353="pří",$C353,0))+VALUE(IF($H353="pří",$G353,0))</f>
        <v>0</v>
      </c>
      <c r="AJ353" s="148" t="n">
        <f aca="false">VALUE(IF($D353="dot",$C353,0))+VALUE(IF($H353="dot",$G353,0))</f>
        <v>0</v>
      </c>
      <c r="AK353" s="148" t="n">
        <f aca="false">VALUE(IF($D353="opř",$C353,0))+VALUE(IF($H353="opř",$G353,0))</f>
        <v>0</v>
      </c>
      <c r="AL353" s="148" t="n">
        <f aca="false">SUM(P353:AK353)</f>
        <v>0</v>
      </c>
    </row>
    <row r="354" customFormat="false" ht="12.75" hidden="false" customHeight="false" outlineLevel="0" collapsed="false">
      <c r="P354" s="148" t="n">
        <f aca="false">VALUE(IF($D354="vyb",$C354,0))+VALUE(IF($H354="vyb",$G354,0))</f>
        <v>0</v>
      </c>
      <c r="Q354" s="148" t="n">
        <f aca="false">VALUE(IF($D354="mtv",$C354,0))+VALUE(IF($H354="mtv",$G354,0))</f>
        <v>0</v>
      </c>
      <c r="R354" s="148" t="n">
        <f aca="false">VALUE(IF($D354="mat",$C354,0))+VALUE(IF($H354="mat",$G354,0))</f>
        <v>0</v>
      </c>
      <c r="S354" s="148" t="n">
        <f aca="false">VALUE(IF($D354="pot",$C354,0))+VALUE(IF($H354="pot",$G354,0))</f>
        <v>0</v>
      </c>
      <c r="T354" s="148" t="n">
        <f aca="false">VALUE(IF($D354="táb",$C354,0))+VALUE(IF($H354="táb",$G354,0))</f>
        <v>0</v>
      </c>
      <c r="U354" s="148" t="n">
        <f aca="false">VALUE(IF($D354="oma",$C354,0))+VALUE(IF($H354="oma",$G354,0))</f>
        <v>0</v>
      </c>
      <c r="V354" s="148" t="n">
        <f aca="false">VALUE(IF($D354="ces",$C354,0))+VALUE(IF($H354="ces",$G354,0))</f>
        <v>0</v>
      </c>
      <c r="W354" s="148" t="n">
        <f aca="false">VALUE(IF($D354="poš",$C354,0))+VALUE(IF($H354="poš",$G354,0))</f>
        <v>0</v>
      </c>
      <c r="X354" s="148" t="n">
        <f aca="false">VALUE(IF($D354="tel",$C354,0))+VALUE(IF($H354="tel",$G354,0))</f>
        <v>0</v>
      </c>
      <c r="Y354" s="148" t="n">
        <f aca="false">VALUE(IF($D354="dop",$C354,0))+VALUE(IF($H354="dop",$G354,0))</f>
        <v>0</v>
      </c>
      <c r="Z354" s="148" t="n">
        <f aca="false">VALUE(IF($D354="nák",$C354,0))+VALUE(IF($H354="nák",$G354,0))</f>
        <v>0</v>
      </c>
      <c r="AA354" s="148" t="n">
        <f aca="false">VALUE(IF($D354="náj",$C354,0))+VALUE(IF($H354="náj",$G354,0))</f>
        <v>0</v>
      </c>
      <c r="AB354" s="148" t="n">
        <f aca="false">VALUE(IF($D354="půj",$C354,0))+VALUE(IF($H354="půj",$G354,0))</f>
        <v>0</v>
      </c>
      <c r="AC354" s="148" t="n">
        <f aca="false">VALUE(IF($D354="vst",$C354,0))+VALUE(IF($H354="vst",$G354,0))</f>
        <v>0</v>
      </c>
      <c r="AD354" s="148" t="n">
        <f aca="false">VALUE(IF($D354="kop",$C354,0))+VALUE(IF($H354="kop",$G354,0))</f>
        <v>0</v>
      </c>
      <c r="AE354" s="148" t="n">
        <f aca="false">VALUE(IF($D354="osl",$C354,0))+VALUE(IF($H354="osl",$G354,0))</f>
        <v>0</v>
      </c>
      <c r="AF354" s="148" t="n">
        <f aca="false">VALUE(IF($D354="vra",$C354,0))+VALUE(IF($H354="vra",$G354,0))</f>
        <v>0</v>
      </c>
      <c r="AG354" s="148" t="n">
        <f aca="false">VALUE(IF($D354="zho",$C354,0))+VALUE(IF($H354="zho",$G354,0))</f>
        <v>0</v>
      </c>
      <c r="AH354" s="148" t="n">
        <f aca="false">VALUE(IF($D354="zbú",$C354,0))+VALUE(IF($H354="zbú",$G354,0))</f>
        <v>0</v>
      </c>
      <c r="AI354" s="148" t="n">
        <f aca="false">VALUE(IF($D354="pří",$C354,0))+VALUE(IF($H354="pří",$G354,0))</f>
        <v>0</v>
      </c>
      <c r="AJ354" s="148" t="n">
        <f aca="false">VALUE(IF($D354="dot",$C354,0))+VALUE(IF($H354="dot",$G354,0))</f>
        <v>0</v>
      </c>
      <c r="AK354" s="148" t="n">
        <f aca="false">VALUE(IF($D354="opř",$C354,0))+VALUE(IF($H354="opř",$G354,0))</f>
        <v>0</v>
      </c>
      <c r="AL354" s="148" t="n">
        <f aca="false">SUM(P354:AK354)</f>
        <v>0</v>
      </c>
    </row>
    <row r="355" customFormat="false" ht="12.75" hidden="false" customHeight="false" outlineLevel="0" collapsed="false">
      <c r="P355" s="148" t="n">
        <f aca="false">VALUE(IF($D355="vyb",$C355,0))+VALUE(IF($H355="vyb",$G355,0))</f>
        <v>0</v>
      </c>
      <c r="Q355" s="148" t="n">
        <f aca="false">VALUE(IF($D355="mtv",$C355,0))+VALUE(IF($H355="mtv",$G355,0))</f>
        <v>0</v>
      </c>
      <c r="R355" s="148" t="n">
        <f aca="false">VALUE(IF($D355="mat",$C355,0))+VALUE(IF($H355="mat",$G355,0))</f>
        <v>0</v>
      </c>
      <c r="S355" s="148" t="n">
        <f aca="false">VALUE(IF($D355="pot",$C355,0))+VALUE(IF($H355="pot",$G355,0))</f>
        <v>0</v>
      </c>
      <c r="T355" s="148" t="n">
        <f aca="false">VALUE(IF($D355="táb",$C355,0))+VALUE(IF($H355="táb",$G355,0))</f>
        <v>0</v>
      </c>
      <c r="U355" s="148" t="n">
        <f aca="false">VALUE(IF($D355="oma",$C355,0))+VALUE(IF($H355="oma",$G355,0))</f>
        <v>0</v>
      </c>
      <c r="V355" s="148" t="n">
        <f aca="false">VALUE(IF($D355="ces",$C355,0))+VALUE(IF($H355="ces",$G355,0))</f>
        <v>0</v>
      </c>
      <c r="W355" s="148" t="n">
        <f aca="false">VALUE(IF($D355="poš",$C355,0))+VALUE(IF($H355="poš",$G355,0))</f>
        <v>0</v>
      </c>
      <c r="X355" s="148" t="n">
        <f aca="false">VALUE(IF($D355="tel",$C355,0))+VALUE(IF($H355="tel",$G355,0))</f>
        <v>0</v>
      </c>
      <c r="Y355" s="148" t="n">
        <f aca="false">VALUE(IF($D355="dop",$C355,0))+VALUE(IF($H355="dop",$G355,0))</f>
        <v>0</v>
      </c>
      <c r="Z355" s="148" t="n">
        <f aca="false">VALUE(IF($D355="nák",$C355,0))+VALUE(IF($H355="nák",$G355,0))</f>
        <v>0</v>
      </c>
      <c r="AA355" s="148" t="n">
        <f aca="false">VALUE(IF($D355="náj",$C355,0))+VALUE(IF($H355="náj",$G355,0))</f>
        <v>0</v>
      </c>
      <c r="AB355" s="148" t="n">
        <f aca="false">VALUE(IF($D355="půj",$C355,0))+VALUE(IF($H355="půj",$G355,0))</f>
        <v>0</v>
      </c>
      <c r="AC355" s="148" t="n">
        <f aca="false">VALUE(IF($D355="vst",$C355,0))+VALUE(IF($H355="vst",$G355,0))</f>
        <v>0</v>
      </c>
      <c r="AD355" s="148" t="n">
        <f aca="false">VALUE(IF($D355="kop",$C355,0))+VALUE(IF($H355="kop",$G355,0))</f>
        <v>0</v>
      </c>
      <c r="AE355" s="148" t="n">
        <f aca="false">VALUE(IF($D355="osl",$C355,0))+VALUE(IF($H355="osl",$G355,0))</f>
        <v>0</v>
      </c>
      <c r="AF355" s="148" t="n">
        <f aca="false">VALUE(IF($D355="vra",$C355,0))+VALUE(IF($H355="vra",$G355,0))</f>
        <v>0</v>
      </c>
      <c r="AG355" s="148" t="n">
        <f aca="false">VALUE(IF($D355="zho",$C355,0))+VALUE(IF($H355="zho",$G355,0))</f>
        <v>0</v>
      </c>
      <c r="AH355" s="148" t="n">
        <f aca="false">VALUE(IF($D355="zbú",$C355,0))+VALUE(IF($H355="zbú",$G355,0))</f>
        <v>0</v>
      </c>
      <c r="AI355" s="148" t="n">
        <f aca="false">VALUE(IF($D355="pří",$C355,0))+VALUE(IF($H355="pří",$G355,0))</f>
        <v>0</v>
      </c>
      <c r="AJ355" s="148" t="n">
        <f aca="false">VALUE(IF($D355="dot",$C355,0))+VALUE(IF($H355="dot",$G355,0))</f>
        <v>0</v>
      </c>
      <c r="AK355" s="148" t="n">
        <f aca="false">VALUE(IF($D355="opř",$C355,0))+VALUE(IF($H355="opř",$G355,0))</f>
        <v>0</v>
      </c>
      <c r="AL355" s="148" t="n">
        <f aca="false">SUM(P355:AK355)</f>
        <v>0</v>
      </c>
    </row>
    <row r="356" customFormat="false" ht="12.75" hidden="false" customHeight="false" outlineLevel="0" collapsed="false">
      <c r="P356" s="148" t="n">
        <f aca="false">VALUE(IF($D356="vyb",$C356,0))+VALUE(IF($H356="vyb",$G356,0))</f>
        <v>0</v>
      </c>
      <c r="Q356" s="148" t="n">
        <f aca="false">VALUE(IF($D356="mtv",$C356,0))+VALUE(IF($H356="mtv",$G356,0))</f>
        <v>0</v>
      </c>
      <c r="R356" s="148" t="n">
        <f aca="false">VALUE(IF($D356="mat",$C356,0))+VALUE(IF($H356="mat",$G356,0))</f>
        <v>0</v>
      </c>
      <c r="S356" s="148" t="n">
        <f aca="false">VALUE(IF($D356="pot",$C356,0))+VALUE(IF($H356="pot",$G356,0))</f>
        <v>0</v>
      </c>
      <c r="T356" s="148" t="n">
        <f aca="false">VALUE(IF($D356="táb",$C356,0))+VALUE(IF($H356="táb",$G356,0))</f>
        <v>0</v>
      </c>
      <c r="U356" s="148" t="n">
        <f aca="false">VALUE(IF($D356="oma",$C356,0))+VALUE(IF($H356="oma",$G356,0))</f>
        <v>0</v>
      </c>
      <c r="V356" s="148" t="n">
        <f aca="false">VALUE(IF($D356="ces",$C356,0))+VALUE(IF($H356="ces",$G356,0))</f>
        <v>0</v>
      </c>
      <c r="W356" s="148" t="n">
        <f aca="false">VALUE(IF($D356="poš",$C356,0))+VALUE(IF($H356="poš",$G356,0))</f>
        <v>0</v>
      </c>
      <c r="X356" s="148" t="n">
        <f aca="false">VALUE(IF($D356="tel",$C356,0))+VALUE(IF($H356="tel",$G356,0))</f>
        <v>0</v>
      </c>
      <c r="Y356" s="148" t="n">
        <f aca="false">VALUE(IF($D356="dop",$C356,0))+VALUE(IF($H356="dop",$G356,0))</f>
        <v>0</v>
      </c>
      <c r="Z356" s="148" t="n">
        <f aca="false">VALUE(IF($D356="nák",$C356,0))+VALUE(IF($H356="nák",$G356,0))</f>
        <v>0</v>
      </c>
      <c r="AA356" s="148" t="n">
        <f aca="false">VALUE(IF($D356="náj",$C356,0))+VALUE(IF($H356="náj",$G356,0))</f>
        <v>0</v>
      </c>
      <c r="AB356" s="148" t="n">
        <f aca="false">VALUE(IF($D356="půj",$C356,0))+VALUE(IF($H356="půj",$G356,0))</f>
        <v>0</v>
      </c>
      <c r="AC356" s="148" t="n">
        <f aca="false">VALUE(IF($D356="vst",$C356,0))+VALUE(IF($H356="vst",$G356,0))</f>
        <v>0</v>
      </c>
      <c r="AD356" s="148" t="n">
        <f aca="false">VALUE(IF($D356="kop",$C356,0))+VALUE(IF($H356="kop",$G356,0))</f>
        <v>0</v>
      </c>
      <c r="AE356" s="148" t="n">
        <f aca="false">VALUE(IF($D356="osl",$C356,0))+VALUE(IF($H356="osl",$G356,0))</f>
        <v>0</v>
      </c>
      <c r="AF356" s="148" t="n">
        <f aca="false">VALUE(IF($D356="vra",$C356,0))+VALUE(IF($H356="vra",$G356,0))</f>
        <v>0</v>
      </c>
      <c r="AG356" s="148" t="n">
        <f aca="false">VALUE(IF($D356="zho",$C356,0))+VALUE(IF($H356="zho",$G356,0))</f>
        <v>0</v>
      </c>
      <c r="AH356" s="148" t="n">
        <f aca="false">VALUE(IF($D356="zbú",$C356,0))+VALUE(IF($H356="zbú",$G356,0))</f>
        <v>0</v>
      </c>
      <c r="AI356" s="148" t="n">
        <f aca="false">VALUE(IF($D356="pří",$C356,0))+VALUE(IF($H356="pří",$G356,0))</f>
        <v>0</v>
      </c>
      <c r="AJ356" s="148" t="n">
        <f aca="false">VALUE(IF($D356="dot",$C356,0))+VALUE(IF($H356="dot",$G356,0))</f>
        <v>0</v>
      </c>
      <c r="AK356" s="148" t="n">
        <f aca="false">VALUE(IF($D356="opř",$C356,0))+VALUE(IF($H356="opř",$G356,0))</f>
        <v>0</v>
      </c>
      <c r="AL356" s="148" t="n">
        <f aca="false">SUM(P356:AK356)</f>
        <v>0</v>
      </c>
    </row>
    <row r="357" customFormat="false" ht="12.75" hidden="false" customHeight="false" outlineLevel="0" collapsed="false">
      <c r="P357" s="148" t="n">
        <f aca="false">VALUE(IF($D357="vyb",$C357,0))+VALUE(IF($H357="vyb",$G357,0))</f>
        <v>0</v>
      </c>
      <c r="Q357" s="148" t="n">
        <f aca="false">VALUE(IF($D357="mtv",$C357,0))+VALUE(IF($H357="mtv",$G357,0))</f>
        <v>0</v>
      </c>
      <c r="R357" s="148" t="n">
        <f aca="false">VALUE(IF($D357="mat",$C357,0))+VALUE(IF($H357="mat",$G357,0))</f>
        <v>0</v>
      </c>
      <c r="S357" s="148" t="n">
        <f aca="false">VALUE(IF($D357="pot",$C357,0))+VALUE(IF($H357="pot",$G357,0))</f>
        <v>0</v>
      </c>
      <c r="T357" s="148" t="n">
        <f aca="false">VALUE(IF($D357="táb",$C357,0))+VALUE(IF($H357="táb",$G357,0))</f>
        <v>0</v>
      </c>
      <c r="U357" s="148" t="n">
        <f aca="false">VALUE(IF($D357="oma",$C357,0))+VALUE(IF($H357="oma",$G357,0))</f>
        <v>0</v>
      </c>
      <c r="V357" s="148" t="n">
        <f aca="false">VALUE(IF($D357="ces",$C357,0))+VALUE(IF($H357="ces",$G357,0))</f>
        <v>0</v>
      </c>
      <c r="W357" s="148" t="n">
        <f aca="false">VALUE(IF($D357="poš",$C357,0))+VALUE(IF($H357="poš",$G357,0))</f>
        <v>0</v>
      </c>
      <c r="X357" s="148" t="n">
        <f aca="false">VALUE(IF($D357="tel",$C357,0))+VALUE(IF($H357="tel",$G357,0))</f>
        <v>0</v>
      </c>
      <c r="Y357" s="148" t="n">
        <f aca="false">VALUE(IF($D357="dop",$C357,0))+VALUE(IF($H357="dop",$G357,0))</f>
        <v>0</v>
      </c>
      <c r="Z357" s="148" t="n">
        <f aca="false">VALUE(IF($D357="nák",$C357,0))+VALUE(IF($H357="nák",$G357,0))</f>
        <v>0</v>
      </c>
      <c r="AA357" s="148" t="n">
        <f aca="false">VALUE(IF($D357="náj",$C357,0))+VALUE(IF($H357="náj",$G357,0))</f>
        <v>0</v>
      </c>
      <c r="AB357" s="148" t="n">
        <f aca="false">VALUE(IF($D357="půj",$C357,0))+VALUE(IF($H357="půj",$G357,0))</f>
        <v>0</v>
      </c>
      <c r="AC357" s="148" t="n">
        <f aca="false">VALUE(IF($D357="vst",$C357,0))+VALUE(IF($H357="vst",$G357,0))</f>
        <v>0</v>
      </c>
      <c r="AD357" s="148" t="n">
        <f aca="false">VALUE(IF($D357="kop",$C357,0))+VALUE(IF($H357="kop",$G357,0))</f>
        <v>0</v>
      </c>
      <c r="AE357" s="148" t="n">
        <f aca="false">VALUE(IF($D357="osl",$C357,0))+VALUE(IF($H357="osl",$G357,0))</f>
        <v>0</v>
      </c>
      <c r="AF357" s="148" t="n">
        <f aca="false">VALUE(IF($D357="vra",$C357,0))+VALUE(IF($H357="vra",$G357,0))</f>
        <v>0</v>
      </c>
      <c r="AG357" s="148" t="n">
        <f aca="false">VALUE(IF($D357="zho",$C357,0))+VALUE(IF($H357="zho",$G357,0))</f>
        <v>0</v>
      </c>
      <c r="AH357" s="148" t="n">
        <f aca="false">VALUE(IF($D357="zbú",$C357,0))+VALUE(IF($H357="zbú",$G357,0))</f>
        <v>0</v>
      </c>
      <c r="AI357" s="148" t="n">
        <f aca="false">VALUE(IF($D357="pří",$C357,0))+VALUE(IF($H357="pří",$G357,0))</f>
        <v>0</v>
      </c>
      <c r="AJ357" s="148" t="n">
        <f aca="false">VALUE(IF($D357="dot",$C357,0))+VALUE(IF($H357="dot",$G357,0))</f>
        <v>0</v>
      </c>
      <c r="AK357" s="148" t="n">
        <f aca="false">VALUE(IF($D357="opř",$C357,0))+VALUE(IF($H357="opř",$G357,0))</f>
        <v>0</v>
      </c>
      <c r="AL357" s="148" t="n">
        <f aca="false">SUM(P357:AK357)</f>
        <v>0</v>
      </c>
    </row>
    <row r="358" customFormat="false" ht="12.75" hidden="false" customHeight="false" outlineLevel="0" collapsed="false">
      <c r="P358" s="148" t="n">
        <f aca="false">VALUE(IF($D358="vyb",$C358,0))+VALUE(IF($H358="vyb",$G358,0))</f>
        <v>0</v>
      </c>
      <c r="Q358" s="148" t="n">
        <f aca="false">VALUE(IF($D358="mtv",$C358,0))+VALUE(IF($H358="mtv",$G358,0))</f>
        <v>0</v>
      </c>
      <c r="R358" s="148" t="n">
        <f aca="false">VALUE(IF($D358="mat",$C358,0))+VALUE(IF($H358="mat",$G358,0))</f>
        <v>0</v>
      </c>
      <c r="S358" s="148" t="n">
        <f aca="false">VALUE(IF($D358="pot",$C358,0))+VALUE(IF($H358="pot",$G358,0))</f>
        <v>0</v>
      </c>
      <c r="T358" s="148" t="n">
        <f aca="false">VALUE(IF($D358="táb",$C358,0))+VALUE(IF($H358="táb",$G358,0))</f>
        <v>0</v>
      </c>
      <c r="U358" s="148" t="n">
        <f aca="false">VALUE(IF($D358="oma",$C358,0))+VALUE(IF($H358="oma",$G358,0))</f>
        <v>0</v>
      </c>
      <c r="V358" s="148" t="n">
        <f aca="false">VALUE(IF($D358="ces",$C358,0))+VALUE(IF($H358="ces",$G358,0))</f>
        <v>0</v>
      </c>
      <c r="W358" s="148" t="n">
        <f aca="false">VALUE(IF($D358="poš",$C358,0))+VALUE(IF($H358="poš",$G358,0))</f>
        <v>0</v>
      </c>
      <c r="X358" s="148" t="n">
        <f aca="false">VALUE(IF($D358="tel",$C358,0))+VALUE(IF($H358="tel",$G358,0))</f>
        <v>0</v>
      </c>
      <c r="Y358" s="148" t="n">
        <f aca="false">VALUE(IF($D358="dop",$C358,0))+VALUE(IF($H358="dop",$G358,0))</f>
        <v>0</v>
      </c>
      <c r="Z358" s="148" t="n">
        <f aca="false">VALUE(IF($D358="nák",$C358,0))+VALUE(IF($H358="nák",$G358,0))</f>
        <v>0</v>
      </c>
      <c r="AA358" s="148" t="n">
        <f aca="false">VALUE(IF($D358="náj",$C358,0))+VALUE(IF($H358="náj",$G358,0))</f>
        <v>0</v>
      </c>
      <c r="AB358" s="148" t="n">
        <f aca="false">VALUE(IF($D358="půj",$C358,0))+VALUE(IF($H358="půj",$G358,0))</f>
        <v>0</v>
      </c>
      <c r="AC358" s="148" t="n">
        <f aca="false">VALUE(IF($D358="vst",$C358,0))+VALUE(IF($H358="vst",$G358,0))</f>
        <v>0</v>
      </c>
      <c r="AD358" s="148" t="n">
        <f aca="false">VALUE(IF($D358="kop",$C358,0))+VALUE(IF($H358="kop",$G358,0))</f>
        <v>0</v>
      </c>
      <c r="AE358" s="148" t="n">
        <f aca="false">VALUE(IF($D358="osl",$C358,0))+VALUE(IF($H358="osl",$G358,0))</f>
        <v>0</v>
      </c>
      <c r="AF358" s="148" t="n">
        <f aca="false">VALUE(IF($D358="vra",$C358,0))+VALUE(IF($H358="vra",$G358,0))</f>
        <v>0</v>
      </c>
      <c r="AG358" s="148" t="n">
        <f aca="false">VALUE(IF($D358="zho",$C358,0))+VALUE(IF($H358="zho",$G358,0))</f>
        <v>0</v>
      </c>
      <c r="AH358" s="148" t="n">
        <f aca="false">VALUE(IF($D358="zbú",$C358,0))+VALUE(IF($H358="zbú",$G358,0))</f>
        <v>0</v>
      </c>
      <c r="AI358" s="148" t="n">
        <f aca="false">VALUE(IF($D358="pří",$C358,0))+VALUE(IF($H358="pří",$G358,0))</f>
        <v>0</v>
      </c>
      <c r="AJ358" s="148" t="n">
        <f aca="false">VALUE(IF($D358="dot",$C358,0))+VALUE(IF($H358="dot",$G358,0))</f>
        <v>0</v>
      </c>
      <c r="AK358" s="148" t="n">
        <f aca="false">VALUE(IF($D358="opř",$C358,0))+VALUE(IF($H358="opř",$G358,0))</f>
        <v>0</v>
      </c>
      <c r="AL358" s="148" t="n">
        <f aca="false">SUM(P358:AK358)</f>
        <v>0</v>
      </c>
    </row>
    <row r="359" customFormat="false" ht="12.75" hidden="false" customHeight="false" outlineLevel="0" collapsed="false">
      <c r="P359" s="148" t="n">
        <f aca="false">VALUE(IF($D359="vyb",$C359,0))+VALUE(IF($H359="vyb",$G359,0))</f>
        <v>0</v>
      </c>
      <c r="Q359" s="148" t="n">
        <f aca="false">VALUE(IF($D359="mtv",$C359,0))+VALUE(IF($H359="mtv",$G359,0))</f>
        <v>0</v>
      </c>
      <c r="R359" s="148" t="n">
        <f aca="false">VALUE(IF($D359="mat",$C359,0))+VALUE(IF($H359="mat",$G359,0))</f>
        <v>0</v>
      </c>
      <c r="S359" s="148" t="n">
        <f aca="false">VALUE(IF($D359="pot",$C359,0))+VALUE(IF($H359="pot",$G359,0))</f>
        <v>0</v>
      </c>
      <c r="T359" s="148" t="n">
        <f aca="false">VALUE(IF($D359="táb",$C359,0))+VALUE(IF($H359="táb",$G359,0))</f>
        <v>0</v>
      </c>
      <c r="U359" s="148" t="n">
        <f aca="false">VALUE(IF($D359="oma",$C359,0))+VALUE(IF($H359="oma",$G359,0))</f>
        <v>0</v>
      </c>
      <c r="V359" s="148" t="n">
        <f aca="false">VALUE(IF($D359="ces",$C359,0))+VALUE(IF($H359="ces",$G359,0))</f>
        <v>0</v>
      </c>
      <c r="W359" s="148" t="n">
        <f aca="false">VALUE(IF($D359="poš",$C359,0))+VALUE(IF($H359="poš",$G359,0))</f>
        <v>0</v>
      </c>
      <c r="X359" s="148" t="n">
        <f aca="false">VALUE(IF($D359="tel",$C359,0))+VALUE(IF($H359="tel",$G359,0))</f>
        <v>0</v>
      </c>
      <c r="Y359" s="148" t="n">
        <f aca="false">VALUE(IF($D359="dop",$C359,0))+VALUE(IF($H359="dop",$G359,0))</f>
        <v>0</v>
      </c>
      <c r="Z359" s="148" t="n">
        <f aca="false">VALUE(IF($D359="nák",$C359,0))+VALUE(IF($H359="nák",$G359,0))</f>
        <v>0</v>
      </c>
      <c r="AA359" s="148" t="n">
        <f aca="false">VALUE(IF($D359="náj",$C359,0))+VALUE(IF($H359="náj",$G359,0))</f>
        <v>0</v>
      </c>
      <c r="AB359" s="148" t="n">
        <f aca="false">VALUE(IF($D359="půj",$C359,0))+VALUE(IF($H359="půj",$G359,0))</f>
        <v>0</v>
      </c>
      <c r="AC359" s="148" t="n">
        <f aca="false">VALUE(IF($D359="vst",$C359,0))+VALUE(IF($H359="vst",$G359,0))</f>
        <v>0</v>
      </c>
      <c r="AD359" s="148" t="n">
        <f aca="false">VALUE(IF($D359="kop",$C359,0))+VALUE(IF($H359="kop",$G359,0))</f>
        <v>0</v>
      </c>
      <c r="AE359" s="148" t="n">
        <f aca="false">VALUE(IF($D359="osl",$C359,0))+VALUE(IF($H359="osl",$G359,0))</f>
        <v>0</v>
      </c>
      <c r="AF359" s="148" t="n">
        <f aca="false">VALUE(IF($D359="vra",$C359,0))+VALUE(IF($H359="vra",$G359,0))</f>
        <v>0</v>
      </c>
      <c r="AG359" s="148" t="n">
        <f aca="false">VALUE(IF($D359="zho",$C359,0))+VALUE(IF($H359="zho",$G359,0))</f>
        <v>0</v>
      </c>
      <c r="AH359" s="148" t="n">
        <f aca="false">VALUE(IF($D359="zbú",$C359,0))+VALUE(IF($H359="zbú",$G359,0))</f>
        <v>0</v>
      </c>
      <c r="AI359" s="148" t="n">
        <f aca="false">VALUE(IF($D359="pří",$C359,0))+VALUE(IF($H359="pří",$G359,0))</f>
        <v>0</v>
      </c>
      <c r="AJ359" s="148" t="n">
        <f aca="false">VALUE(IF($D359="dot",$C359,0))+VALUE(IF($H359="dot",$G359,0))</f>
        <v>0</v>
      </c>
      <c r="AK359" s="148" t="n">
        <f aca="false">VALUE(IF($D359="opř",$C359,0))+VALUE(IF($H359="opř",$G359,0))</f>
        <v>0</v>
      </c>
      <c r="AL359" s="148" t="n">
        <f aca="false">SUM(P359:AK359)</f>
        <v>0</v>
      </c>
    </row>
    <row r="360" customFormat="false" ht="12.75" hidden="false" customHeight="false" outlineLevel="0" collapsed="false">
      <c r="P360" s="148" t="n">
        <f aca="false">VALUE(IF($D360="vyb",$C360,0))+VALUE(IF($H360="vyb",$G360,0))</f>
        <v>0</v>
      </c>
      <c r="Q360" s="148" t="n">
        <f aca="false">VALUE(IF($D360="mtv",$C360,0))+VALUE(IF($H360="mtv",$G360,0))</f>
        <v>0</v>
      </c>
      <c r="R360" s="148" t="n">
        <f aca="false">VALUE(IF($D360="mat",$C360,0))+VALUE(IF($H360="mat",$G360,0))</f>
        <v>0</v>
      </c>
      <c r="S360" s="148" t="n">
        <f aca="false">VALUE(IF($D360="pot",$C360,0))+VALUE(IF($H360="pot",$G360,0))</f>
        <v>0</v>
      </c>
      <c r="T360" s="148" t="n">
        <f aca="false">VALUE(IF($D360="táb",$C360,0))+VALUE(IF($H360="táb",$G360,0))</f>
        <v>0</v>
      </c>
      <c r="U360" s="148" t="n">
        <f aca="false">VALUE(IF($D360="oma",$C360,0))+VALUE(IF($H360="oma",$G360,0))</f>
        <v>0</v>
      </c>
      <c r="V360" s="148" t="n">
        <f aca="false">VALUE(IF($D360="ces",$C360,0))+VALUE(IF($H360="ces",$G360,0))</f>
        <v>0</v>
      </c>
      <c r="W360" s="148" t="n">
        <f aca="false">VALUE(IF($D360="poš",$C360,0))+VALUE(IF($H360="poš",$G360,0))</f>
        <v>0</v>
      </c>
      <c r="X360" s="148" t="n">
        <f aca="false">VALUE(IF($D360="tel",$C360,0))+VALUE(IF($H360="tel",$G360,0))</f>
        <v>0</v>
      </c>
      <c r="Y360" s="148" t="n">
        <f aca="false">VALUE(IF($D360="dop",$C360,0))+VALUE(IF($H360="dop",$G360,0))</f>
        <v>0</v>
      </c>
      <c r="Z360" s="148" t="n">
        <f aca="false">VALUE(IF($D360="nák",$C360,0))+VALUE(IF($H360="nák",$G360,0))</f>
        <v>0</v>
      </c>
      <c r="AA360" s="148" t="n">
        <f aca="false">VALUE(IF($D360="náj",$C360,0))+VALUE(IF($H360="náj",$G360,0))</f>
        <v>0</v>
      </c>
      <c r="AB360" s="148" t="n">
        <f aca="false">VALUE(IF($D360="půj",$C360,0))+VALUE(IF($H360="půj",$G360,0))</f>
        <v>0</v>
      </c>
      <c r="AC360" s="148" t="n">
        <f aca="false">VALUE(IF($D360="vst",$C360,0))+VALUE(IF($H360="vst",$G360,0))</f>
        <v>0</v>
      </c>
      <c r="AD360" s="148" t="n">
        <f aca="false">VALUE(IF($D360="kop",$C360,0))+VALUE(IF($H360="kop",$G360,0))</f>
        <v>0</v>
      </c>
      <c r="AE360" s="148" t="n">
        <f aca="false">VALUE(IF($D360="osl",$C360,0))+VALUE(IF($H360="osl",$G360,0))</f>
        <v>0</v>
      </c>
      <c r="AF360" s="148" t="n">
        <f aca="false">VALUE(IF($D360="vra",$C360,0))+VALUE(IF($H360="vra",$G360,0))</f>
        <v>0</v>
      </c>
      <c r="AG360" s="148" t="n">
        <f aca="false">VALUE(IF($D360="zho",$C360,0))+VALUE(IF($H360="zho",$G360,0))</f>
        <v>0</v>
      </c>
      <c r="AH360" s="148" t="n">
        <f aca="false">VALUE(IF($D360="zbú",$C360,0))+VALUE(IF($H360="zbú",$G360,0))</f>
        <v>0</v>
      </c>
      <c r="AI360" s="148" t="n">
        <f aca="false">VALUE(IF($D360="pří",$C360,0))+VALUE(IF($H360="pří",$G360,0))</f>
        <v>0</v>
      </c>
      <c r="AJ360" s="148" t="n">
        <f aca="false">VALUE(IF($D360="dot",$C360,0))+VALUE(IF($H360="dot",$G360,0))</f>
        <v>0</v>
      </c>
      <c r="AK360" s="148" t="n">
        <f aca="false">VALUE(IF($D360="opř",$C360,0))+VALUE(IF($H360="opř",$G360,0))</f>
        <v>0</v>
      </c>
      <c r="AL360" s="148" t="n">
        <f aca="false">SUM(P360:AK360)</f>
        <v>0</v>
      </c>
    </row>
    <row r="361" customFormat="false" ht="12.75" hidden="false" customHeight="false" outlineLevel="0" collapsed="false">
      <c r="P361" s="148" t="n">
        <f aca="false">VALUE(IF($D361="vyb",$C361,0))+VALUE(IF($H361="vyb",$G361,0))</f>
        <v>0</v>
      </c>
      <c r="Q361" s="148" t="n">
        <f aca="false">VALUE(IF($D361="mtv",$C361,0))+VALUE(IF($H361="mtv",$G361,0))</f>
        <v>0</v>
      </c>
      <c r="R361" s="148" t="n">
        <f aca="false">VALUE(IF($D361="mat",$C361,0))+VALUE(IF($H361="mat",$G361,0))</f>
        <v>0</v>
      </c>
      <c r="S361" s="148" t="n">
        <f aca="false">VALUE(IF($D361="pot",$C361,0))+VALUE(IF($H361="pot",$G361,0))</f>
        <v>0</v>
      </c>
      <c r="T361" s="148" t="n">
        <f aca="false">VALUE(IF($D361="táb",$C361,0))+VALUE(IF($H361="táb",$G361,0))</f>
        <v>0</v>
      </c>
      <c r="U361" s="148" t="n">
        <f aca="false">VALUE(IF($D361="oma",$C361,0))+VALUE(IF($H361="oma",$G361,0))</f>
        <v>0</v>
      </c>
      <c r="V361" s="148" t="n">
        <f aca="false">VALUE(IF($D361="ces",$C361,0))+VALUE(IF($H361="ces",$G361,0))</f>
        <v>0</v>
      </c>
      <c r="W361" s="148" t="n">
        <f aca="false">VALUE(IF($D361="poš",$C361,0))+VALUE(IF($H361="poš",$G361,0))</f>
        <v>0</v>
      </c>
      <c r="X361" s="148" t="n">
        <f aca="false">VALUE(IF($D361="tel",$C361,0))+VALUE(IF($H361="tel",$G361,0))</f>
        <v>0</v>
      </c>
      <c r="Y361" s="148" t="n">
        <f aca="false">VALUE(IF($D361="dop",$C361,0))+VALUE(IF($H361="dop",$G361,0))</f>
        <v>0</v>
      </c>
      <c r="Z361" s="148" t="n">
        <f aca="false">VALUE(IF($D361="nák",$C361,0))+VALUE(IF($H361="nák",$G361,0))</f>
        <v>0</v>
      </c>
      <c r="AA361" s="148" t="n">
        <f aca="false">VALUE(IF($D361="náj",$C361,0))+VALUE(IF($H361="náj",$G361,0))</f>
        <v>0</v>
      </c>
      <c r="AB361" s="148" t="n">
        <f aca="false">VALUE(IF($D361="půj",$C361,0))+VALUE(IF($H361="půj",$G361,0))</f>
        <v>0</v>
      </c>
      <c r="AC361" s="148" t="n">
        <f aca="false">VALUE(IF($D361="vst",$C361,0))+VALUE(IF($H361="vst",$G361,0))</f>
        <v>0</v>
      </c>
      <c r="AD361" s="148" t="n">
        <f aca="false">VALUE(IF($D361="kop",$C361,0))+VALUE(IF($H361="kop",$G361,0))</f>
        <v>0</v>
      </c>
      <c r="AE361" s="148" t="n">
        <f aca="false">VALUE(IF($D361="osl",$C361,0))+VALUE(IF($H361="osl",$G361,0))</f>
        <v>0</v>
      </c>
      <c r="AF361" s="148" t="n">
        <f aca="false">VALUE(IF($D361="vra",$C361,0))+VALUE(IF($H361="vra",$G361,0))</f>
        <v>0</v>
      </c>
      <c r="AG361" s="148" t="n">
        <f aca="false">VALUE(IF($D361="zho",$C361,0))+VALUE(IF($H361="zho",$G361,0))</f>
        <v>0</v>
      </c>
      <c r="AH361" s="148" t="n">
        <f aca="false">VALUE(IF($D361="zbú",$C361,0))+VALUE(IF($H361="zbú",$G361,0))</f>
        <v>0</v>
      </c>
      <c r="AI361" s="148" t="n">
        <f aca="false">VALUE(IF($D361="pří",$C361,0))+VALUE(IF($H361="pří",$G361,0))</f>
        <v>0</v>
      </c>
      <c r="AJ361" s="148" t="n">
        <f aca="false">VALUE(IF($D361="dot",$C361,0))+VALUE(IF($H361="dot",$G361,0))</f>
        <v>0</v>
      </c>
      <c r="AK361" s="148" t="n">
        <f aca="false">VALUE(IF($D361="opř",$C361,0))+VALUE(IF($H361="opř",$G361,0))</f>
        <v>0</v>
      </c>
      <c r="AL361" s="148" t="n">
        <f aca="false">SUM(P361:AK361)</f>
        <v>0</v>
      </c>
    </row>
    <row r="362" customFormat="false" ht="12.75" hidden="false" customHeight="false" outlineLevel="0" collapsed="false">
      <c r="P362" s="148" t="n">
        <f aca="false">VALUE(IF($D362="vyb",$C362,0))+VALUE(IF($H362="vyb",$G362,0))</f>
        <v>0</v>
      </c>
      <c r="Q362" s="148" t="n">
        <f aca="false">VALUE(IF($D362="mtv",$C362,0))+VALUE(IF($H362="mtv",$G362,0))</f>
        <v>0</v>
      </c>
      <c r="R362" s="148" t="n">
        <f aca="false">VALUE(IF($D362="mat",$C362,0))+VALUE(IF($H362="mat",$G362,0))</f>
        <v>0</v>
      </c>
      <c r="S362" s="148" t="n">
        <f aca="false">VALUE(IF($D362="pot",$C362,0))+VALUE(IF($H362="pot",$G362,0))</f>
        <v>0</v>
      </c>
      <c r="T362" s="148" t="n">
        <f aca="false">VALUE(IF($D362="táb",$C362,0))+VALUE(IF($H362="táb",$G362,0))</f>
        <v>0</v>
      </c>
      <c r="U362" s="148" t="n">
        <f aca="false">VALUE(IF($D362="oma",$C362,0))+VALUE(IF($H362="oma",$G362,0))</f>
        <v>0</v>
      </c>
      <c r="V362" s="148" t="n">
        <f aca="false">VALUE(IF($D362="ces",$C362,0))+VALUE(IF($H362="ces",$G362,0))</f>
        <v>0</v>
      </c>
      <c r="W362" s="148" t="n">
        <f aca="false">VALUE(IF($D362="poš",$C362,0))+VALUE(IF($H362="poš",$G362,0))</f>
        <v>0</v>
      </c>
      <c r="X362" s="148" t="n">
        <f aca="false">VALUE(IF($D362="tel",$C362,0))+VALUE(IF($H362="tel",$G362,0))</f>
        <v>0</v>
      </c>
      <c r="Y362" s="148" t="n">
        <f aca="false">VALUE(IF($D362="dop",$C362,0))+VALUE(IF($H362="dop",$G362,0))</f>
        <v>0</v>
      </c>
      <c r="Z362" s="148" t="n">
        <f aca="false">VALUE(IF($D362="nák",$C362,0))+VALUE(IF($H362="nák",$G362,0))</f>
        <v>0</v>
      </c>
      <c r="AA362" s="148" t="n">
        <f aca="false">VALUE(IF($D362="náj",$C362,0))+VALUE(IF($H362="náj",$G362,0))</f>
        <v>0</v>
      </c>
      <c r="AB362" s="148" t="n">
        <f aca="false">VALUE(IF($D362="půj",$C362,0))+VALUE(IF($H362="půj",$G362,0))</f>
        <v>0</v>
      </c>
      <c r="AC362" s="148" t="n">
        <f aca="false">VALUE(IF($D362="vst",$C362,0))+VALUE(IF($H362="vst",$G362,0))</f>
        <v>0</v>
      </c>
      <c r="AD362" s="148" t="n">
        <f aca="false">VALUE(IF($D362="kop",$C362,0))+VALUE(IF($H362="kop",$G362,0))</f>
        <v>0</v>
      </c>
      <c r="AE362" s="148" t="n">
        <f aca="false">VALUE(IF($D362="osl",$C362,0))+VALUE(IF($H362="osl",$G362,0))</f>
        <v>0</v>
      </c>
      <c r="AF362" s="148" t="n">
        <f aca="false">VALUE(IF($D362="vra",$C362,0))+VALUE(IF($H362="vra",$G362,0))</f>
        <v>0</v>
      </c>
      <c r="AG362" s="148" t="n">
        <f aca="false">VALUE(IF($D362="zho",$C362,0))+VALUE(IF($H362="zho",$G362,0))</f>
        <v>0</v>
      </c>
      <c r="AH362" s="148" t="n">
        <f aca="false">VALUE(IF($D362="zbú",$C362,0))+VALUE(IF($H362="zbú",$G362,0))</f>
        <v>0</v>
      </c>
      <c r="AI362" s="148" t="n">
        <f aca="false">VALUE(IF($D362="pří",$C362,0))+VALUE(IF($H362="pří",$G362,0))</f>
        <v>0</v>
      </c>
      <c r="AJ362" s="148" t="n">
        <f aca="false">VALUE(IF($D362="dot",$C362,0))+VALUE(IF($H362="dot",$G362,0))</f>
        <v>0</v>
      </c>
      <c r="AK362" s="148" t="n">
        <f aca="false">VALUE(IF($D362="opř",$C362,0))+VALUE(IF($H362="opř",$G362,0))</f>
        <v>0</v>
      </c>
      <c r="AL362" s="148" t="n">
        <f aca="false">SUM(P362:AK362)</f>
        <v>0</v>
      </c>
    </row>
    <row r="363" customFormat="false" ht="12.75" hidden="false" customHeight="false" outlineLevel="0" collapsed="false">
      <c r="P363" s="148" t="n">
        <f aca="false">VALUE(IF($D363="vyb",$C363,0))+VALUE(IF($H363="vyb",$G363,0))</f>
        <v>0</v>
      </c>
      <c r="Q363" s="148" t="n">
        <f aca="false">VALUE(IF($D363="mtv",$C363,0))+VALUE(IF($H363="mtv",$G363,0))</f>
        <v>0</v>
      </c>
      <c r="R363" s="148" t="n">
        <f aca="false">VALUE(IF($D363="mat",$C363,0))+VALUE(IF($H363="mat",$G363,0))</f>
        <v>0</v>
      </c>
      <c r="S363" s="148" t="n">
        <f aca="false">VALUE(IF($D363="pot",$C363,0))+VALUE(IF($H363="pot",$G363,0))</f>
        <v>0</v>
      </c>
      <c r="T363" s="148" t="n">
        <f aca="false">VALUE(IF($D363="táb",$C363,0))+VALUE(IF($H363="táb",$G363,0))</f>
        <v>0</v>
      </c>
      <c r="U363" s="148" t="n">
        <f aca="false">VALUE(IF($D363="oma",$C363,0))+VALUE(IF($H363="oma",$G363,0))</f>
        <v>0</v>
      </c>
      <c r="V363" s="148" t="n">
        <f aca="false">VALUE(IF($D363="ces",$C363,0))+VALUE(IF($H363="ces",$G363,0))</f>
        <v>0</v>
      </c>
      <c r="W363" s="148" t="n">
        <f aca="false">VALUE(IF($D363="poš",$C363,0))+VALUE(IF($H363="poš",$G363,0))</f>
        <v>0</v>
      </c>
      <c r="X363" s="148" t="n">
        <f aca="false">VALUE(IF($D363="tel",$C363,0))+VALUE(IF($H363="tel",$G363,0))</f>
        <v>0</v>
      </c>
      <c r="Y363" s="148" t="n">
        <f aca="false">VALUE(IF($D363="dop",$C363,0))+VALUE(IF($H363="dop",$G363,0))</f>
        <v>0</v>
      </c>
      <c r="Z363" s="148" t="n">
        <f aca="false">VALUE(IF($D363="nák",$C363,0))+VALUE(IF($H363="nák",$G363,0))</f>
        <v>0</v>
      </c>
      <c r="AA363" s="148" t="n">
        <f aca="false">VALUE(IF($D363="náj",$C363,0))+VALUE(IF($H363="náj",$G363,0))</f>
        <v>0</v>
      </c>
      <c r="AB363" s="148" t="n">
        <f aca="false">VALUE(IF($D363="půj",$C363,0))+VALUE(IF($H363="půj",$G363,0))</f>
        <v>0</v>
      </c>
      <c r="AC363" s="148" t="n">
        <f aca="false">VALUE(IF($D363="vst",$C363,0))+VALUE(IF($H363="vst",$G363,0))</f>
        <v>0</v>
      </c>
      <c r="AD363" s="148" t="n">
        <f aca="false">VALUE(IF($D363="kop",$C363,0))+VALUE(IF($H363="kop",$G363,0))</f>
        <v>0</v>
      </c>
      <c r="AE363" s="148" t="n">
        <f aca="false">VALUE(IF($D363="osl",$C363,0))+VALUE(IF($H363="osl",$G363,0))</f>
        <v>0</v>
      </c>
      <c r="AF363" s="148" t="n">
        <f aca="false">VALUE(IF($D363="vra",$C363,0))+VALUE(IF($H363="vra",$G363,0))</f>
        <v>0</v>
      </c>
      <c r="AG363" s="148" t="n">
        <f aca="false">VALUE(IF($D363="zho",$C363,0))+VALUE(IF($H363="zho",$G363,0))</f>
        <v>0</v>
      </c>
      <c r="AH363" s="148" t="n">
        <f aca="false">VALUE(IF($D363="zbú",$C363,0))+VALUE(IF($H363="zbú",$G363,0))</f>
        <v>0</v>
      </c>
      <c r="AI363" s="148" t="n">
        <f aca="false">VALUE(IF($D363="pří",$C363,0))+VALUE(IF($H363="pří",$G363,0))</f>
        <v>0</v>
      </c>
      <c r="AJ363" s="148" t="n">
        <f aca="false">VALUE(IF($D363="dot",$C363,0))+VALUE(IF($H363="dot",$G363,0))</f>
        <v>0</v>
      </c>
      <c r="AK363" s="148" t="n">
        <f aca="false">VALUE(IF($D363="opř",$C363,0))+VALUE(IF($H363="opř",$G363,0))</f>
        <v>0</v>
      </c>
      <c r="AL363" s="148" t="n">
        <f aca="false">SUM(P363:AK363)</f>
        <v>0</v>
      </c>
    </row>
    <row r="364" customFormat="false" ht="12.75" hidden="false" customHeight="false" outlineLevel="0" collapsed="false">
      <c r="P364" s="148" t="n">
        <f aca="false">VALUE(IF($D364="vyb",$C364,0))+VALUE(IF($H364="vyb",$G364,0))</f>
        <v>0</v>
      </c>
      <c r="Q364" s="148" t="n">
        <f aca="false">VALUE(IF($D364="mtv",$C364,0))+VALUE(IF($H364="mtv",$G364,0))</f>
        <v>0</v>
      </c>
      <c r="R364" s="148" t="n">
        <f aca="false">VALUE(IF($D364="mat",$C364,0))+VALUE(IF($H364="mat",$G364,0))</f>
        <v>0</v>
      </c>
      <c r="S364" s="148" t="n">
        <f aca="false">VALUE(IF($D364="pot",$C364,0))+VALUE(IF($H364="pot",$G364,0))</f>
        <v>0</v>
      </c>
      <c r="T364" s="148" t="n">
        <f aca="false">VALUE(IF($D364="táb",$C364,0))+VALUE(IF($H364="táb",$G364,0))</f>
        <v>0</v>
      </c>
      <c r="U364" s="148" t="n">
        <f aca="false">VALUE(IF($D364="oma",$C364,0))+VALUE(IF($H364="oma",$G364,0))</f>
        <v>0</v>
      </c>
      <c r="V364" s="148" t="n">
        <f aca="false">VALUE(IF($D364="ces",$C364,0))+VALUE(IF($H364="ces",$G364,0))</f>
        <v>0</v>
      </c>
      <c r="W364" s="148" t="n">
        <f aca="false">VALUE(IF($D364="poš",$C364,0))+VALUE(IF($H364="poš",$G364,0))</f>
        <v>0</v>
      </c>
      <c r="X364" s="148" t="n">
        <f aca="false">VALUE(IF($D364="tel",$C364,0))+VALUE(IF($H364="tel",$G364,0))</f>
        <v>0</v>
      </c>
      <c r="Y364" s="148" t="n">
        <f aca="false">VALUE(IF($D364="dop",$C364,0))+VALUE(IF($H364="dop",$G364,0))</f>
        <v>0</v>
      </c>
      <c r="Z364" s="148" t="n">
        <f aca="false">VALUE(IF($D364="nák",$C364,0))+VALUE(IF($H364="nák",$G364,0))</f>
        <v>0</v>
      </c>
      <c r="AA364" s="148" t="n">
        <f aca="false">VALUE(IF($D364="náj",$C364,0))+VALUE(IF($H364="náj",$G364,0))</f>
        <v>0</v>
      </c>
      <c r="AB364" s="148" t="n">
        <f aca="false">VALUE(IF($D364="půj",$C364,0))+VALUE(IF($H364="půj",$G364,0))</f>
        <v>0</v>
      </c>
      <c r="AC364" s="148" t="n">
        <f aca="false">VALUE(IF($D364="vst",$C364,0))+VALUE(IF($H364="vst",$G364,0))</f>
        <v>0</v>
      </c>
      <c r="AD364" s="148" t="n">
        <f aca="false">VALUE(IF($D364="kop",$C364,0))+VALUE(IF($H364="kop",$G364,0))</f>
        <v>0</v>
      </c>
      <c r="AE364" s="148" t="n">
        <f aca="false">VALUE(IF($D364="osl",$C364,0))+VALUE(IF($H364="osl",$G364,0))</f>
        <v>0</v>
      </c>
      <c r="AF364" s="148" t="n">
        <f aca="false">VALUE(IF($D364="vra",$C364,0))+VALUE(IF($H364="vra",$G364,0))</f>
        <v>0</v>
      </c>
      <c r="AG364" s="148" t="n">
        <f aca="false">VALUE(IF($D364="zho",$C364,0))+VALUE(IF($H364="zho",$G364,0))</f>
        <v>0</v>
      </c>
      <c r="AH364" s="148" t="n">
        <f aca="false">VALUE(IF($D364="zbú",$C364,0))+VALUE(IF($H364="zbú",$G364,0))</f>
        <v>0</v>
      </c>
      <c r="AI364" s="148" t="n">
        <f aca="false">VALUE(IF($D364="pří",$C364,0))+VALUE(IF($H364="pří",$G364,0))</f>
        <v>0</v>
      </c>
      <c r="AJ364" s="148" t="n">
        <f aca="false">VALUE(IF($D364="dot",$C364,0))+VALUE(IF($H364="dot",$G364,0))</f>
        <v>0</v>
      </c>
      <c r="AK364" s="148" t="n">
        <f aca="false">VALUE(IF($D364="opř",$C364,0))+VALUE(IF($H364="opř",$G364,0))</f>
        <v>0</v>
      </c>
      <c r="AL364" s="148" t="n">
        <f aca="false">SUM(P364:AK364)</f>
        <v>0</v>
      </c>
    </row>
    <row r="365" customFormat="false" ht="12.75" hidden="false" customHeight="false" outlineLevel="0" collapsed="false">
      <c r="P365" s="148" t="n">
        <f aca="false">VALUE(IF($D365="vyb",$C365,0))+VALUE(IF($H365="vyb",$G365,0))</f>
        <v>0</v>
      </c>
      <c r="Q365" s="148" t="n">
        <f aca="false">VALUE(IF($D365="mtv",$C365,0))+VALUE(IF($H365="mtv",$G365,0))</f>
        <v>0</v>
      </c>
      <c r="R365" s="148" t="n">
        <f aca="false">VALUE(IF($D365="mat",$C365,0))+VALUE(IF($H365="mat",$G365,0))</f>
        <v>0</v>
      </c>
      <c r="S365" s="148" t="n">
        <f aca="false">VALUE(IF($D365="pot",$C365,0))+VALUE(IF($H365="pot",$G365,0))</f>
        <v>0</v>
      </c>
      <c r="T365" s="148" t="n">
        <f aca="false">VALUE(IF($D365="táb",$C365,0))+VALUE(IF($H365="táb",$G365,0))</f>
        <v>0</v>
      </c>
      <c r="U365" s="148" t="n">
        <f aca="false">VALUE(IF($D365="oma",$C365,0))+VALUE(IF($H365="oma",$G365,0))</f>
        <v>0</v>
      </c>
      <c r="V365" s="148" t="n">
        <f aca="false">VALUE(IF($D365="ces",$C365,0))+VALUE(IF($H365="ces",$G365,0))</f>
        <v>0</v>
      </c>
      <c r="W365" s="148" t="n">
        <f aca="false">VALUE(IF($D365="poš",$C365,0))+VALUE(IF($H365="poš",$G365,0))</f>
        <v>0</v>
      </c>
      <c r="X365" s="148" t="n">
        <f aca="false">VALUE(IF($D365="tel",$C365,0))+VALUE(IF($H365="tel",$G365,0))</f>
        <v>0</v>
      </c>
      <c r="Y365" s="148" t="n">
        <f aca="false">VALUE(IF($D365="dop",$C365,0))+VALUE(IF($H365="dop",$G365,0))</f>
        <v>0</v>
      </c>
      <c r="Z365" s="148" t="n">
        <f aca="false">VALUE(IF($D365="nák",$C365,0))+VALUE(IF($H365="nák",$G365,0))</f>
        <v>0</v>
      </c>
      <c r="AA365" s="148" t="n">
        <f aca="false">VALUE(IF($D365="náj",$C365,0))+VALUE(IF($H365="náj",$G365,0))</f>
        <v>0</v>
      </c>
      <c r="AB365" s="148" t="n">
        <f aca="false">VALUE(IF($D365="půj",$C365,0))+VALUE(IF($H365="půj",$G365,0))</f>
        <v>0</v>
      </c>
      <c r="AC365" s="148" t="n">
        <f aca="false">VALUE(IF($D365="vst",$C365,0))+VALUE(IF($H365="vst",$G365,0))</f>
        <v>0</v>
      </c>
      <c r="AD365" s="148" t="n">
        <f aca="false">VALUE(IF($D365="kop",$C365,0))+VALUE(IF($H365="kop",$G365,0))</f>
        <v>0</v>
      </c>
      <c r="AE365" s="148" t="n">
        <f aca="false">VALUE(IF($D365="osl",$C365,0))+VALUE(IF($H365="osl",$G365,0))</f>
        <v>0</v>
      </c>
      <c r="AF365" s="148" t="n">
        <f aca="false">VALUE(IF($D365="vra",$C365,0))+VALUE(IF($H365="vra",$G365,0))</f>
        <v>0</v>
      </c>
      <c r="AG365" s="148" t="n">
        <f aca="false">VALUE(IF($D365="zho",$C365,0))+VALUE(IF($H365="zho",$G365,0))</f>
        <v>0</v>
      </c>
      <c r="AH365" s="148" t="n">
        <f aca="false">VALUE(IF($D365="zbú",$C365,0))+VALUE(IF($H365="zbú",$G365,0))</f>
        <v>0</v>
      </c>
      <c r="AI365" s="148" t="n">
        <f aca="false">VALUE(IF($D365="pří",$C365,0))+VALUE(IF($H365="pří",$G365,0))</f>
        <v>0</v>
      </c>
      <c r="AJ365" s="148" t="n">
        <f aca="false">VALUE(IF($D365="dot",$C365,0))+VALUE(IF($H365="dot",$G365,0))</f>
        <v>0</v>
      </c>
      <c r="AK365" s="148" t="n">
        <f aca="false">VALUE(IF($D365="opř",$C365,0))+VALUE(IF($H365="opř",$G365,0))</f>
        <v>0</v>
      </c>
      <c r="AL365" s="148" t="n">
        <f aca="false">SUM(P365:AK365)</f>
        <v>0</v>
      </c>
    </row>
    <row r="366" customFormat="false" ht="12.75" hidden="false" customHeight="false" outlineLevel="0" collapsed="false">
      <c r="P366" s="148" t="n">
        <f aca="false">VALUE(IF($D366="vyb",$C366,0))+VALUE(IF($H366="vyb",$G366,0))</f>
        <v>0</v>
      </c>
      <c r="Q366" s="148" t="n">
        <f aca="false">VALUE(IF($D366="mtv",$C366,0))+VALUE(IF($H366="mtv",$G366,0))</f>
        <v>0</v>
      </c>
      <c r="R366" s="148" t="n">
        <f aca="false">VALUE(IF($D366="mat",$C366,0))+VALUE(IF($H366="mat",$G366,0))</f>
        <v>0</v>
      </c>
      <c r="S366" s="148" t="n">
        <f aca="false">VALUE(IF($D366="pot",$C366,0))+VALUE(IF($H366="pot",$G366,0))</f>
        <v>0</v>
      </c>
      <c r="T366" s="148" t="n">
        <f aca="false">VALUE(IF($D366="táb",$C366,0))+VALUE(IF($H366="táb",$G366,0))</f>
        <v>0</v>
      </c>
      <c r="U366" s="148" t="n">
        <f aca="false">VALUE(IF($D366="oma",$C366,0))+VALUE(IF($H366="oma",$G366,0))</f>
        <v>0</v>
      </c>
      <c r="V366" s="148" t="n">
        <f aca="false">VALUE(IF($D366="ces",$C366,0))+VALUE(IF($H366="ces",$G366,0))</f>
        <v>0</v>
      </c>
      <c r="W366" s="148" t="n">
        <f aca="false">VALUE(IF($D366="poš",$C366,0))+VALUE(IF($H366="poš",$G366,0))</f>
        <v>0</v>
      </c>
      <c r="X366" s="148" t="n">
        <f aca="false">VALUE(IF($D366="tel",$C366,0))+VALUE(IF($H366="tel",$G366,0))</f>
        <v>0</v>
      </c>
      <c r="Y366" s="148" t="n">
        <f aca="false">VALUE(IF($D366="dop",$C366,0))+VALUE(IF($H366="dop",$G366,0))</f>
        <v>0</v>
      </c>
      <c r="Z366" s="148" t="n">
        <f aca="false">VALUE(IF($D366="nák",$C366,0))+VALUE(IF($H366="nák",$G366,0))</f>
        <v>0</v>
      </c>
      <c r="AA366" s="148" t="n">
        <f aca="false">VALUE(IF($D366="náj",$C366,0))+VALUE(IF($H366="náj",$G366,0))</f>
        <v>0</v>
      </c>
      <c r="AB366" s="148" t="n">
        <f aca="false">VALUE(IF($D366="půj",$C366,0))+VALUE(IF($H366="půj",$G366,0))</f>
        <v>0</v>
      </c>
      <c r="AC366" s="148" t="n">
        <f aca="false">VALUE(IF($D366="vst",$C366,0))+VALUE(IF($H366="vst",$G366,0))</f>
        <v>0</v>
      </c>
      <c r="AD366" s="148" t="n">
        <f aca="false">VALUE(IF($D366="kop",$C366,0))+VALUE(IF($H366="kop",$G366,0))</f>
        <v>0</v>
      </c>
      <c r="AE366" s="148" t="n">
        <f aca="false">VALUE(IF($D366="osl",$C366,0))+VALUE(IF($H366="osl",$G366,0))</f>
        <v>0</v>
      </c>
      <c r="AF366" s="148" t="n">
        <f aca="false">VALUE(IF($D366="vra",$C366,0))+VALUE(IF($H366="vra",$G366,0))</f>
        <v>0</v>
      </c>
      <c r="AG366" s="148" t="n">
        <f aca="false">VALUE(IF($D366="zho",$C366,0))+VALUE(IF($H366="zho",$G366,0))</f>
        <v>0</v>
      </c>
      <c r="AH366" s="148" t="n">
        <f aca="false">VALUE(IF($D366="zbú",$C366,0))+VALUE(IF($H366="zbú",$G366,0))</f>
        <v>0</v>
      </c>
      <c r="AI366" s="148" t="n">
        <f aca="false">VALUE(IF($D366="pří",$C366,0))+VALUE(IF($H366="pří",$G366,0))</f>
        <v>0</v>
      </c>
      <c r="AJ366" s="148" t="n">
        <f aca="false">VALUE(IF($D366="dot",$C366,0))+VALUE(IF($H366="dot",$G366,0))</f>
        <v>0</v>
      </c>
      <c r="AK366" s="148" t="n">
        <f aca="false">VALUE(IF($D366="opř",$C366,0))+VALUE(IF($H366="opř",$G366,0))</f>
        <v>0</v>
      </c>
      <c r="AL366" s="148" t="n">
        <f aca="false">SUM(P366:AK366)</f>
        <v>0</v>
      </c>
    </row>
    <row r="367" customFormat="false" ht="12.75" hidden="false" customHeight="false" outlineLevel="0" collapsed="false">
      <c r="P367" s="148" t="n">
        <f aca="false">VALUE(IF($D367="vyb",$C367,0))+VALUE(IF($H367="vyb",$G367,0))</f>
        <v>0</v>
      </c>
      <c r="Q367" s="148" t="n">
        <f aca="false">VALUE(IF($D367="mtv",$C367,0))+VALUE(IF($H367="mtv",$G367,0))</f>
        <v>0</v>
      </c>
      <c r="R367" s="148" t="n">
        <f aca="false">VALUE(IF($D367="mat",$C367,0))+VALUE(IF($H367="mat",$G367,0))</f>
        <v>0</v>
      </c>
      <c r="S367" s="148" t="n">
        <f aca="false">VALUE(IF($D367="pot",$C367,0))+VALUE(IF($H367="pot",$G367,0))</f>
        <v>0</v>
      </c>
      <c r="T367" s="148" t="n">
        <f aca="false">VALUE(IF($D367="táb",$C367,0))+VALUE(IF($H367="táb",$G367,0))</f>
        <v>0</v>
      </c>
      <c r="U367" s="148" t="n">
        <f aca="false">VALUE(IF($D367="oma",$C367,0))+VALUE(IF($H367="oma",$G367,0))</f>
        <v>0</v>
      </c>
      <c r="V367" s="148" t="n">
        <f aca="false">VALUE(IF($D367="ces",$C367,0))+VALUE(IF($H367="ces",$G367,0))</f>
        <v>0</v>
      </c>
      <c r="W367" s="148" t="n">
        <f aca="false">VALUE(IF($D367="poš",$C367,0))+VALUE(IF($H367="poš",$G367,0))</f>
        <v>0</v>
      </c>
      <c r="X367" s="148" t="n">
        <f aca="false">VALUE(IF($D367="tel",$C367,0))+VALUE(IF($H367="tel",$G367,0))</f>
        <v>0</v>
      </c>
      <c r="Y367" s="148" t="n">
        <f aca="false">VALUE(IF($D367="dop",$C367,0))+VALUE(IF($H367="dop",$G367,0))</f>
        <v>0</v>
      </c>
      <c r="Z367" s="148" t="n">
        <f aca="false">VALUE(IF($D367="nák",$C367,0))+VALUE(IF($H367="nák",$G367,0))</f>
        <v>0</v>
      </c>
      <c r="AA367" s="148" t="n">
        <f aca="false">VALUE(IF($D367="náj",$C367,0))+VALUE(IF($H367="náj",$G367,0))</f>
        <v>0</v>
      </c>
      <c r="AB367" s="148" t="n">
        <f aca="false">VALUE(IF($D367="půj",$C367,0))+VALUE(IF($H367="půj",$G367,0))</f>
        <v>0</v>
      </c>
      <c r="AC367" s="148" t="n">
        <f aca="false">VALUE(IF($D367="vst",$C367,0))+VALUE(IF($H367="vst",$G367,0))</f>
        <v>0</v>
      </c>
      <c r="AD367" s="148" t="n">
        <f aca="false">VALUE(IF($D367="kop",$C367,0))+VALUE(IF($H367="kop",$G367,0))</f>
        <v>0</v>
      </c>
      <c r="AE367" s="148" t="n">
        <f aca="false">VALUE(IF($D367="osl",$C367,0))+VALUE(IF($H367="osl",$G367,0))</f>
        <v>0</v>
      </c>
      <c r="AF367" s="148" t="n">
        <f aca="false">VALUE(IF($D367="vra",$C367,0))+VALUE(IF($H367="vra",$G367,0))</f>
        <v>0</v>
      </c>
      <c r="AG367" s="148" t="n">
        <f aca="false">VALUE(IF($D367="zho",$C367,0))+VALUE(IF($H367="zho",$G367,0))</f>
        <v>0</v>
      </c>
      <c r="AH367" s="148" t="n">
        <f aca="false">VALUE(IF($D367="zbú",$C367,0))+VALUE(IF($H367="zbú",$G367,0))</f>
        <v>0</v>
      </c>
      <c r="AI367" s="148" t="n">
        <f aca="false">VALUE(IF($D367="pří",$C367,0))+VALUE(IF($H367="pří",$G367,0))</f>
        <v>0</v>
      </c>
      <c r="AJ367" s="148" t="n">
        <f aca="false">VALUE(IF($D367="dot",$C367,0))+VALUE(IF($H367="dot",$G367,0))</f>
        <v>0</v>
      </c>
      <c r="AK367" s="148" t="n">
        <f aca="false">VALUE(IF($D367="opř",$C367,0))+VALUE(IF($H367="opř",$G367,0))</f>
        <v>0</v>
      </c>
      <c r="AL367" s="148" t="n">
        <f aca="false">SUM(P367:AK367)</f>
        <v>0</v>
      </c>
    </row>
    <row r="368" customFormat="false" ht="12.75" hidden="false" customHeight="false" outlineLevel="0" collapsed="false">
      <c r="P368" s="148" t="n">
        <f aca="false">VALUE(IF($D368="vyb",$C368,0))+VALUE(IF($H368="vyb",$G368,0))</f>
        <v>0</v>
      </c>
      <c r="Q368" s="148" t="n">
        <f aca="false">VALUE(IF($D368="mtv",$C368,0))+VALUE(IF($H368="mtv",$G368,0))</f>
        <v>0</v>
      </c>
      <c r="R368" s="148" t="n">
        <f aca="false">VALUE(IF($D368="mat",$C368,0))+VALUE(IF($H368="mat",$G368,0))</f>
        <v>0</v>
      </c>
      <c r="S368" s="148" t="n">
        <f aca="false">VALUE(IF($D368="pot",$C368,0))+VALUE(IF($H368="pot",$G368,0))</f>
        <v>0</v>
      </c>
      <c r="T368" s="148" t="n">
        <f aca="false">VALUE(IF($D368="táb",$C368,0))+VALUE(IF($H368="táb",$G368,0))</f>
        <v>0</v>
      </c>
      <c r="U368" s="148" t="n">
        <f aca="false">VALUE(IF($D368="oma",$C368,0))+VALUE(IF($H368="oma",$G368,0))</f>
        <v>0</v>
      </c>
      <c r="V368" s="148" t="n">
        <f aca="false">VALUE(IF($D368="ces",$C368,0))+VALUE(IF($H368="ces",$G368,0))</f>
        <v>0</v>
      </c>
      <c r="W368" s="148" t="n">
        <f aca="false">VALUE(IF($D368="poš",$C368,0))+VALUE(IF($H368="poš",$G368,0))</f>
        <v>0</v>
      </c>
      <c r="X368" s="148" t="n">
        <f aca="false">VALUE(IF($D368="tel",$C368,0))+VALUE(IF($H368="tel",$G368,0))</f>
        <v>0</v>
      </c>
      <c r="Y368" s="148" t="n">
        <f aca="false">VALUE(IF($D368="dop",$C368,0))+VALUE(IF($H368="dop",$G368,0))</f>
        <v>0</v>
      </c>
      <c r="Z368" s="148" t="n">
        <f aca="false">VALUE(IF($D368="nák",$C368,0))+VALUE(IF($H368="nák",$G368,0))</f>
        <v>0</v>
      </c>
      <c r="AA368" s="148" t="n">
        <f aca="false">VALUE(IF($D368="náj",$C368,0))+VALUE(IF($H368="náj",$G368,0))</f>
        <v>0</v>
      </c>
      <c r="AB368" s="148" t="n">
        <f aca="false">VALUE(IF($D368="půj",$C368,0))+VALUE(IF($H368="půj",$G368,0))</f>
        <v>0</v>
      </c>
      <c r="AC368" s="148" t="n">
        <f aca="false">VALUE(IF($D368="vst",$C368,0))+VALUE(IF($H368="vst",$G368,0))</f>
        <v>0</v>
      </c>
      <c r="AD368" s="148" t="n">
        <f aca="false">VALUE(IF($D368="kop",$C368,0))+VALUE(IF($H368="kop",$G368,0))</f>
        <v>0</v>
      </c>
      <c r="AE368" s="148" t="n">
        <f aca="false">VALUE(IF($D368="osl",$C368,0))+VALUE(IF($H368="osl",$G368,0))</f>
        <v>0</v>
      </c>
      <c r="AF368" s="148" t="n">
        <f aca="false">VALUE(IF($D368="vra",$C368,0))+VALUE(IF($H368="vra",$G368,0))</f>
        <v>0</v>
      </c>
      <c r="AG368" s="148" t="n">
        <f aca="false">VALUE(IF($D368="zho",$C368,0))+VALUE(IF($H368="zho",$G368,0))</f>
        <v>0</v>
      </c>
      <c r="AH368" s="148" t="n">
        <f aca="false">VALUE(IF($D368="zbú",$C368,0))+VALUE(IF($H368="zbú",$G368,0))</f>
        <v>0</v>
      </c>
      <c r="AI368" s="148" t="n">
        <f aca="false">VALUE(IF($D368="pří",$C368,0))+VALUE(IF($H368="pří",$G368,0))</f>
        <v>0</v>
      </c>
      <c r="AJ368" s="148" t="n">
        <f aca="false">VALUE(IF($D368="dot",$C368,0))+VALUE(IF($H368="dot",$G368,0))</f>
        <v>0</v>
      </c>
      <c r="AK368" s="148" t="n">
        <f aca="false">VALUE(IF($D368="opř",$C368,0))+VALUE(IF($H368="opř",$G368,0))</f>
        <v>0</v>
      </c>
      <c r="AL368" s="148" t="n">
        <f aca="false">SUM(P368:AK368)</f>
        <v>0</v>
      </c>
    </row>
    <row r="369" customFormat="false" ht="12.75" hidden="false" customHeight="false" outlineLevel="0" collapsed="false">
      <c r="P369" s="148" t="n">
        <f aca="false">VALUE(IF($D369="vyb",$C369,0))+VALUE(IF($H369="vyb",$G369,0))</f>
        <v>0</v>
      </c>
      <c r="Q369" s="148" t="n">
        <f aca="false">VALUE(IF($D369="mtv",$C369,0))+VALUE(IF($H369="mtv",$G369,0))</f>
        <v>0</v>
      </c>
      <c r="R369" s="148" t="n">
        <f aca="false">VALUE(IF($D369="mat",$C369,0))+VALUE(IF($H369="mat",$G369,0))</f>
        <v>0</v>
      </c>
      <c r="S369" s="148" t="n">
        <f aca="false">VALUE(IF($D369="pot",$C369,0))+VALUE(IF($H369="pot",$G369,0))</f>
        <v>0</v>
      </c>
      <c r="T369" s="148" t="n">
        <f aca="false">VALUE(IF($D369="táb",$C369,0))+VALUE(IF($H369="táb",$G369,0))</f>
        <v>0</v>
      </c>
      <c r="U369" s="148" t="n">
        <f aca="false">VALUE(IF($D369="oma",$C369,0))+VALUE(IF($H369="oma",$G369,0))</f>
        <v>0</v>
      </c>
      <c r="V369" s="148" t="n">
        <f aca="false">VALUE(IF($D369="ces",$C369,0))+VALUE(IF($H369="ces",$G369,0))</f>
        <v>0</v>
      </c>
      <c r="W369" s="148" t="n">
        <f aca="false">VALUE(IF($D369="poš",$C369,0))+VALUE(IF($H369="poš",$G369,0))</f>
        <v>0</v>
      </c>
      <c r="X369" s="148" t="n">
        <f aca="false">VALUE(IF($D369="tel",$C369,0))+VALUE(IF($H369="tel",$G369,0))</f>
        <v>0</v>
      </c>
      <c r="Y369" s="148" t="n">
        <f aca="false">VALUE(IF($D369="dop",$C369,0))+VALUE(IF($H369="dop",$G369,0))</f>
        <v>0</v>
      </c>
      <c r="Z369" s="148" t="n">
        <f aca="false">VALUE(IF($D369="nák",$C369,0))+VALUE(IF($H369="nák",$G369,0))</f>
        <v>0</v>
      </c>
      <c r="AA369" s="148" t="n">
        <f aca="false">VALUE(IF($D369="náj",$C369,0))+VALUE(IF($H369="náj",$G369,0))</f>
        <v>0</v>
      </c>
      <c r="AB369" s="148" t="n">
        <f aca="false">VALUE(IF($D369="půj",$C369,0))+VALUE(IF($H369="půj",$G369,0))</f>
        <v>0</v>
      </c>
      <c r="AC369" s="148" t="n">
        <f aca="false">VALUE(IF($D369="vst",$C369,0))+VALUE(IF($H369="vst",$G369,0))</f>
        <v>0</v>
      </c>
      <c r="AD369" s="148" t="n">
        <f aca="false">VALUE(IF($D369="kop",$C369,0))+VALUE(IF($H369="kop",$G369,0))</f>
        <v>0</v>
      </c>
      <c r="AE369" s="148" t="n">
        <f aca="false">VALUE(IF($D369="osl",$C369,0))+VALUE(IF($H369="osl",$G369,0))</f>
        <v>0</v>
      </c>
      <c r="AF369" s="148" t="n">
        <f aca="false">VALUE(IF($D369="vra",$C369,0))+VALUE(IF($H369="vra",$G369,0))</f>
        <v>0</v>
      </c>
      <c r="AG369" s="148" t="n">
        <f aca="false">VALUE(IF($D369="zho",$C369,0))+VALUE(IF($H369="zho",$G369,0))</f>
        <v>0</v>
      </c>
      <c r="AH369" s="148" t="n">
        <f aca="false">VALUE(IF($D369="zbú",$C369,0))+VALUE(IF($H369="zbú",$G369,0))</f>
        <v>0</v>
      </c>
      <c r="AI369" s="148" t="n">
        <f aca="false">VALUE(IF($D369="pří",$C369,0))+VALUE(IF($H369="pří",$G369,0))</f>
        <v>0</v>
      </c>
      <c r="AJ369" s="148" t="n">
        <f aca="false">VALUE(IF($D369="dot",$C369,0))+VALUE(IF($H369="dot",$G369,0))</f>
        <v>0</v>
      </c>
      <c r="AK369" s="148" t="n">
        <f aca="false">VALUE(IF($D369="opř",$C369,0))+VALUE(IF($H369="opř",$G369,0))</f>
        <v>0</v>
      </c>
      <c r="AL369" s="148" t="n">
        <f aca="false">SUM(P369:AK369)</f>
        <v>0</v>
      </c>
    </row>
    <row r="370" customFormat="false" ht="12.75" hidden="false" customHeight="false" outlineLevel="0" collapsed="false">
      <c r="P370" s="148" t="n">
        <f aca="false">VALUE(IF($D370="vyb",$C370,0))+VALUE(IF($H370="vyb",$G370,0))</f>
        <v>0</v>
      </c>
      <c r="Q370" s="148" t="n">
        <f aca="false">VALUE(IF($D370="mtv",$C370,0))+VALUE(IF($H370="mtv",$G370,0))</f>
        <v>0</v>
      </c>
      <c r="R370" s="148" t="n">
        <f aca="false">VALUE(IF($D370="mat",$C370,0))+VALUE(IF($H370="mat",$G370,0))</f>
        <v>0</v>
      </c>
      <c r="S370" s="148" t="n">
        <f aca="false">VALUE(IF($D370="pot",$C370,0))+VALUE(IF($H370="pot",$G370,0))</f>
        <v>0</v>
      </c>
      <c r="T370" s="148" t="n">
        <f aca="false">VALUE(IF($D370="táb",$C370,0))+VALUE(IF($H370="táb",$G370,0))</f>
        <v>0</v>
      </c>
      <c r="U370" s="148" t="n">
        <f aca="false">VALUE(IF($D370="oma",$C370,0))+VALUE(IF($H370="oma",$G370,0))</f>
        <v>0</v>
      </c>
      <c r="V370" s="148" t="n">
        <f aca="false">VALUE(IF($D370="ces",$C370,0))+VALUE(IF($H370="ces",$G370,0))</f>
        <v>0</v>
      </c>
      <c r="W370" s="148" t="n">
        <f aca="false">VALUE(IF($D370="poš",$C370,0))+VALUE(IF($H370="poš",$G370,0))</f>
        <v>0</v>
      </c>
      <c r="X370" s="148" t="n">
        <f aca="false">VALUE(IF($D370="tel",$C370,0))+VALUE(IF($H370="tel",$G370,0))</f>
        <v>0</v>
      </c>
      <c r="Y370" s="148" t="n">
        <f aca="false">VALUE(IF($D370="dop",$C370,0))+VALUE(IF($H370="dop",$G370,0))</f>
        <v>0</v>
      </c>
      <c r="Z370" s="148" t="n">
        <f aca="false">VALUE(IF($D370="nák",$C370,0))+VALUE(IF($H370="nák",$G370,0))</f>
        <v>0</v>
      </c>
      <c r="AA370" s="148" t="n">
        <f aca="false">VALUE(IF($D370="náj",$C370,0))+VALUE(IF($H370="náj",$G370,0))</f>
        <v>0</v>
      </c>
      <c r="AB370" s="148" t="n">
        <f aca="false">VALUE(IF($D370="půj",$C370,0))+VALUE(IF($H370="půj",$G370,0))</f>
        <v>0</v>
      </c>
      <c r="AC370" s="148" t="n">
        <f aca="false">VALUE(IF($D370="vst",$C370,0))+VALUE(IF($H370="vst",$G370,0))</f>
        <v>0</v>
      </c>
      <c r="AD370" s="148" t="n">
        <f aca="false">VALUE(IF($D370="kop",$C370,0))+VALUE(IF($H370="kop",$G370,0))</f>
        <v>0</v>
      </c>
      <c r="AE370" s="148" t="n">
        <f aca="false">VALUE(IF($D370="osl",$C370,0))+VALUE(IF($H370="osl",$G370,0))</f>
        <v>0</v>
      </c>
      <c r="AF370" s="148" t="n">
        <f aca="false">VALUE(IF($D370="vra",$C370,0))+VALUE(IF($H370="vra",$G370,0))</f>
        <v>0</v>
      </c>
      <c r="AG370" s="148" t="n">
        <f aca="false">VALUE(IF($D370="zho",$C370,0))+VALUE(IF($H370="zho",$G370,0))</f>
        <v>0</v>
      </c>
      <c r="AH370" s="148" t="n">
        <f aca="false">VALUE(IF($D370="zbú",$C370,0))+VALUE(IF($H370="zbú",$G370,0))</f>
        <v>0</v>
      </c>
      <c r="AI370" s="148" t="n">
        <f aca="false">VALUE(IF($D370="pří",$C370,0))+VALUE(IF($H370="pří",$G370,0))</f>
        <v>0</v>
      </c>
      <c r="AJ370" s="148" t="n">
        <f aca="false">VALUE(IF($D370="dot",$C370,0))+VALUE(IF($H370="dot",$G370,0))</f>
        <v>0</v>
      </c>
      <c r="AK370" s="148" t="n">
        <f aca="false">VALUE(IF($D370="opř",$C370,0))+VALUE(IF($H370="opř",$G370,0))</f>
        <v>0</v>
      </c>
      <c r="AL370" s="148" t="n">
        <f aca="false">SUM(P370:AK370)</f>
        <v>0</v>
      </c>
    </row>
    <row r="371" customFormat="false" ht="12.75" hidden="false" customHeight="false" outlineLevel="0" collapsed="false">
      <c r="P371" s="148" t="n">
        <f aca="false">VALUE(IF($D371="vyb",$C371,0))+VALUE(IF($H371="vyb",$G371,0))</f>
        <v>0</v>
      </c>
      <c r="Q371" s="148" t="n">
        <f aca="false">VALUE(IF($D371="mtv",$C371,0))+VALUE(IF($H371="mtv",$G371,0))</f>
        <v>0</v>
      </c>
      <c r="R371" s="148" t="n">
        <f aca="false">VALUE(IF($D371="mat",$C371,0))+VALUE(IF($H371="mat",$G371,0))</f>
        <v>0</v>
      </c>
      <c r="S371" s="148" t="n">
        <f aca="false">VALUE(IF($D371="pot",$C371,0))+VALUE(IF($H371="pot",$G371,0))</f>
        <v>0</v>
      </c>
      <c r="T371" s="148" t="n">
        <f aca="false">VALUE(IF($D371="táb",$C371,0))+VALUE(IF($H371="táb",$G371,0))</f>
        <v>0</v>
      </c>
      <c r="U371" s="148" t="n">
        <f aca="false">VALUE(IF($D371="oma",$C371,0))+VALUE(IF($H371="oma",$G371,0))</f>
        <v>0</v>
      </c>
      <c r="V371" s="148" t="n">
        <f aca="false">VALUE(IF($D371="ces",$C371,0))+VALUE(IF($H371="ces",$G371,0))</f>
        <v>0</v>
      </c>
      <c r="W371" s="148" t="n">
        <f aca="false">VALUE(IF($D371="poš",$C371,0))+VALUE(IF($H371="poš",$G371,0))</f>
        <v>0</v>
      </c>
      <c r="X371" s="148" t="n">
        <f aca="false">VALUE(IF($D371="tel",$C371,0))+VALUE(IF($H371="tel",$G371,0))</f>
        <v>0</v>
      </c>
      <c r="Y371" s="148" t="n">
        <f aca="false">VALUE(IF($D371="dop",$C371,0))+VALUE(IF($H371="dop",$G371,0))</f>
        <v>0</v>
      </c>
      <c r="Z371" s="148" t="n">
        <f aca="false">VALUE(IF($D371="nák",$C371,0))+VALUE(IF($H371="nák",$G371,0))</f>
        <v>0</v>
      </c>
      <c r="AA371" s="148" t="n">
        <f aca="false">VALUE(IF($D371="náj",$C371,0))+VALUE(IF($H371="náj",$G371,0))</f>
        <v>0</v>
      </c>
      <c r="AB371" s="148" t="n">
        <f aca="false">VALUE(IF($D371="půj",$C371,0))+VALUE(IF($H371="půj",$G371,0))</f>
        <v>0</v>
      </c>
      <c r="AC371" s="148" t="n">
        <f aca="false">VALUE(IF($D371="vst",$C371,0))+VALUE(IF($H371="vst",$G371,0))</f>
        <v>0</v>
      </c>
      <c r="AD371" s="148" t="n">
        <f aca="false">VALUE(IF($D371="kop",$C371,0))+VALUE(IF($H371="kop",$G371,0))</f>
        <v>0</v>
      </c>
      <c r="AE371" s="148" t="n">
        <f aca="false">VALUE(IF($D371="osl",$C371,0))+VALUE(IF($H371="osl",$G371,0))</f>
        <v>0</v>
      </c>
      <c r="AF371" s="148" t="n">
        <f aca="false">VALUE(IF($D371="vra",$C371,0))+VALUE(IF($H371="vra",$G371,0))</f>
        <v>0</v>
      </c>
      <c r="AG371" s="148" t="n">
        <f aca="false">VALUE(IF($D371="zho",$C371,0))+VALUE(IF($H371="zho",$G371,0))</f>
        <v>0</v>
      </c>
      <c r="AH371" s="148" t="n">
        <f aca="false">VALUE(IF($D371="zbú",$C371,0))+VALUE(IF($H371="zbú",$G371,0))</f>
        <v>0</v>
      </c>
      <c r="AI371" s="148" t="n">
        <f aca="false">VALUE(IF($D371="pří",$C371,0))+VALUE(IF($H371="pří",$G371,0))</f>
        <v>0</v>
      </c>
      <c r="AJ371" s="148" t="n">
        <f aca="false">VALUE(IF($D371="dot",$C371,0))+VALUE(IF($H371="dot",$G371,0))</f>
        <v>0</v>
      </c>
      <c r="AK371" s="148" t="n">
        <f aca="false">VALUE(IF($D371="opř",$C371,0))+VALUE(IF($H371="opř",$G371,0))</f>
        <v>0</v>
      </c>
      <c r="AL371" s="148" t="n">
        <f aca="false">SUM(P371:AK371)</f>
        <v>0</v>
      </c>
    </row>
    <row r="372" customFormat="false" ht="12.75" hidden="false" customHeight="false" outlineLevel="0" collapsed="false">
      <c r="P372" s="148" t="n">
        <f aca="false">VALUE(IF($D372="vyb",$C372,0))+VALUE(IF($H372="vyb",$G372,0))</f>
        <v>0</v>
      </c>
      <c r="Q372" s="148" t="n">
        <f aca="false">VALUE(IF($D372="mtv",$C372,0))+VALUE(IF($H372="mtv",$G372,0))</f>
        <v>0</v>
      </c>
      <c r="R372" s="148" t="n">
        <f aca="false">VALUE(IF($D372="mat",$C372,0))+VALUE(IF($H372="mat",$G372,0))</f>
        <v>0</v>
      </c>
      <c r="S372" s="148" t="n">
        <f aca="false">VALUE(IF($D372="pot",$C372,0))+VALUE(IF($H372="pot",$G372,0))</f>
        <v>0</v>
      </c>
      <c r="T372" s="148" t="n">
        <f aca="false">VALUE(IF($D372="táb",$C372,0))+VALUE(IF($H372="táb",$G372,0))</f>
        <v>0</v>
      </c>
      <c r="U372" s="148" t="n">
        <f aca="false">VALUE(IF($D372="oma",$C372,0))+VALUE(IF($H372="oma",$G372,0))</f>
        <v>0</v>
      </c>
      <c r="V372" s="148" t="n">
        <f aca="false">VALUE(IF($D372="ces",$C372,0))+VALUE(IF($H372="ces",$G372,0))</f>
        <v>0</v>
      </c>
      <c r="W372" s="148" t="n">
        <f aca="false">VALUE(IF($D372="poš",$C372,0))+VALUE(IF($H372="poš",$G372,0))</f>
        <v>0</v>
      </c>
      <c r="X372" s="148" t="n">
        <f aca="false">VALUE(IF($D372="tel",$C372,0))+VALUE(IF($H372="tel",$G372,0))</f>
        <v>0</v>
      </c>
      <c r="Y372" s="148" t="n">
        <f aca="false">VALUE(IF($D372="dop",$C372,0))+VALUE(IF($H372="dop",$G372,0))</f>
        <v>0</v>
      </c>
      <c r="Z372" s="148" t="n">
        <f aca="false">VALUE(IF($D372="nák",$C372,0))+VALUE(IF($H372="nák",$G372,0))</f>
        <v>0</v>
      </c>
      <c r="AA372" s="148" t="n">
        <f aca="false">VALUE(IF($D372="náj",$C372,0))+VALUE(IF($H372="náj",$G372,0))</f>
        <v>0</v>
      </c>
      <c r="AB372" s="148" t="n">
        <f aca="false">VALUE(IF($D372="půj",$C372,0))+VALUE(IF($H372="půj",$G372,0))</f>
        <v>0</v>
      </c>
      <c r="AC372" s="148" t="n">
        <f aca="false">VALUE(IF($D372="vst",$C372,0))+VALUE(IF($H372="vst",$G372,0))</f>
        <v>0</v>
      </c>
      <c r="AD372" s="148" t="n">
        <f aca="false">VALUE(IF($D372="kop",$C372,0))+VALUE(IF($H372="kop",$G372,0))</f>
        <v>0</v>
      </c>
      <c r="AE372" s="148" t="n">
        <f aca="false">VALUE(IF($D372="osl",$C372,0))+VALUE(IF($H372="osl",$G372,0))</f>
        <v>0</v>
      </c>
      <c r="AF372" s="148" t="n">
        <f aca="false">VALUE(IF($D372="vra",$C372,0))+VALUE(IF($H372="vra",$G372,0))</f>
        <v>0</v>
      </c>
      <c r="AG372" s="148" t="n">
        <f aca="false">VALUE(IF($D372="zho",$C372,0))+VALUE(IF($H372="zho",$G372,0))</f>
        <v>0</v>
      </c>
      <c r="AH372" s="148" t="n">
        <f aca="false">VALUE(IF($D372="zbú",$C372,0))+VALUE(IF($H372="zbú",$G372,0))</f>
        <v>0</v>
      </c>
      <c r="AI372" s="148" t="n">
        <f aca="false">VALUE(IF($D372="pří",$C372,0))+VALUE(IF($H372="pří",$G372,0))</f>
        <v>0</v>
      </c>
      <c r="AJ372" s="148" t="n">
        <f aca="false">VALUE(IF($D372="dot",$C372,0))+VALUE(IF($H372="dot",$G372,0))</f>
        <v>0</v>
      </c>
      <c r="AK372" s="148" t="n">
        <f aca="false">VALUE(IF($D372="opř",$C372,0))+VALUE(IF($H372="opř",$G372,0))</f>
        <v>0</v>
      </c>
      <c r="AL372" s="148" t="n">
        <f aca="false">SUM(P372:AK372)</f>
        <v>0</v>
      </c>
    </row>
    <row r="373" customFormat="false" ht="12.75" hidden="false" customHeight="false" outlineLevel="0" collapsed="false">
      <c r="P373" s="148" t="n">
        <f aca="false">VALUE(IF($D373="vyb",$C373,0))+VALUE(IF($H373="vyb",$G373,0))</f>
        <v>0</v>
      </c>
      <c r="Q373" s="148" t="n">
        <f aca="false">VALUE(IF($D373="mtv",$C373,0))+VALUE(IF($H373="mtv",$G373,0))</f>
        <v>0</v>
      </c>
      <c r="R373" s="148" t="n">
        <f aca="false">VALUE(IF($D373="mat",$C373,0))+VALUE(IF($H373="mat",$G373,0))</f>
        <v>0</v>
      </c>
      <c r="S373" s="148" t="n">
        <f aca="false">VALUE(IF($D373="pot",$C373,0))+VALUE(IF($H373="pot",$G373,0))</f>
        <v>0</v>
      </c>
      <c r="T373" s="148" t="n">
        <f aca="false">VALUE(IF($D373="táb",$C373,0))+VALUE(IF($H373="táb",$G373,0))</f>
        <v>0</v>
      </c>
      <c r="U373" s="148" t="n">
        <f aca="false">VALUE(IF($D373="oma",$C373,0))+VALUE(IF($H373="oma",$G373,0))</f>
        <v>0</v>
      </c>
      <c r="V373" s="148" t="n">
        <f aca="false">VALUE(IF($D373="ces",$C373,0))+VALUE(IF($H373="ces",$G373,0))</f>
        <v>0</v>
      </c>
      <c r="W373" s="148" t="n">
        <f aca="false">VALUE(IF($D373="poš",$C373,0))+VALUE(IF($H373="poš",$G373,0))</f>
        <v>0</v>
      </c>
      <c r="X373" s="148" t="n">
        <f aca="false">VALUE(IF($D373="tel",$C373,0))+VALUE(IF($H373="tel",$G373,0))</f>
        <v>0</v>
      </c>
      <c r="Y373" s="148" t="n">
        <f aca="false">VALUE(IF($D373="dop",$C373,0))+VALUE(IF($H373="dop",$G373,0))</f>
        <v>0</v>
      </c>
      <c r="Z373" s="148" t="n">
        <f aca="false">VALUE(IF($D373="nák",$C373,0))+VALUE(IF($H373="nák",$G373,0))</f>
        <v>0</v>
      </c>
      <c r="AA373" s="148" t="n">
        <f aca="false">VALUE(IF($D373="náj",$C373,0))+VALUE(IF($H373="náj",$G373,0))</f>
        <v>0</v>
      </c>
      <c r="AB373" s="148" t="n">
        <f aca="false">VALUE(IF($D373="půj",$C373,0))+VALUE(IF($H373="půj",$G373,0))</f>
        <v>0</v>
      </c>
      <c r="AC373" s="148" t="n">
        <f aca="false">VALUE(IF($D373="vst",$C373,0))+VALUE(IF($H373="vst",$G373,0))</f>
        <v>0</v>
      </c>
      <c r="AD373" s="148" t="n">
        <f aca="false">VALUE(IF($D373="kop",$C373,0))+VALUE(IF($H373="kop",$G373,0))</f>
        <v>0</v>
      </c>
      <c r="AE373" s="148" t="n">
        <f aca="false">VALUE(IF($D373="osl",$C373,0))+VALUE(IF($H373="osl",$G373,0))</f>
        <v>0</v>
      </c>
      <c r="AF373" s="148" t="n">
        <f aca="false">VALUE(IF($D373="vra",$C373,0))+VALUE(IF($H373="vra",$G373,0))</f>
        <v>0</v>
      </c>
      <c r="AG373" s="148" t="n">
        <f aca="false">VALUE(IF($D373="zho",$C373,0))+VALUE(IF($H373="zho",$G373,0))</f>
        <v>0</v>
      </c>
      <c r="AH373" s="148" t="n">
        <f aca="false">VALUE(IF($D373="zbú",$C373,0))+VALUE(IF($H373="zbú",$G373,0))</f>
        <v>0</v>
      </c>
      <c r="AI373" s="148" t="n">
        <f aca="false">VALUE(IF($D373="pří",$C373,0))+VALUE(IF($H373="pří",$G373,0))</f>
        <v>0</v>
      </c>
      <c r="AJ373" s="148" t="n">
        <f aca="false">VALUE(IF($D373="dot",$C373,0))+VALUE(IF($H373="dot",$G373,0))</f>
        <v>0</v>
      </c>
      <c r="AK373" s="148" t="n">
        <f aca="false">VALUE(IF($D373="opř",$C373,0))+VALUE(IF($H373="opř",$G373,0))</f>
        <v>0</v>
      </c>
      <c r="AL373" s="148" t="n">
        <f aca="false">SUM(P373:AK373)</f>
        <v>0</v>
      </c>
    </row>
    <row r="374" customFormat="false" ht="12.75" hidden="false" customHeight="false" outlineLevel="0" collapsed="false">
      <c r="P374" s="148" t="n">
        <f aca="false">VALUE(IF($D374="vyb",$C374,0))+VALUE(IF($H374="vyb",$G374,0))</f>
        <v>0</v>
      </c>
      <c r="Q374" s="148" t="n">
        <f aca="false">VALUE(IF($D374="mtv",$C374,0))+VALUE(IF($H374="mtv",$G374,0))</f>
        <v>0</v>
      </c>
      <c r="R374" s="148" t="n">
        <f aca="false">VALUE(IF($D374="mat",$C374,0))+VALUE(IF($H374="mat",$G374,0))</f>
        <v>0</v>
      </c>
      <c r="S374" s="148" t="n">
        <f aca="false">VALUE(IF($D374="pot",$C374,0))+VALUE(IF($H374="pot",$G374,0))</f>
        <v>0</v>
      </c>
      <c r="T374" s="148" t="n">
        <f aca="false">VALUE(IF($D374="táb",$C374,0))+VALUE(IF($H374="táb",$G374,0))</f>
        <v>0</v>
      </c>
      <c r="U374" s="148" t="n">
        <f aca="false">VALUE(IF($D374="oma",$C374,0))+VALUE(IF($H374="oma",$G374,0))</f>
        <v>0</v>
      </c>
      <c r="V374" s="148" t="n">
        <f aca="false">VALUE(IF($D374="ces",$C374,0))+VALUE(IF($H374="ces",$G374,0))</f>
        <v>0</v>
      </c>
      <c r="W374" s="148" t="n">
        <f aca="false">VALUE(IF($D374="poš",$C374,0))+VALUE(IF($H374="poš",$G374,0))</f>
        <v>0</v>
      </c>
      <c r="X374" s="148" t="n">
        <f aca="false">VALUE(IF($D374="tel",$C374,0))+VALUE(IF($H374="tel",$G374,0))</f>
        <v>0</v>
      </c>
      <c r="Y374" s="148" t="n">
        <f aca="false">VALUE(IF($D374="dop",$C374,0))+VALUE(IF($H374="dop",$G374,0))</f>
        <v>0</v>
      </c>
      <c r="Z374" s="148" t="n">
        <f aca="false">VALUE(IF($D374="nák",$C374,0))+VALUE(IF($H374="nák",$G374,0))</f>
        <v>0</v>
      </c>
      <c r="AA374" s="148" t="n">
        <f aca="false">VALUE(IF($D374="náj",$C374,0))+VALUE(IF($H374="náj",$G374,0))</f>
        <v>0</v>
      </c>
      <c r="AB374" s="148" t="n">
        <f aca="false">VALUE(IF($D374="půj",$C374,0))+VALUE(IF($H374="půj",$G374,0))</f>
        <v>0</v>
      </c>
      <c r="AC374" s="148" t="n">
        <f aca="false">VALUE(IF($D374="vst",$C374,0))+VALUE(IF($H374="vst",$G374,0))</f>
        <v>0</v>
      </c>
      <c r="AD374" s="148" t="n">
        <f aca="false">VALUE(IF($D374="kop",$C374,0))+VALUE(IF($H374="kop",$G374,0))</f>
        <v>0</v>
      </c>
      <c r="AE374" s="148" t="n">
        <f aca="false">VALUE(IF($D374="osl",$C374,0))+VALUE(IF($H374="osl",$G374,0))</f>
        <v>0</v>
      </c>
      <c r="AF374" s="148" t="n">
        <f aca="false">VALUE(IF($D374="vra",$C374,0))+VALUE(IF($H374="vra",$G374,0))</f>
        <v>0</v>
      </c>
      <c r="AG374" s="148" t="n">
        <f aca="false">VALUE(IF($D374="zho",$C374,0))+VALUE(IF($H374="zho",$G374,0))</f>
        <v>0</v>
      </c>
      <c r="AH374" s="148" t="n">
        <f aca="false">VALUE(IF($D374="zbú",$C374,0))+VALUE(IF($H374="zbú",$G374,0))</f>
        <v>0</v>
      </c>
      <c r="AI374" s="148" t="n">
        <f aca="false">VALUE(IF($D374="pří",$C374,0))+VALUE(IF($H374="pří",$G374,0))</f>
        <v>0</v>
      </c>
      <c r="AJ374" s="148" t="n">
        <f aca="false">VALUE(IF($D374="dot",$C374,0))+VALUE(IF($H374="dot",$G374,0))</f>
        <v>0</v>
      </c>
      <c r="AK374" s="148" t="n">
        <f aca="false">VALUE(IF($D374="opř",$C374,0))+VALUE(IF($H374="opř",$G374,0))</f>
        <v>0</v>
      </c>
      <c r="AL374" s="148" t="n">
        <f aca="false">SUM(P374:AK374)</f>
        <v>0</v>
      </c>
    </row>
    <row r="375" customFormat="false" ht="12.75" hidden="false" customHeight="false" outlineLevel="0" collapsed="false">
      <c r="P375" s="148" t="n">
        <f aca="false">VALUE(IF($D375="vyb",$C375,0))+VALUE(IF($H375="vyb",$G375,0))</f>
        <v>0</v>
      </c>
      <c r="Q375" s="148" t="n">
        <f aca="false">VALUE(IF($D375="mtv",$C375,0))+VALUE(IF($H375="mtv",$G375,0))</f>
        <v>0</v>
      </c>
      <c r="R375" s="148" t="n">
        <f aca="false">VALUE(IF($D375="mat",$C375,0))+VALUE(IF($H375="mat",$G375,0))</f>
        <v>0</v>
      </c>
      <c r="S375" s="148" t="n">
        <f aca="false">VALUE(IF($D375="pot",$C375,0))+VALUE(IF($H375="pot",$G375,0))</f>
        <v>0</v>
      </c>
      <c r="T375" s="148" t="n">
        <f aca="false">VALUE(IF($D375="táb",$C375,0))+VALUE(IF($H375="táb",$G375,0))</f>
        <v>0</v>
      </c>
      <c r="U375" s="148" t="n">
        <f aca="false">VALUE(IF($D375="oma",$C375,0))+VALUE(IF($H375="oma",$G375,0))</f>
        <v>0</v>
      </c>
      <c r="V375" s="148" t="n">
        <f aca="false">VALUE(IF($D375="ces",$C375,0))+VALUE(IF($H375="ces",$G375,0))</f>
        <v>0</v>
      </c>
      <c r="W375" s="148" t="n">
        <f aca="false">VALUE(IF($D375="poš",$C375,0))+VALUE(IF($H375="poš",$G375,0))</f>
        <v>0</v>
      </c>
      <c r="X375" s="148" t="n">
        <f aca="false">VALUE(IF($D375="tel",$C375,0))+VALUE(IF($H375="tel",$G375,0))</f>
        <v>0</v>
      </c>
      <c r="Y375" s="148" t="n">
        <f aca="false">VALUE(IF($D375="dop",$C375,0))+VALUE(IF($H375="dop",$G375,0))</f>
        <v>0</v>
      </c>
      <c r="Z375" s="148" t="n">
        <f aca="false">VALUE(IF($D375="nák",$C375,0))+VALUE(IF($H375="nák",$G375,0))</f>
        <v>0</v>
      </c>
      <c r="AA375" s="148" t="n">
        <f aca="false">VALUE(IF($D375="náj",$C375,0))+VALUE(IF($H375="náj",$G375,0))</f>
        <v>0</v>
      </c>
      <c r="AB375" s="148" t="n">
        <f aca="false">VALUE(IF($D375="půj",$C375,0))+VALUE(IF($H375="půj",$G375,0))</f>
        <v>0</v>
      </c>
      <c r="AC375" s="148" t="n">
        <f aca="false">VALUE(IF($D375="vst",$C375,0))+VALUE(IF($H375="vst",$G375,0))</f>
        <v>0</v>
      </c>
      <c r="AD375" s="148" t="n">
        <f aca="false">VALUE(IF($D375="kop",$C375,0))+VALUE(IF($H375="kop",$G375,0))</f>
        <v>0</v>
      </c>
      <c r="AE375" s="148" t="n">
        <f aca="false">VALUE(IF($D375="osl",$C375,0))+VALUE(IF($H375="osl",$G375,0))</f>
        <v>0</v>
      </c>
      <c r="AF375" s="148" t="n">
        <f aca="false">VALUE(IF($D375="vra",$C375,0))+VALUE(IF($H375="vra",$G375,0))</f>
        <v>0</v>
      </c>
      <c r="AG375" s="148" t="n">
        <f aca="false">VALUE(IF($D375="zho",$C375,0))+VALUE(IF($H375="zho",$G375,0))</f>
        <v>0</v>
      </c>
      <c r="AH375" s="148" t="n">
        <f aca="false">VALUE(IF($D375="zbú",$C375,0))+VALUE(IF($H375="zbú",$G375,0))</f>
        <v>0</v>
      </c>
      <c r="AI375" s="148" t="n">
        <f aca="false">VALUE(IF($D375="pří",$C375,0))+VALUE(IF($H375="pří",$G375,0))</f>
        <v>0</v>
      </c>
      <c r="AJ375" s="148" t="n">
        <f aca="false">VALUE(IF($D375="dot",$C375,0))+VALUE(IF($H375="dot",$G375,0))</f>
        <v>0</v>
      </c>
      <c r="AK375" s="148" t="n">
        <f aca="false">VALUE(IF($D375="opř",$C375,0))+VALUE(IF($H375="opř",$G375,0))</f>
        <v>0</v>
      </c>
      <c r="AL375" s="148" t="n">
        <f aca="false">SUM(P375:AK375)</f>
        <v>0</v>
      </c>
    </row>
    <row r="376" customFormat="false" ht="12.75" hidden="false" customHeight="false" outlineLevel="0" collapsed="false">
      <c r="P376" s="148" t="n">
        <f aca="false">VALUE(IF($D376="vyb",$C376,0))+VALUE(IF($H376="vyb",$G376,0))</f>
        <v>0</v>
      </c>
      <c r="Q376" s="148" t="n">
        <f aca="false">VALUE(IF($D376="mtv",$C376,0))+VALUE(IF($H376="mtv",$G376,0))</f>
        <v>0</v>
      </c>
      <c r="R376" s="148" t="n">
        <f aca="false">VALUE(IF($D376="mat",$C376,0))+VALUE(IF($H376="mat",$G376,0))</f>
        <v>0</v>
      </c>
      <c r="S376" s="148" t="n">
        <f aca="false">VALUE(IF($D376="pot",$C376,0))+VALUE(IF($H376="pot",$G376,0))</f>
        <v>0</v>
      </c>
      <c r="T376" s="148" t="n">
        <f aca="false">VALUE(IF($D376="táb",$C376,0))+VALUE(IF($H376="táb",$G376,0))</f>
        <v>0</v>
      </c>
      <c r="U376" s="148" t="n">
        <f aca="false">VALUE(IF($D376="oma",$C376,0))+VALUE(IF($H376="oma",$G376,0))</f>
        <v>0</v>
      </c>
      <c r="V376" s="148" t="n">
        <f aca="false">VALUE(IF($D376="ces",$C376,0))+VALUE(IF($H376="ces",$G376,0))</f>
        <v>0</v>
      </c>
      <c r="W376" s="148" t="n">
        <f aca="false">VALUE(IF($D376="poš",$C376,0))+VALUE(IF($H376="poš",$G376,0))</f>
        <v>0</v>
      </c>
      <c r="X376" s="148" t="n">
        <f aca="false">VALUE(IF($D376="tel",$C376,0))+VALUE(IF($H376="tel",$G376,0))</f>
        <v>0</v>
      </c>
      <c r="Y376" s="148" t="n">
        <f aca="false">VALUE(IF($D376="dop",$C376,0))+VALUE(IF($H376="dop",$G376,0))</f>
        <v>0</v>
      </c>
      <c r="Z376" s="148" t="n">
        <f aca="false">VALUE(IF($D376="nák",$C376,0))+VALUE(IF($H376="nák",$G376,0))</f>
        <v>0</v>
      </c>
      <c r="AA376" s="148" t="n">
        <f aca="false">VALUE(IF($D376="náj",$C376,0))+VALUE(IF($H376="náj",$G376,0))</f>
        <v>0</v>
      </c>
      <c r="AB376" s="148" t="n">
        <f aca="false">VALUE(IF($D376="půj",$C376,0))+VALUE(IF($H376="půj",$G376,0))</f>
        <v>0</v>
      </c>
      <c r="AC376" s="148" t="n">
        <f aca="false">VALUE(IF($D376="vst",$C376,0))+VALUE(IF($H376="vst",$G376,0))</f>
        <v>0</v>
      </c>
      <c r="AD376" s="148" t="n">
        <f aca="false">VALUE(IF($D376="kop",$C376,0))+VALUE(IF($H376="kop",$G376,0))</f>
        <v>0</v>
      </c>
      <c r="AE376" s="148" t="n">
        <f aca="false">VALUE(IF($D376="osl",$C376,0))+VALUE(IF($H376="osl",$G376,0))</f>
        <v>0</v>
      </c>
      <c r="AF376" s="148" t="n">
        <f aca="false">VALUE(IF($D376="vra",$C376,0))+VALUE(IF($H376="vra",$G376,0))</f>
        <v>0</v>
      </c>
      <c r="AG376" s="148" t="n">
        <f aca="false">VALUE(IF($D376="zho",$C376,0))+VALUE(IF($H376="zho",$G376,0))</f>
        <v>0</v>
      </c>
      <c r="AH376" s="148" t="n">
        <f aca="false">VALUE(IF($D376="zbú",$C376,0))+VALUE(IF($H376="zbú",$G376,0))</f>
        <v>0</v>
      </c>
      <c r="AI376" s="148" t="n">
        <f aca="false">VALUE(IF($D376="pří",$C376,0))+VALUE(IF($H376="pří",$G376,0))</f>
        <v>0</v>
      </c>
      <c r="AJ376" s="148" t="n">
        <f aca="false">VALUE(IF($D376="dot",$C376,0))+VALUE(IF($H376="dot",$G376,0))</f>
        <v>0</v>
      </c>
      <c r="AK376" s="148" t="n">
        <f aca="false">VALUE(IF($D376="opř",$C376,0))+VALUE(IF($H376="opř",$G376,0))</f>
        <v>0</v>
      </c>
      <c r="AL376" s="148" t="n">
        <f aca="false">SUM(P376:AK376)</f>
        <v>0</v>
      </c>
    </row>
    <row r="377" customFormat="false" ht="12.75" hidden="false" customHeight="false" outlineLevel="0" collapsed="false">
      <c r="P377" s="148" t="n">
        <f aca="false">VALUE(IF($D377="vyb",$C377,0))+VALUE(IF($H377="vyb",$G377,0))</f>
        <v>0</v>
      </c>
      <c r="Q377" s="148" t="n">
        <f aca="false">VALUE(IF($D377="mtv",$C377,0))+VALUE(IF($H377="mtv",$G377,0))</f>
        <v>0</v>
      </c>
      <c r="R377" s="148" t="n">
        <f aca="false">VALUE(IF($D377="mat",$C377,0))+VALUE(IF($H377="mat",$G377,0))</f>
        <v>0</v>
      </c>
      <c r="S377" s="148" t="n">
        <f aca="false">VALUE(IF($D377="pot",$C377,0))+VALUE(IF($H377="pot",$G377,0))</f>
        <v>0</v>
      </c>
      <c r="T377" s="148" t="n">
        <f aca="false">VALUE(IF($D377="táb",$C377,0))+VALUE(IF($H377="táb",$G377,0))</f>
        <v>0</v>
      </c>
      <c r="U377" s="148" t="n">
        <f aca="false">VALUE(IF($D377="oma",$C377,0))+VALUE(IF($H377="oma",$G377,0))</f>
        <v>0</v>
      </c>
      <c r="V377" s="148" t="n">
        <f aca="false">VALUE(IF($D377="ces",$C377,0))+VALUE(IF($H377="ces",$G377,0))</f>
        <v>0</v>
      </c>
      <c r="W377" s="148" t="n">
        <f aca="false">VALUE(IF($D377="poš",$C377,0))+VALUE(IF($H377="poš",$G377,0))</f>
        <v>0</v>
      </c>
      <c r="X377" s="148" t="n">
        <f aca="false">VALUE(IF($D377="tel",$C377,0))+VALUE(IF($H377="tel",$G377,0))</f>
        <v>0</v>
      </c>
      <c r="Y377" s="148" t="n">
        <f aca="false">VALUE(IF($D377="dop",$C377,0))+VALUE(IF($H377="dop",$G377,0))</f>
        <v>0</v>
      </c>
      <c r="Z377" s="148" t="n">
        <f aca="false">VALUE(IF($D377="nák",$C377,0))+VALUE(IF($H377="nák",$G377,0))</f>
        <v>0</v>
      </c>
      <c r="AA377" s="148" t="n">
        <f aca="false">VALUE(IF($D377="náj",$C377,0))+VALUE(IF($H377="náj",$G377,0))</f>
        <v>0</v>
      </c>
      <c r="AB377" s="148" t="n">
        <f aca="false">VALUE(IF($D377="půj",$C377,0))+VALUE(IF($H377="půj",$G377,0))</f>
        <v>0</v>
      </c>
      <c r="AC377" s="148" t="n">
        <f aca="false">VALUE(IF($D377="vst",$C377,0))+VALUE(IF($H377="vst",$G377,0))</f>
        <v>0</v>
      </c>
      <c r="AD377" s="148" t="n">
        <f aca="false">VALUE(IF($D377="kop",$C377,0))+VALUE(IF($H377="kop",$G377,0))</f>
        <v>0</v>
      </c>
      <c r="AE377" s="148" t="n">
        <f aca="false">VALUE(IF($D377="osl",$C377,0))+VALUE(IF($H377="osl",$G377,0))</f>
        <v>0</v>
      </c>
      <c r="AF377" s="148" t="n">
        <f aca="false">VALUE(IF($D377="vra",$C377,0))+VALUE(IF($H377="vra",$G377,0))</f>
        <v>0</v>
      </c>
      <c r="AG377" s="148" t="n">
        <f aca="false">VALUE(IF($D377="zho",$C377,0))+VALUE(IF($H377="zho",$G377,0))</f>
        <v>0</v>
      </c>
      <c r="AH377" s="148" t="n">
        <f aca="false">VALUE(IF($D377="zbú",$C377,0))+VALUE(IF($H377="zbú",$G377,0))</f>
        <v>0</v>
      </c>
      <c r="AI377" s="148" t="n">
        <f aca="false">VALUE(IF($D377="pří",$C377,0))+VALUE(IF($H377="pří",$G377,0))</f>
        <v>0</v>
      </c>
      <c r="AJ377" s="148" t="n">
        <f aca="false">VALUE(IF($D377="dot",$C377,0))+VALUE(IF($H377="dot",$G377,0))</f>
        <v>0</v>
      </c>
      <c r="AK377" s="148" t="n">
        <f aca="false">VALUE(IF($D377="opř",$C377,0))+VALUE(IF($H377="opř",$G377,0))</f>
        <v>0</v>
      </c>
      <c r="AL377" s="148" t="n">
        <f aca="false">SUM(P377:AK377)</f>
        <v>0</v>
      </c>
    </row>
    <row r="378" customFormat="false" ht="12.75" hidden="false" customHeight="false" outlineLevel="0" collapsed="false">
      <c r="P378" s="148" t="n">
        <f aca="false">VALUE(IF($D378="vyb",$C378,0))+VALUE(IF($H378="vyb",$G378,0))</f>
        <v>0</v>
      </c>
      <c r="Q378" s="148" t="n">
        <f aca="false">VALUE(IF($D378="mtv",$C378,0))+VALUE(IF($H378="mtv",$G378,0))</f>
        <v>0</v>
      </c>
      <c r="R378" s="148" t="n">
        <f aca="false">VALUE(IF($D378="mat",$C378,0))+VALUE(IF($H378="mat",$G378,0))</f>
        <v>0</v>
      </c>
      <c r="S378" s="148" t="n">
        <f aca="false">VALUE(IF($D378="pot",$C378,0))+VALUE(IF($H378="pot",$G378,0))</f>
        <v>0</v>
      </c>
      <c r="T378" s="148" t="n">
        <f aca="false">VALUE(IF($D378="táb",$C378,0))+VALUE(IF($H378="táb",$G378,0))</f>
        <v>0</v>
      </c>
      <c r="U378" s="148" t="n">
        <f aca="false">VALUE(IF($D378="oma",$C378,0))+VALUE(IF($H378="oma",$G378,0))</f>
        <v>0</v>
      </c>
      <c r="V378" s="148" t="n">
        <f aca="false">VALUE(IF($D378="ces",$C378,0))+VALUE(IF($H378="ces",$G378,0))</f>
        <v>0</v>
      </c>
      <c r="W378" s="148" t="n">
        <f aca="false">VALUE(IF($D378="poš",$C378,0))+VALUE(IF($H378="poš",$G378,0))</f>
        <v>0</v>
      </c>
      <c r="X378" s="148" t="n">
        <f aca="false">VALUE(IF($D378="tel",$C378,0))+VALUE(IF($H378="tel",$G378,0))</f>
        <v>0</v>
      </c>
      <c r="Y378" s="148" t="n">
        <f aca="false">VALUE(IF($D378="dop",$C378,0))+VALUE(IF($H378="dop",$G378,0))</f>
        <v>0</v>
      </c>
      <c r="Z378" s="148" t="n">
        <f aca="false">VALUE(IF($D378="nák",$C378,0))+VALUE(IF($H378="nák",$G378,0))</f>
        <v>0</v>
      </c>
      <c r="AA378" s="148" t="n">
        <f aca="false">VALUE(IF($D378="náj",$C378,0))+VALUE(IF($H378="náj",$G378,0))</f>
        <v>0</v>
      </c>
      <c r="AB378" s="148" t="n">
        <f aca="false">VALUE(IF($D378="půj",$C378,0))+VALUE(IF($H378="půj",$G378,0))</f>
        <v>0</v>
      </c>
      <c r="AC378" s="148" t="n">
        <f aca="false">VALUE(IF($D378="vst",$C378,0))+VALUE(IF($H378="vst",$G378,0))</f>
        <v>0</v>
      </c>
      <c r="AD378" s="148" t="n">
        <f aca="false">VALUE(IF($D378="kop",$C378,0))+VALUE(IF($H378="kop",$G378,0))</f>
        <v>0</v>
      </c>
      <c r="AE378" s="148" t="n">
        <f aca="false">VALUE(IF($D378="osl",$C378,0))+VALUE(IF($H378="osl",$G378,0))</f>
        <v>0</v>
      </c>
      <c r="AF378" s="148" t="n">
        <f aca="false">VALUE(IF($D378="vra",$C378,0))+VALUE(IF($H378="vra",$G378,0))</f>
        <v>0</v>
      </c>
      <c r="AG378" s="148" t="n">
        <f aca="false">VALUE(IF($D378="zho",$C378,0))+VALUE(IF($H378="zho",$G378,0))</f>
        <v>0</v>
      </c>
      <c r="AH378" s="148" t="n">
        <f aca="false">VALUE(IF($D378="zbú",$C378,0))+VALUE(IF($H378="zbú",$G378,0))</f>
        <v>0</v>
      </c>
      <c r="AI378" s="148" t="n">
        <f aca="false">VALUE(IF($D378="pří",$C378,0))+VALUE(IF($H378="pří",$G378,0))</f>
        <v>0</v>
      </c>
      <c r="AJ378" s="148" t="n">
        <f aca="false">VALUE(IF($D378="dot",$C378,0))+VALUE(IF($H378="dot",$G378,0))</f>
        <v>0</v>
      </c>
      <c r="AK378" s="148" t="n">
        <f aca="false">VALUE(IF($D378="opř",$C378,0))+VALUE(IF($H378="opř",$G378,0))</f>
        <v>0</v>
      </c>
      <c r="AL378" s="148" t="n">
        <f aca="false">SUM(P378:AK378)</f>
        <v>0</v>
      </c>
    </row>
    <row r="379" customFormat="false" ht="12.75" hidden="false" customHeight="false" outlineLevel="0" collapsed="false">
      <c r="P379" s="148" t="n">
        <f aca="false">VALUE(IF($D379="vyb",$C379,0))+VALUE(IF($H379="vyb",$G379,0))</f>
        <v>0</v>
      </c>
      <c r="Q379" s="148" t="n">
        <f aca="false">VALUE(IF($D379="mtv",$C379,0))+VALUE(IF($H379="mtv",$G379,0))</f>
        <v>0</v>
      </c>
      <c r="R379" s="148" t="n">
        <f aca="false">VALUE(IF($D379="mat",$C379,0))+VALUE(IF($H379="mat",$G379,0))</f>
        <v>0</v>
      </c>
      <c r="S379" s="148" t="n">
        <f aca="false">VALUE(IF($D379="pot",$C379,0))+VALUE(IF($H379="pot",$G379,0))</f>
        <v>0</v>
      </c>
      <c r="T379" s="148" t="n">
        <f aca="false">VALUE(IF($D379="táb",$C379,0))+VALUE(IF($H379="táb",$G379,0))</f>
        <v>0</v>
      </c>
      <c r="U379" s="148" t="n">
        <f aca="false">VALUE(IF($D379="oma",$C379,0))+VALUE(IF($H379="oma",$G379,0))</f>
        <v>0</v>
      </c>
      <c r="V379" s="148" t="n">
        <f aca="false">VALUE(IF($D379="ces",$C379,0))+VALUE(IF($H379="ces",$G379,0))</f>
        <v>0</v>
      </c>
      <c r="W379" s="148" t="n">
        <f aca="false">VALUE(IF($D379="poš",$C379,0))+VALUE(IF($H379="poš",$G379,0))</f>
        <v>0</v>
      </c>
      <c r="X379" s="148" t="n">
        <f aca="false">VALUE(IF($D379="tel",$C379,0))+VALUE(IF($H379="tel",$G379,0))</f>
        <v>0</v>
      </c>
      <c r="Y379" s="148" t="n">
        <f aca="false">VALUE(IF($D379="dop",$C379,0))+VALUE(IF($H379="dop",$G379,0))</f>
        <v>0</v>
      </c>
      <c r="Z379" s="148" t="n">
        <f aca="false">VALUE(IF($D379="nák",$C379,0))+VALUE(IF($H379="nák",$G379,0))</f>
        <v>0</v>
      </c>
      <c r="AA379" s="148" t="n">
        <f aca="false">VALUE(IF($D379="náj",$C379,0))+VALUE(IF($H379="náj",$G379,0))</f>
        <v>0</v>
      </c>
      <c r="AB379" s="148" t="n">
        <f aca="false">VALUE(IF($D379="půj",$C379,0))+VALUE(IF($H379="půj",$G379,0))</f>
        <v>0</v>
      </c>
      <c r="AC379" s="148" t="n">
        <f aca="false">VALUE(IF($D379="vst",$C379,0))+VALUE(IF($H379="vst",$G379,0))</f>
        <v>0</v>
      </c>
      <c r="AD379" s="148" t="n">
        <f aca="false">VALUE(IF($D379="kop",$C379,0))+VALUE(IF($H379="kop",$G379,0))</f>
        <v>0</v>
      </c>
      <c r="AE379" s="148" t="n">
        <f aca="false">VALUE(IF($D379="osl",$C379,0))+VALUE(IF($H379="osl",$G379,0))</f>
        <v>0</v>
      </c>
      <c r="AF379" s="148" t="n">
        <f aca="false">VALUE(IF($D379="vra",$C379,0))+VALUE(IF($H379="vra",$G379,0))</f>
        <v>0</v>
      </c>
      <c r="AG379" s="148" t="n">
        <f aca="false">VALUE(IF($D379="zho",$C379,0))+VALUE(IF($H379="zho",$G379,0))</f>
        <v>0</v>
      </c>
      <c r="AH379" s="148" t="n">
        <f aca="false">VALUE(IF($D379="zbú",$C379,0))+VALUE(IF($H379="zbú",$G379,0))</f>
        <v>0</v>
      </c>
      <c r="AI379" s="148" t="n">
        <f aca="false">VALUE(IF($D379="pří",$C379,0))+VALUE(IF($H379="pří",$G379,0))</f>
        <v>0</v>
      </c>
      <c r="AJ379" s="148" t="n">
        <f aca="false">VALUE(IF($D379="dot",$C379,0))+VALUE(IF($H379="dot",$G379,0))</f>
        <v>0</v>
      </c>
      <c r="AK379" s="148" t="n">
        <f aca="false">VALUE(IF($D379="opř",$C379,0))+VALUE(IF($H379="opř",$G379,0))</f>
        <v>0</v>
      </c>
      <c r="AL379" s="148" t="n">
        <f aca="false">SUM(P379:AK379)</f>
        <v>0</v>
      </c>
    </row>
    <row r="380" customFormat="false" ht="12.75" hidden="false" customHeight="false" outlineLevel="0" collapsed="false">
      <c r="P380" s="148" t="n">
        <f aca="false">VALUE(IF($D380="vyb",$C380,0))+VALUE(IF($H380="vyb",$G380,0))</f>
        <v>0</v>
      </c>
      <c r="Q380" s="148" t="n">
        <f aca="false">VALUE(IF($D380="mtv",$C380,0))+VALUE(IF($H380="mtv",$G380,0))</f>
        <v>0</v>
      </c>
      <c r="R380" s="148" t="n">
        <f aca="false">VALUE(IF($D380="mat",$C380,0))+VALUE(IF($H380="mat",$G380,0))</f>
        <v>0</v>
      </c>
      <c r="S380" s="148" t="n">
        <f aca="false">VALUE(IF($D380="pot",$C380,0))+VALUE(IF($H380="pot",$G380,0))</f>
        <v>0</v>
      </c>
      <c r="T380" s="148" t="n">
        <f aca="false">VALUE(IF($D380="táb",$C380,0))+VALUE(IF($H380="táb",$G380,0))</f>
        <v>0</v>
      </c>
      <c r="U380" s="148" t="n">
        <f aca="false">VALUE(IF($D380="oma",$C380,0))+VALUE(IF($H380="oma",$G380,0))</f>
        <v>0</v>
      </c>
      <c r="V380" s="148" t="n">
        <f aca="false">VALUE(IF($D380="ces",$C380,0))+VALUE(IF($H380="ces",$G380,0))</f>
        <v>0</v>
      </c>
      <c r="W380" s="148" t="n">
        <f aca="false">VALUE(IF($D380="poš",$C380,0))+VALUE(IF($H380="poš",$G380,0))</f>
        <v>0</v>
      </c>
      <c r="X380" s="148" t="n">
        <f aca="false">VALUE(IF($D380="tel",$C380,0))+VALUE(IF($H380="tel",$G380,0))</f>
        <v>0</v>
      </c>
      <c r="Y380" s="148" t="n">
        <f aca="false">VALUE(IF($D380="dop",$C380,0))+VALUE(IF($H380="dop",$G380,0))</f>
        <v>0</v>
      </c>
      <c r="Z380" s="148" t="n">
        <f aca="false">VALUE(IF($D380="nák",$C380,0))+VALUE(IF($H380="nák",$G380,0))</f>
        <v>0</v>
      </c>
      <c r="AA380" s="148" t="n">
        <f aca="false">VALUE(IF($D380="náj",$C380,0))+VALUE(IF($H380="náj",$G380,0))</f>
        <v>0</v>
      </c>
      <c r="AB380" s="148" t="n">
        <f aca="false">VALUE(IF($D380="půj",$C380,0))+VALUE(IF($H380="půj",$G380,0))</f>
        <v>0</v>
      </c>
      <c r="AC380" s="148" t="n">
        <f aca="false">VALUE(IF($D380="vst",$C380,0))+VALUE(IF($H380="vst",$G380,0))</f>
        <v>0</v>
      </c>
      <c r="AD380" s="148" t="n">
        <f aca="false">VALUE(IF($D380="kop",$C380,0))+VALUE(IF($H380="kop",$G380,0))</f>
        <v>0</v>
      </c>
      <c r="AE380" s="148" t="n">
        <f aca="false">VALUE(IF($D380="osl",$C380,0))+VALUE(IF($H380="osl",$G380,0))</f>
        <v>0</v>
      </c>
      <c r="AF380" s="148" t="n">
        <f aca="false">VALUE(IF($D380="vra",$C380,0))+VALUE(IF($H380="vra",$G380,0))</f>
        <v>0</v>
      </c>
      <c r="AG380" s="148" t="n">
        <f aca="false">VALUE(IF($D380="zho",$C380,0))+VALUE(IF($H380="zho",$G380,0))</f>
        <v>0</v>
      </c>
      <c r="AH380" s="148" t="n">
        <f aca="false">VALUE(IF($D380="zbú",$C380,0))+VALUE(IF($H380="zbú",$G380,0))</f>
        <v>0</v>
      </c>
      <c r="AI380" s="148" t="n">
        <f aca="false">VALUE(IF($D380="pří",$C380,0))+VALUE(IF($H380="pří",$G380,0))</f>
        <v>0</v>
      </c>
      <c r="AJ380" s="148" t="n">
        <f aca="false">VALUE(IF($D380="dot",$C380,0))+VALUE(IF($H380="dot",$G380,0))</f>
        <v>0</v>
      </c>
      <c r="AK380" s="148" t="n">
        <f aca="false">VALUE(IF($D380="opř",$C380,0))+VALUE(IF($H380="opř",$G380,0))</f>
        <v>0</v>
      </c>
      <c r="AL380" s="148" t="n">
        <f aca="false">SUM(P380:AK380)</f>
        <v>0</v>
      </c>
    </row>
    <row r="381" customFormat="false" ht="12.75" hidden="false" customHeight="false" outlineLevel="0" collapsed="false">
      <c r="P381" s="148" t="n">
        <f aca="false">VALUE(IF($D381="vyb",$C381,0))+VALUE(IF($H381="vyb",$G381,0))</f>
        <v>0</v>
      </c>
      <c r="Q381" s="148" t="n">
        <f aca="false">VALUE(IF($D381="mtv",$C381,0))+VALUE(IF($H381="mtv",$G381,0))</f>
        <v>0</v>
      </c>
      <c r="R381" s="148" t="n">
        <f aca="false">VALUE(IF($D381="mat",$C381,0))+VALUE(IF($H381="mat",$G381,0))</f>
        <v>0</v>
      </c>
      <c r="S381" s="148" t="n">
        <f aca="false">VALUE(IF($D381="pot",$C381,0))+VALUE(IF($H381="pot",$G381,0))</f>
        <v>0</v>
      </c>
      <c r="T381" s="148" t="n">
        <f aca="false">VALUE(IF($D381="táb",$C381,0))+VALUE(IF($H381="táb",$G381,0))</f>
        <v>0</v>
      </c>
      <c r="U381" s="148" t="n">
        <f aca="false">VALUE(IF($D381="oma",$C381,0))+VALUE(IF($H381="oma",$G381,0))</f>
        <v>0</v>
      </c>
      <c r="V381" s="148" t="n">
        <f aca="false">VALUE(IF($D381="ces",$C381,0))+VALUE(IF($H381="ces",$G381,0))</f>
        <v>0</v>
      </c>
      <c r="W381" s="148" t="n">
        <f aca="false">VALUE(IF($D381="poš",$C381,0))+VALUE(IF($H381="poš",$G381,0))</f>
        <v>0</v>
      </c>
      <c r="X381" s="148" t="n">
        <f aca="false">VALUE(IF($D381="tel",$C381,0))+VALUE(IF($H381="tel",$G381,0))</f>
        <v>0</v>
      </c>
      <c r="Y381" s="148" t="n">
        <f aca="false">VALUE(IF($D381="dop",$C381,0))+VALUE(IF($H381="dop",$G381,0))</f>
        <v>0</v>
      </c>
      <c r="Z381" s="148" t="n">
        <f aca="false">VALUE(IF($D381="nák",$C381,0))+VALUE(IF($H381="nák",$G381,0))</f>
        <v>0</v>
      </c>
      <c r="AA381" s="148" t="n">
        <f aca="false">VALUE(IF($D381="náj",$C381,0))+VALUE(IF($H381="náj",$G381,0))</f>
        <v>0</v>
      </c>
      <c r="AB381" s="148" t="n">
        <f aca="false">VALUE(IF($D381="půj",$C381,0))+VALUE(IF($H381="půj",$G381,0))</f>
        <v>0</v>
      </c>
      <c r="AC381" s="148" t="n">
        <f aca="false">VALUE(IF($D381="vst",$C381,0))+VALUE(IF($H381="vst",$G381,0))</f>
        <v>0</v>
      </c>
      <c r="AD381" s="148" t="n">
        <f aca="false">VALUE(IF($D381="kop",$C381,0))+VALUE(IF($H381="kop",$G381,0))</f>
        <v>0</v>
      </c>
      <c r="AE381" s="148" t="n">
        <f aca="false">VALUE(IF($D381="osl",$C381,0))+VALUE(IF($H381="osl",$G381,0))</f>
        <v>0</v>
      </c>
      <c r="AF381" s="148" t="n">
        <f aca="false">VALUE(IF($D381="vra",$C381,0))+VALUE(IF($H381="vra",$G381,0))</f>
        <v>0</v>
      </c>
      <c r="AG381" s="148" t="n">
        <f aca="false">VALUE(IF($D381="zho",$C381,0))+VALUE(IF($H381="zho",$G381,0))</f>
        <v>0</v>
      </c>
      <c r="AH381" s="148" t="n">
        <f aca="false">VALUE(IF($D381="zbú",$C381,0))+VALUE(IF($H381="zbú",$G381,0))</f>
        <v>0</v>
      </c>
      <c r="AI381" s="148" t="n">
        <f aca="false">VALUE(IF($D381="pří",$C381,0))+VALUE(IF($H381="pří",$G381,0))</f>
        <v>0</v>
      </c>
      <c r="AJ381" s="148" t="n">
        <f aca="false">VALUE(IF($D381="dot",$C381,0))+VALUE(IF($H381="dot",$G381,0))</f>
        <v>0</v>
      </c>
      <c r="AK381" s="148" t="n">
        <f aca="false">VALUE(IF($D381="opř",$C381,0))+VALUE(IF($H381="opř",$G381,0))</f>
        <v>0</v>
      </c>
      <c r="AL381" s="148" t="n">
        <f aca="false">SUM(P381:AK381)</f>
        <v>0</v>
      </c>
    </row>
    <row r="382" customFormat="false" ht="12.75" hidden="false" customHeight="false" outlineLevel="0" collapsed="false">
      <c r="P382" s="148" t="n">
        <f aca="false">VALUE(IF($D382="vyb",$C382,0))+VALUE(IF($H382="vyb",$G382,0))</f>
        <v>0</v>
      </c>
      <c r="Q382" s="148" t="n">
        <f aca="false">VALUE(IF($D382="mtv",$C382,0))+VALUE(IF($H382="mtv",$G382,0))</f>
        <v>0</v>
      </c>
      <c r="R382" s="148" t="n">
        <f aca="false">VALUE(IF($D382="mat",$C382,0))+VALUE(IF($H382="mat",$G382,0))</f>
        <v>0</v>
      </c>
      <c r="S382" s="148" t="n">
        <f aca="false">VALUE(IF($D382="pot",$C382,0))+VALUE(IF($H382="pot",$G382,0))</f>
        <v>0</v>
      </c>
      <c r="T382" s="148" t="n">
        <f aca="false">VALUE(IF($D382="táb",$C382,0))+VALUE(IF($H382="táb",$G382,0))</f>
        <v>0</v>
      </c>
      <c r="U382" s="148" t="n">
        <f aca="false">VALUE(IF($D382="oma",$C382,0))+VALUE(IF($H382="oma",$G382,0))</f>
        <v>0</v>
      </c>
      <c r="V382" s="148" t="n">
        <f aca="false">VALUE(IF($D382="ces",$C382,0))+VALUE(IF($H382="ces",$G382,0))</f>
        <v>0</v>
      </c>
      <c r="W382" s="148" t="n">
        <f aca="false">VALUE(IF($D382="poš",$C382,0))+VALUE(IF($H382="poš",$G382,0))</f>
        <v>0</v>
      </c>
      <c r="X382" s="148" t="n">
        <f aca="false">VALUE(IF($D382="tel",$C382,0))+VALUE(IF($H382="tel",$G382,0))</f>
        <v>0</v>
      </c>
      <c r="Y382" s="148" t="n">
        <f aca="false">VALUE(IF($D382="dop",$C382,0))+VALUE(IF($H382="dop",$G382,0))</f>
        <v>0</v>
      </c>
      <c r="Z382" s="148" t="n">
        <f aca="false">VALUE(IF($D382="nák",$C382,0))+VALUE(IF($H382="nák",$G382,0))</f>
        <v>0</v>
      </c>
      <c r="AA382" s="148" t="n">
        <f aca="false">VALUE(IF($D382="náj",$C382,0))+VALUE(IF($H382="náj",$G382,0))</f>
        <v>0</v>
      </c>
      <c r="AB382" s="148" t="n">
        <f aca="false">VALUE(IF($D382="půj",$C382,0))+VALUE(IF($H382="půj",$G382,0))</f>
        <v>0</v>
      </c>
      <c r="AC382" s="148" t="n">
        <f aca="false">VALUE(IF($D382="vst",$C382,0))+VALUE(IF($H382="vst",$G382,0))</f>
        <v>0</v>
      </c>
      <c r="AD382" s="148" t="n">
        <f aca="false">VALUE(IF($D382="kop",$C382,0))+VALUE(IF($H382="kop",$G382,0))</f>
        <v>0</v>
      </c>
      <c r="AE382" s="148" t="n">
        <f aca="false">VALUE(IF($D382="osl",$C382,0))+VALUE(IF($H382="osl",$G382,0))</f>
        <v>0</v>
      </c>
      <c r="AF382" s="148" t="n">
        <f aca="false">VALUE(IF($D382="vra",$C382,0))+VALUE(IF($H382="vra",$G382,0))</f>
        <v>0</v>
      </c>
      <c r="AG382" s="148" t="n">
        <f aca="false">VALUE(IF($D382="zho",$C382,0))+VALUE(IF($H382="zho",$G382,0))</f>
        <v>0</v>
      </c>
      <c r="AH382" s="148" t="n">
        <f aca="false">VALUE(IF($D382="zbú",$C382,0))+VALUE(IF($H382="zbú",$G382,0))</f>
        <v>0</v>
      </c>
      <c r="AI382" s="148" t="n">
        <f aca="false">VALUE(IF($D382="pří",$C382,0))+VALUE(IF($H382="pří",$G382,0))</f>
        <v>0</v>
      </c>
      <c r="AJ382" s="148" t="n">
        <f aca="false">VALUE(IF($D382="dot",$C382,0))+VALUE(IF($H382="dot",$G382,0))</f>
        <v>0</v>
      </c>
      <c r="AK382" s="148" t="n">
        <f aca="false">VALUE(IF($D382="opř",$C382,0))+VALUE(IF($H382="opř",$G382,0))</f>
        <v>0</v>
      </c>
      <c r="AL382" s="148" t="n">
        <f aca="false">SUM(P382:AK382)</f>
        <v>0</v>
      </c>
    </row>
    <row r="383" customFormat="false" ht="12.75" hidden="false" customHeight="false" outlineLevel="0" collapsed="false">
      <c r="P383" s="148" t="n">
        <f aca="false">VALUE(IF($D383="vyb",$C383,0))+VALUE(IF($H383="vyb",$G383,0))</f>
        <v>0</v>
      </c>
      <c r="Q383" s="148" t="n">
        <f aca="false">VALUE(IF($D383="mtv",$C383,0))+VALUE(IF($H383="mtv",$G383,0))</f>
        <v>0</v>
      </c>
      <c r="R383" s="148" t="n">
        <f aca="false">VALUE(IF($D383="mat",$C383,0))+VALUE(IF($H383="mat",$G383,0))</f>
        <v>0</v>
      </c>
      <c r="S383" s="148" t="n">
        <f aca="false">VALUE(IF($D383="pot",$C383,0))+VALUE(IF($H383="pot",$G383,0))</f>
        <v>0</v>
      </c>
      <c r="T383" s="148" t="n">
        <f aca="false">VALUE(IF($D383="táb",$C383,0))+VALUE(IF($H383="táb",$G383,0))</f>
        <v>0</v>
      </c>
      <c r="U383" s="148" t="n">
        <f aca="false">VALUE(IF($D383="oma",$C383,0))+VALUE(IF($H383="oma",$G383,0))</f>
        <v>0</v>
      </c>
      <c r="V383" s="148" t="n">
        <f aca="false">VALUE(IF($D383="ces",$C383,0))+VALUE(IF($H383="ces",$G383,0))</f>
        <v>0</v>
      </c>
      <c r="W383" s="148" t="n">
        <f aca="false">VALUE(IF($D383="poš",$C383,0))+VALUE(IF($H383="poš",$G383,0))</f>
        <v>0</v>
      </c>
      <c r="X383" s="148" t="n">
        <f aca="false">VALUE(IF($D383="tel",$C383,0))+VALUE(IF($H383="tel",$G383,0))</f>
        <v>0</v>
      </c>
      <c r="Y383" s="148" t="n">
        <f aca="false">VALUE(IF($D383="dop",$C383,0))+VALUE(IF($H383="dop",$G383,0))</f>
        <v>0</v>
      </c>
      <c r="Z383" s="148" t="n">
        <f aca="false">VALUE(IF($D383="nák",$C383,0))+VALUE(IF($H383="nák",$G383,0))</f>
        <v>0</v>
      </c>
      <c r="AA383" s="148" t="n">
        <f aca="false">VALUE(IF($D383="náj",$C383,0))+VALUE(IF($H383="náj",$G383,0))</f>
        <v>0</v>
      </c>
      <c r="AB383" s="148" t="n">
        <f aca="false">VALUE(IF($D383="půj",$C383,0))+VALUE(IF($H383="půj",$G383,0))</f>
        <v>0</v>
      </c>
      <c r="AC383" s="148" t="n">
        <f aca="false">VALUE(IF($D383="vst",$C383,0))+VALUE(IF($H383="vst",$G383,0))</f>
        <v>0</v>
      </c>
      <c r="AD383" s="148" t="n">
        <f aca="false">VALUE(IF($D383="kop",$C383,0))+VALUE(IF($H383="kop",$G383,0))</f>
        <v>0</v>
      </c>
      <c r="AE383" s="148" t="n">
        <f aca="false">VALUE(IF($D383="osl",$C383,0))+VALUE(IF($H383="osl",$G383,0))</f>
        <v>0</v>
      </c>
      <c r="AF383" s="148" t="n">
        <f aca="false">VALUE(IF($D383="vra",$C383,0))+VALUE(IF($H383="vra",$G383,0))</f>
        <v>0</v>
      </c>
      <c r="AG383" s="148" t="n">
        <f aca="false">VALUE(IF($D383="zho",$C383,0))+VALUE(IF($H383="zho",$G383,0))</f>
        <v>0</v>
      </c>
      <c r="AH383" s="148" t="n">
        <f aca="false">VALUE(IF($D383="zbú",$C383,0))+VALUE(IF($H383="zbú",$G383,0))</f>
        <v>0</v>
      </c>
      <c r="AI383" s="148" t="n">
        <f aca="false">VALUE(IF($D383="pří",$C383,0))+VALUE(IF($H383="pří",$G383,0))</f>
        <v>0</v>
      </c>
      <c r="AJ383" s="148" t="n">
        <f aca="false">VALUE(IF($D383="dot",$C383,0))+VALUE(IF($H383="dot",$G383,0))</f>
        <v>0</v>
      </c>
      <c r="AK383" s="148" t="n">
        <f aca="false">VALUE(IF($D383="opř",$C383,0))+VALUE(IF($H383="opř",$G383,0))</f>
        <v>0</v>
      </c>
      <c r="AL383" s="148" t="n">
        <f aca="false">SUM(P383:AK383)</f>
        <v>0</v>
      </c>
    </row>
    <row r="384" customFormat="false" ht="12.75" hidden="false" customHeight="false" outlineLevel="0" collapsed="false">
      <c r="P384" s="148" t="n">
        <f aca="false">VALUE(IF($D384="vyb",$C384,0))+VALUE(IF($H384="vyb",$G384,0))</f>
        <v>0</v>
      </c>
      <c r="Q384" s="148" t="n">
        <f aca="false">VALUE(IF($D384="mtv",$C384,0))+VALUE(IF($H384="mtv",$G384,0))</f>
        <v>0</v>
      </c>
      <c r="R384" s="148" t="n">
        <f aca="false">VALUE(IF($D384="mat",$C384,0))+VALUE(IF($H384="mat",$G384,0))</f>
        <v>0</v>
      </c>
      <c r="S384" s="148" t="n">
        <f aca="false">VALUE(IF($D384="pot",$C384,0))+VALUE(IF($H384="pot",$G384,0))</f>
        <v>0</v>
      </c>
      <c r="T384" s="148" t="n">
        <f aca="false">VALUE(IF($D384="táb",$C384,0))+VALUE(IF($H384="táb",$G384,0))</f>
        <v>0</v>
      </c>
      <c r="U384" s="148" t="n">
        <f aca="false">VALUE(IF($D384="oma",$C384,0))+VALUE(IF($H384="oma",$G384,0))</f>
        <v>0</v>
      </c>
      <c r="V384" s="148" t="n">
        <f aca="false">VALUE(IF($D384="ces",$C384,0))+VALUE(IF($H384="ces",$G384,0))</f>
        <v>0</v>
      </c>
      <c r="W384" s="148" t="n">
        <f aca="false">VALUE(IF($D384="poš",$C384,0))+VALUE(IF($H384="poš",$G384,0))</f>
        <v>0</v>
      </c>
      <c r="X384" s="148" t="n">
        <f aca="false">VALUE(IF($D384="tel",$C384,0))+VALUE(IF($H384="tel",$G384,0))</f>
        <v>0</v>
      </c>
      <c r="Y384" s="148" t="n">
        <f aca="false">VALUE(IF($D384="dop",$C384,0))+VALUE(IF($H384="dop",$G384,0))</f>
        <v>0</v>
      </c>
      <c r="Z384" s="148" t="n">
        <f aca="false">VALUE(IF($D384="nák",$C384,0))+VALUE(IF($H384="nák",$G384,0))</f>
        <v>0</v>
      </c>
      <c r="AA384" s="148" t="n">
        <f aca="false">VALUE(IF($D384="náj",$C384,0))+VALUE(IF($H384="náj",$G384,0))</f>
        <v>0</v>
      </c>
      <c r="AB384" s="148" t="n">
        <f aca="false">VALUE(IF($D384="půj",$C384,0))+VALUE(IF($H384="půj",$G384,0))</f>
        <v>0</v>
      </c>
      <c r="AC384" s="148" t="n">
        <f aca="false">VALUE(IF($D384="vst",$C384,0))+VALUE(IF($H384="vst",$G384,0))</f>
        <v>0</v>
      </c>
      <c r="AD384" s="148" t="n">
        <f aca="false">VALUE(IF($D384="kop",$C384,0))+VALUE(IF($H384="kop",$G384,0))</f>
        <v>0</v>
      </c>
      <c r="AE384" s="148" t="n">
        <f aca="false">VALUE(IF($D384="osl",$C384,0))+VALUE(IF($H384="osl",$G384,0))</f>
        <v>0</v>
      </c>
      <c r="AF384" s="148" t="n">
        <f aca="false">VALUE(IF($D384="vra",$C384,0))+VALUE(IF($H384="vra",$G384,0))</f>
        <v>0</v>
      </c>
      <c r="AG384" s="148" t="n">
        <f aca="false">VALUE(IF($D384="zho",$C384,0))+VALUE(IF($H384="zho",$G384,0))</f>
        <v>0</v>
      </c>
      <c r="AH384" s="148" t="n">
        <f aca="false">VALUE(IF($D384="zbú",$C384,0))+VALUE(IF($H384="zbú",$G384,0))</f>
        <v>0</v>
      </c>
      <c r="AI384" s="148" t="n">
        <f aca="false">VALUE(IF($D384="pří",$C384,0))+VALUE(IF($H384="pří",$G384,0))</f>
        <v>0</v>
      </c>
      <c r="AJ384" s="148" t="n">
        <f aca="false">VALUE(IF($D384="dot",$C384,0))+VALUE(IF($H384="dot",$G384,0))</f>
        <v>0</v>
      </c>
      <c r="AK384" s="148" t="n">
        <f aca="false">VALUE(IF($D384="opř",$C384,0))+VALUE(IF($H384="opř",$G384,0))</f>
        <v>0</v>
      </c>
      <c r="AL384" s="148" t="n">
        <f aca="false">SUM(P384:AK384)</f>
        <v>0</v>
      </c>
    </row>
    <row r="385" customFormat="false" ht="12.75" hidden="false" customHeight="false" outlineLevel="0" collapsed="false">
      <c r="P385" s="148" t="n">
        <f aca="false">VALUE(IF($D385="vyb",$C385,0))+VALUE(IF($H385="vyb",$G385,0))</f>
        <v>0</v>
      </c>
      <c r="Q385" s="148" t="n">
        <f aca="false">VALUE(IF($D385="mtv",$C385,0))+VALUE(IF($H385="mtv",$G385,0))</f>
        <v>0</v>
      </c>
      <c r="R385" s="148" t="n">
        <f aca="false">VALUE(IF($D385="mat",$C385,0))+VALUE(IF($H385="mat",$G385,0))</f>
        <v>0</v>
      </c>
      <c r="S385" s="148" t="n">
        <f aca="false">VALUE(IF($D385="pot",$C385,0))+VALUE(IF($H385="pot",$G385,0))</f>
        <v>0</v>
      </c>
      <c r="T385" s="148" t="n">
        <f aca="false">VALUE(IF($D385="táb",$C385,0))+VALUE(IF($H385="táb",$G385,0))</f>
        <v>0</v>
      </c>
      <c r="U385" s="148" t="n">
        <f aca="false">VALUE(IF($D385="oma",$C385,0))+VALUE(IF($H385="oma",$G385,0))</f>
        <v>0</v>
      </c>
      <c r="V385" s="148" t="n">
        <f aca="false">VALUE(IF($D385="ces",$C385,0))+VALUE(IF($H385="ces",$G385,0))</f>
        <v>0</v>
      </c>
      <c r="W385" s="148" t="n">
        <f aca="false">VALUE(IF($D385="poš",$C385,0))+VALUE(IF($H385="poš",$G385,0))</f>
        <v>0</v>
      </c>
      <c r="X385" s="148" t="n">
        <f aca="false">VALUE(IF($D385="tel",$C385,0))+VALUE(IF($H385="tel",$G385,0))</f>
        <v>0</v>
      </c>
      <c r="Y385" s="148" t="n">
        <f aca="false">VALUE(IF($D385="dop",$C385,0))+VALUE(IF($H385="dop",$G385,0))</f>
        <v>0</v>
      </c>
      <c r="Z385" s="148" t="n">
        <f aca="false">VALUE(IF($D385="nák",$C385,0))+VALUE(IF($H385="nák",$G385,0))</f>
        <v>0</v>
      </c>
      <c r="AA385" s="148" t="n">
        <f aca="false">VALUE(IF($D385="náj",$C385,0))+VALUE(IF($H385="náj",$G385,0))</f>
        <v>0</v>
      </c>
      <c r="AB385" s="148" t="n">
        <f aca="false">VALUE(IF($D385="půj",$C385,0))+VALUE(IF($H385="půj",$G385,0))</f>
        <v>0</v>
      </c>
      <c r="AC385" s="148" t="n">
        <f aca="false">VALUE(IF($D385="vst",$C385,0))+VALUE(IF($H385="vst",$G385,0))</f>
        <v>0</v>
      </c>
      <c r="AD385" s="148" t="n">
        <f aca="false">VALUE(IF($D385="kop",$C385,0))+VALUE(IF($H385="kop",$G385,0))</f>
        <v>0</v>
      </c>
      <c r="AE385" s="148" t="n">
        <f aca="false">VALUE(IF($D385="osl",$C385,0))+VALUE(IF($H385="osl",$G385,0))</f>
        <v>0</v>
      </c>
      <c r="AF385" s="148" t="n">
        <f aca="false">VALUE(IF($D385="vra",$C385,0))+VALUE(IF($H385="vra",$G385,0))</f>
        <v>0</v>
      </c>
      <c r="AG385" s="148" t="n">
        <f aca="false">VALUE(IF($D385="zho",$C385,0))+VALUE(IF($H385="zho",$G385,0))</f>
        <v>0</v>
      </c>
      <c r="AH385" s="148" t="n">
        <f aca="false">VALUE(IF($D385="zbú",$C385,0))+VALUE(IF($H385="zbú",$G385,0))</f>
        <v>0</v>
      </c>
      <c r="AI385" s="148" t="n">
        <f aca="false">VALUE(IF($D385="pří",$C385,0))+VALUE(IF($H385="pří",$G385,0))</f>
        <v>0</v>
      </c>
      <c r="AJ385" s="148" t="n">
        <f aca="false">VALUE(IF($D385="dot",$C385,0))+VALUE(IF($H385="dot",$G385,0))</f>
        <v>0</v>
      </c>
      <c r="AK385" s="148" t="n">
        <f aca="false">VALUE(IF($D385="opř",$C385,0))+VALUE(IF($H385="opř",$G385,0))</f>
        <v>0</v>
      </c>
      <c r="AL385" s="148" t="n">
        <f aca="false">SUM(P385:AK385)</f>
        <v>0</v>
      </c>
    </row>
    <row r="386" customFormat="false" ht="12.75" hidden="false" customHeight="false" outlineLevel="0" collapsed="false">
      <c r="P386" s="148" t="n">
        <f aca="false">VALUE(IF($D386="vyb",$C386,0))+VALUE(IF($H386="vyb",$G386,0))</f>
        <v>0</v>
      </c>
      <c r="Q386" s="148" t="n">
        <f aca="false">VALUE(IF($D386="mtv",$C386,0))+VALUE(IF($H386="mtv",$G386,0))</f>
        <v>0</v>
      </c>
      <c r="R386" s="148" t="n">
        <f aca="false">VALUE(IF($D386="mat",$C386,0))+VALUE(IF($H386="mat",$G386,0))</f>
        <v>0</v>
      </c>
      <c r="S386" s="148" t="n">
        <f aca="false">VALUE(IF($D386="pot",$C386,0))+VALUE(IF($H386="pot",$G386,0))</f>
        <v>0</v>
      </c>
      <c r="T386" s="148" t="n">
        <f aca="false">VALUE(IF($D386="táb",$C386,0))+VALUE(IF($H386="táb",$G386,0))</f>
        <v>0</v>
      </c>
      <c r="U386" s="148" t="n">
        <f aca="false">VALUE(IF($D386="oma",$C386,0))+VALUE(IF($H386="oma",$G386,0))</f>
        <v>0</v>
      </c>
      <c r="V386" s="148" t="n">
        <f aca="false">VALUE(IF($D386="ces",$C386,0))+VALUE(IF($H386="ces",$G386,0))</f>
        <v>0</v>
      </c>
      <c r="W386" s="148" t="n">
        <f aca="false">VALUE(IF($D386="poš",$C386,0))+VALUE(IF($H386="poš",$G386,0))</f>
        <v>0</v>
      </c>
      <c r="X386" s="148" t="n">
        <f aca="false">VALUE(IF($D386="tel",$C386,0))+VALUE(IF($H386="tel",$G386,0))</f>
        <v>0</v>
      </c>
      <c r="Y386" s="148" t="n">
        <f aca="false">VALUE(IF($D386="dop",$C386,0))+VALUE(IF($H386="dop",$G386,0))</f>
        <v>0</v>
      </c>
      <c r="Z386" s="148" t="n">
        <f aca="false">VALUE(IF($D386="nák",$C386,0))+VALUE(IF($H386="nák",$G386,0))</f>
        <v>0</v>
      </c>
      <c r="AA386" s="148" t="n">
        <f aca="false">VALUE(IF($D386="náj",$C386,0))+VALUE(IF($H386="náj",$G386,0))</f>
        <v>0</v>
      </c>
      <c r="AB386" s="148" t="n">
        <f aca="false">VALUE(IF($D386="půj",$C386,0))+VALUE(IF($H386="půj",$G386,0))</f>
        <v>0</v>
      </c>
      <c r="AC386" s="148" t="n">
        <f aca="false">VALUE(IF($D386="vst",$C386,0))+VALUE(IF($H386="vst",$G386,0))</f>
        <v>0</v>
      </c>
      <c r="AD386" s="148" t="n">
        <f aca="false">VALUE(IF($D386="kop",$C386,0))+VALUE(IF($H386="kop",$G386,0))</f>
        <v>0</v>
      </c>
      <c r="AE386" s="148" t="n">
        <f aca="false">VALUE(IF($D386="osl",$C386,0))+VALUE(IF($H386="osl",$G386,0))</f>
        <v>0</v>
      </c>
      <c r="AF386" s="148" t="n">
        <f aca="false">VALUE(IF($D386="vra",$C386,0))+VALUE(IF($H386="vra",$G386,0))</f>
        <v>0</v>
      </c>
      <c r="AG386" s="148" t="n">
        <f aca="false">VALUE(IF($D386="zho",$C386,0))+VALUE(IF($H386="zho",$G386,0))</f>
        <v>0</v>
      </c>
      <c r="AH386" s="148" t="n">
        <f aca="false">VALUE(IF($D386="zbú",$C386,0))+VALUE(IF($H386="zbú",$G386,0))</f>
        <v>0</v>
      </c>
      <c r="AI386" s="148" t="n">
        <f aca="false">VALUE(IF($D386="pří",$C386,0))+VALUE(IF($H386="pří",$G386,0))</f>
        <v>0</v>
      </c>
      <c r="AJ386" s="148" t="n">
        <f aca="false">VALUE(IF($D386="dot",$C386,0))+VALUE(IF($H386="dot",$G386,0))</f>
        <v>0</v>
      </c>
      <c r="AK386" s="148" t="n">
        <f aca="false">VALUE(IF($D386="opř",$C386,0))+VALUE(IF($H386="opř",$G386,0))</f>
        <v>0</v>
      </c>
      <c r="AL386" s="148" t="n">
        <f aca="false">SUM(P386:AK386)</f>
        <v>0</v>
      </c>
    </row>
    <row r="387" customFormat="false" ht="12.75" hidden="false" customHeight="false" outlineLevel="0" collapsed="false">
      <c r="P387" s="148" t="n">
        <f aca="false">VALUE(IF($D387="vyb",$C387,0))+VALUE(IF($H387="vyb",$G387,0))</f>
        <v>0</v>
      </c>
      <c r="Q387" s="148" t="n">
        <f aca="false">VALUE(IF($D387="mtv",$C387,0))+VALUE(IF($H387="mtv",$G387,0))</f>
        <v>0</v>
      </c>
      <c r="R387" s="148" t="n">
        <f aca="false">VALUE(IF($D387="mat",$C387,0))+VALUE(IF($H387="mat",$G387,0))</f>
        <v>0</v>
      </c>
      <c r="S387" s="148" t="n">
        <f aca="false">VALUE(IF($D387="pot",$C387,0))+VALUE(IF($H387="pot",$G387,0))</f>
        <v>0</v>
      </c>
      <c r="T387" s="148" t="n">
        <f aca="false">VALUE(IF($D387="táb",$C387,0))+VALUE(IF($H387="táb",$G387,0))</f>
        <v>0</v>
      </c>
      <c r="U387" s="148" t="n">
        <f aca="false">VALUE(IF($D387="oma",$C387,0))+VALUE(IF($H387="oma",$G387,0))</f>
        <v>0</v>
      </c>
      <c r="V387" s="148" t="n">
        <f aca="false">VALUE(IF($D387="ces",$C387,0))+VALUE(IF($H387="ces",$G387,0))</f>
        <v>0</v>
      </c>
      <c r="W387" s="148" t="n">
        <f aca="false">VALUE(IF($D387="poš",$C387,0))+VALUE(IF($H387="poš",$G387,0))</f>
        <v>0</v>
      </c>
      <c r="X387" s="148" t="n">
        <f aca="false">VALUE(IF($D387="tel",$C387,0))+VALUE(IF($H387="tel",$G387,0))</f>
        <v>0</v>
      </c>
      <c r="Y387" s="148" t="n">
        <f aca="false">VALUE(IF($D387="dop",$C387,0))+VALUE(IF($H387="dop",$G387,0))</f>
        <v>0</v>
      </c>
      <c r="Z387" s="148" t="n">
        <f aca="false">VALUE(IF($D387="nák",$C387,0))+VALUE(IF($H387="nák",$G387,0))</f>
        <v>0</v>
      </c>
      <c r="AA387" s="148" t="n">
        <f aca="false">VALUE(IF($D387="náj",$C387,0))+VALUE(IF($H387="náj",$G387,0))</f>
        <v>0</v>
      </c>
      <c r="AB387" s="148" t="n">
        <f aca="false">VALUE(IF($D387="půj",$C387,0))+VALUE(IF($H387="půj",$G387,0))</f>
        <v>0</v>
      </c>
      <c r="AC387" s="148" t="n">
        <f aca="false">VALUE(IF($D387="vst",$C387,0))+VALUE(IF($H387="vst",$G387,0))</f>
        <v>0</v>
      </c>
      <c r="AD387" s="148" t="n">
        <f aca="false">VALUE(IF($D387="kop",$C387,0))+VALUE(IF($H387="kop",$G387,0))</f>
        <v>0</v>
      </c>
      <c r="AE387" s="148" t="n">
        <f aca="false">VALUE(IF($D387="osl",$C387,0))+VALUE(IF($H387="osl",$G387,0))</f>
        <v>0</v>
      </c>
      <c r="AF387" s="148" t="n">
        <f aca="false">VALUE(IF($D387="vra",$C387,0))+VALUE(IF($H387="vra",$G387,0))</f>
        <v>0</v>
      </c>
      <c r="AG387" s="148" t="n">
        <f aca="false">VALUE(IF($D387="zho",$C387,0))+VALUE(IF($H387="zho",$G387,0))</f>
        <v>0</v>
      </c>
      <c r="AH387" s="148" t="n">
        <f aca="false">VALUE(IF($D387="zbú",$C387,0))+VALUE(IF($H387="zbú",$G387,0))</f>
        <v>0</v>
      </c>
      <c r="AI387" s="148" t="n">
        <f aca="false">VALUE(IF($D387="pří",$C387,0))+VALUE(IF($H387="pří",$G387,0))</f>
        <v>0</v>
      </c>
      <c r="AJ387" s="148" t="n">
        <f aca="false">VALUE(IF($D387="dot",$C387,0))+VALUE(IF($H387="dot",$G387,0))</f>
        <v>0</v>
      </c>
      <c r="AK387" s="148" t="n">
        <f aca="false">VALUE(IF($D387="opř",$C387,0))+VALUE(IF($H387="opř",$G387,0))</f>
        <v>0</v>
      </c>
      <c r="AL387" s="148" t="n">
        <f aca="false">SUM(P387:AK387)</f>
        <v>0</v>
      </c>
    </row>
    <row r="388" customFormat="false" ht="12.75" hidden="false" customHeight="false" outlineLevel="0" collapsed="false">
      <c r="P388" s="148" t="n">
        <f aca="false">VALUE(IF($D388="vyb",$C388,0))+VALUE(IF($H388="vyb",$G388,0))</f>
        <v>0</v>
      </c>
      <c r="Q388" s="148" t="n">
        <f aca="false">VALUE(IF($D388="mtv",$C388,0))+VALUE(IF($H388="mtv",$G388,0))</f>
        <v>0</v>
      </c>
      <c r="R388" s="148" t="n">
        <f aca="false">VALUE(IF($D388="mat",$C388,0))+VALUE(IF($H388="mat",$G388,0))</f>
        <v>0</v>
      </c>
      <c r="S388" s="148" t="n">
        <f aca="false">VALUE(IF($D388="pot",$C388,0))+VALUE(IF($H388="pot",$G388,0))</f>
        <v>0</v>
      </c>
      <c r="T388" s="148" t="n">
        <f aca="false">VALUE(IF($D388="táb",$C388,0))+VALUE(IF($H388="táb",$G388,0))</f>
        <v>0</v>
      </c>
      <c r="U388" s="148" t="n">
        <f aca="false">VALUE(IF($D388="oma",$C388,0))+VALUE(IF($H388="oma",$G388,0))</f>
        <v>0</v>
      </c>
      <c r="V388" s="148" t="n">
        <f aca="false">VALUE(IF($D388="ces",$C388,0))+VALUE(IF($H388="ces",$G388,0))</f>
        <v>0</v>
      </c>
      <c r="W388" s="148" t="n">
        <f aca="false">VALUE(IF($D388="poš",$C388,0))+VALUE(IF($H388="poš",$G388,0))</f>
        <v>0</v>
      </c>
      <c r="X388" s="148" t="n">
        <f aca="false">VALUE(IF($D388="tel",$C388,0))+VALUE(IF($H388="tel",$G388,0))</f>
        <v>0</v>
      </c>
      <c r="Y388" s="148" t="n">
        <f aca="false">VALUE(IF($D388="dop",$C388,0))+VALUE(IF($H388="dop",$G388,0))</f>
        <v>0</v>
      </c>
      <c r="Z388" s="148" t="n">
        <f aca="false">VALUE(IF($D388="nák",$C388,0))+VALUE(IF($H388="nák",$G388,0))</f>
        <v>0</v>
      </c>
      <c r="AA388" s="148" t="n">
        <f aca="false">VALUE(IF($D388="náj",$C388,0))+VALUE(IF($H388="náj",$G388,0))</f>
        <v>0</v>
      </c>
      <c r="AB388" s="148" t="n">
        <f aca="false">VALUE(IF($D388="půj",$C388,0))+VALUE(IF($H388="půj",$G388,0))</f>
        <v>0</v>
      </c>
      <c r="AC388" s="148" t="n">
        <f aca="false">VALUE(IF($D388="vst",$C388,0))+VALUE(IF($H388="vst",$G388,0))</f>
        <v>0</v>
      </c>
      <c r="AD388" s="148" t="n">
        <f aca="false">VALUE(IF($D388="kop",$C388,0))+VALUE(IF($H388="kop",$G388,0))</f>
        <v>0</v>
      </c>
      <c r="AE388" s="148" t="n">
        <f aca="false">VALUE(IF($D388="osl",$C388,0))+VALUE(IF($H388="osl",$G388,0))</f>
        <v>0</v>
      </c>
      <c r="AF388" s="148" t="n">
        <f aca="false">VALUE(IF($D388="vra",$C388,0))+VALUE(IF($H388="vra",$G388,0))</f>
        <v>0</v>
      </c>
      <c r="AG388" s="148" t="n">
        <f aca="false">VALUE(IF($D388="zho",$C388,0))+VALUE(IF($H388="zho",$G388,0))</f>
        <v>0</v>
      </c>
      <c r="AH388" s="148" t="n">
        <f aca="false">VALUE(IF($D388="zbú",$C388,0))+VALUE(IF($H388="zbú",$G388,0))</f>
        <v>0</v>
      </c>
      <c r="AI388" s="148" t="n">
        <f aca="false">VALUE(IF($D388="pří",$C388,0))+VALUE(IF($H388="pří",$G388,0))</f>
        <v>0</v>
      </c>
      <c r="AJ388" s="148" t="n">
        <f aca="false">VALUE(IF($D388="dot",$C388,0))+VALUE(IF($H388="dot",$G388,0))</f>
        <v>0</v>
      </c>
      <c r="AK388" s="148" t="n">
        <f aca="false">VALUE(IF($D388="opř",$C388,0))+VALUE(IF($H388="opř",$G388,0))</f>
        <v>0</v>
      </c>
      <c r="AL388" s="148" t="n">
        <f aca="false">SUM(P388:AK388)</f>
        <v>0</v>
      </c>
    </row>
    <row r="389" customFormat="false" ht="12.75" hidden="false" customHeight="false" outlineLevel="0" collapsed="false">
      <c r="P389" s="148" t="n">
        <f aca="false">VALUE(IF($D389="vyb",$C389,0))+VALUE(IF($H389="vyb",$G389,0))</f>
        <v>0</v>
      </c>
      <c r="Q389" s="148" t="n">
        <f aca="false">VALUE(IF($D389="mtv",$C389,0))+VALUE(IF($H389="mtv",$G389,0))</f>
        <v>0</v>
      </c>
      <c r="R389" s="148" t="n">
        <f aca="false">VALUE(IF($D389="mat",$C389,0))+VALUE(IF($H389="mat",$G389,0))</f>
        <v>0</v>
      </c>
      <c r="S389" s="148" t="n">
        <f aca="false">VALUE(IF($D389="pot",$C389,0))+VALUE(IF($H389="pot",$G389,0))</f>
        <v>0</v>
      </c>
      <c r="T389" s="148" t="n">
        <f aca="false">VALUE(IF($D389="táb",$C389,0))+VALUE(IF($H389="táb",$G389,0))</f>
        <v>0</v>
      </c>
      <c r="U389" s="148" t="n">
        <f aca="false">VALUE(IF($D389="oma",$C389,0))+VALUE(IF($H389="oma",$G389,0))</f>
        <v>0</v>
      </c>
      <c r="V389" s="148" t="n">
        <f aca="false">VALUE(IF($D389="ces",$C389,0))+VALUE(IF($H389="ces",$G389,0))</f>
        <v>0</v>
      </c>
      <c r="W389" s="148" t="n">
        <f aca="false">VALUE(IF($D389="poš",$C389,0))+VALUE(IF($H389="poš",$G389,0))</f>
        <v>0</v>
      </c>
      <c r="X389" s="148" t="n">
        <f aca="false">VALUE(IF($D389="tel",$C389,0))+VALUE(IF($H389="tel",$G389,0))</f>
        <v>0</v>
      </c>
      <c r="Y389" s="148" t="n">
        <f aca="false">VALUE(IF($D389="dop",$C389,0))+VALUE(IF($H389="dop",$G389,0))</f>
        <v>0</v>
      </c>
      <c r="Z389" s="148" t="n">
        <f aca="false">VALUE(IF($D389="nák",$C389,0))+VALUE(IF($H389="nák",$G389,0))</f>
        <v>0</v>
      </c>
      <c r="AA389" s="148" t="n">
        <f aca="false">VALUE(IF($D389="náj",$C389,0))+VALUE(IF($H389="náj",$G389,0))</f>
        <v>0</v>
      </c>
      <c r="AB389" s="148" t="n">
        <f aca="false">VALUE(IF($D389="půj",$C389,0))+VALUE(IF($H389="půj",$G389,0))</f>
        <v>0</v>
      </c>
      <c r="AC389" s="148" t="n">
        <f aca="false">VALUE(IF($D389="vst",$C389,0))+VALUE(IF($H389="vst",$G389,0))</f>
        <v>0</v>
      </c>
      <c r="AD389" s="148" t="n">
        <f aca="false">VALUE(IF($D389="kop",$C389,0))+VALUE(IF($H389="kop",$G389,0))</f>
        <v>0</v>
      </c>
      <c r="AE389" s="148" t="n">
        <f aca="false">VALUE(IF($D389="osl",$C389,0))+VALUE(IF($H389="osl",$G389,0))</f>
        <v>0</v>
      </c>
      <c r="AF389" s="148" t="n">
        <f aca="false">VALUE(IF($D389="vra",$C389,0))+VALUE(IF($H389="vra",$G389,0))</f>
        <v>0</v>
      </c>
      <c r="AG389" s="148" t="n">
        <f aca="false">VALUE(IF($D389="zho",$C389,0))+VALUE(IF($H389="zho",$G389,0))</f>
        <v>0</v>
      </c>
      <c r="AH389" s="148" t="n">
        <f aca="false">VALUE(IF($D389="zbú",$C389,0))+VALUE(IF($H389="zbú",$G389,0))</f>
        <v>0</v>
      </c>
      <c r="AI389" s="148" t="n">
        <f aca="false">VALUE(IF($D389="pří",$C389,0))+VALUE(IF($H389="pří",$G389,0))</f>
        <v>0</v>
      </c>
      <c r="AJ389" s="148" t="n">
        <f aca="false">VALUE(IF($D389="dot",$C389,0))+VALUE(IF($H389="dot",$G389,0))</f>
        <v>0</v>
      </c>
      <c r="AK389" s="148" t="n">
        <f aca="false">VALUE(IF($D389="opř",$C389,0))+VALUE(IF($H389="opř",$G389,0))</f>
        <v>0</v>
      </c>
      <c r="AL389" s="148" t="n">
        <f aca="false">SUM(P389:AK389)</f>
        <v>0</v>
      </c>
    </row>
    <row r="390" customFormat="false" ht="12.75" hidden="false" customHeight="false" outlineLevel="0" collapsed="false">
      <c r="P390" s="148" t="n">
        <f aca="false">VALUE(IF($D390="vyb",$C390,0))+VALUE(IF($H390="vyb",$G390,0))</f>
        <v>0</v>
      </c>
      <c r="Q390" s="148" t="n">
        <f aca="false">VALUE(IF($D390="mtv",$C390,0))+VALUE(IF($H390="mtv",$G390,0))</f>
        <v>0</v>
      </c>
      <c r="R390" s="148" t="n">
        <f aca="false">VALUE(IF($D390="mat",$C390,0))+VALUE(IF($H390="mat",$G390,0))</f>
        <v>0</v>
      </c>
      <c r="S390" s="148" t="n">
        <f aca="false">VALUE(IF($D390="pot",$C390,0))+VALUE(IF($H390="pot",$G390,0))</f>
        <v>0</v>
      </c>
      <c r="T390" s="148" t="n">
        <f aca="false">VALUE(IF($D390="táb",$C390,0))+VALUE(IF($H390="táb",$G390,0))</f>
        <v>0</v>
      </c>
      <c r="U390" s="148" t="n">
        <f aca="false">VALUE(IF($D390="oma",$C390,0))+VALUE(IF($H390="oma",$G390,0))</f>
        <v>0</v>
      </c>
      <c r="V390" s="148" t="n">
        <f aca="false">VALUE(IF($D390="ces",$C390,0))+VALUE(IF($H390="ces",$G390,0))</f>
        <v>0</v>
      </c>
      <c r="W390" s="148" t="n">
        <f aca="false">VALUE(IF($D390="poš",$C390,0))+VALUE(IF($H390="poš",$G390,0))</f>
        <v>0</v>
      </c>
      <c r="X390" s="148" t="n">
        <f aca="false">VALUE(IF($D390="tel",$C390,0))+VALUE(IF($H390="tel",$G390,0))</f>
        <v>0</v>
      </c>
      <c r="Y390" s="148" t="n">
        <f aca="false">VALUE(IF($D390="dop",$C390,0))+VALUE(IF($H390="dop",$G390,0))</f>
        <v>0</v>
      </c>
      <c r="Z390" s="148" t="n">
        <f aca="false">VALUE(IF($D390="nák",$C390,0))+VALUE(IF($H390="nák",$G390,0))</f>
        <v>0</v>
      </c>
      <c r="AA390" s="148" t="n">
        <f aca="false">VALUE(IF($D390="náj",$C390,0))+VALUE(IF($H390="náj",$G390,0))</f>
        <v>0</v>
      </c>
      <c r="AB390" s="148" t="n">
        <f aca="false">VALUE(IF($D390="půj",$C390,0))+VALUE(IF($H390="půj",$G390,0))</f>
        <v>0</v>
      </c>
      <c r="AC390" s="148" t="n">
        <f aca="false">VALUE(IF($D390="vst",$C390,0))+VALUE(IF($H390="vst",$G390,0))</f>
        <v>0</v>
      </c>
      <c r="AD390" s="148" t="n">
        <f aca="false">VALUE(IF($D390="kop",$C390,0))+VALUE(IF($H390="kop",$G390,0))</f>
        <v>0</v>
      </c>
      <c r="AE390" s="148" t="n">
        <f aca="false">VALUE(IF($D390="osl",$C390,0))+VALUE(IF($H390="osl",$G390,0))</f>
        <v>0</v>
      </c>
      <c r="AF390" s="148" t="n">
        <f aca="false">VALUE(IF($D390="vra",$C390,0))+VALUE(IF($H390="vra",$G390,0))</f>
        <v>0</v>
      </c>
      <c r="AG390" s="148" t="n">
        <f aca="false">VALUE(IF($D390="zho",$C390,0))+VALUE(IF($H390="zho",$G390,0))</f>
        <v>0</v>
      </c>
      <c r="AH390" s="148" t="n">
        <f aca="false">VALUE(IF($D390="zbú",$C390,0))+VALUE(IF($H390="zbú",$G390,0))</f>
        <v>0</v>
      </c>
      <c r="AI390" s="148" t="n">
        <f aca="false">VALUE(IF($D390="pří",$C390,0))+VALUE(IF($H390="pří",$G390,0))</f>
        <v>0</v>
      </c>
      <c r="AJ390" s="148" t="n">
        <f aca="false">VALUE(IF($D390="dot",$C390,0))+VALUE(IF($H390="dot",$G390,0))</f>
        <v>0</v>
      </c>
      <c r="AK390" s="148" t="n">
        <f aca="false">VALUE(IF($D390="opř",$C390,0))+VALUE(IF($H390="opř",$G390,0))</f>
        <v>0</v>
      </c>
      <c r="AL390" s="148" t="n">
        <f aca="false">SUM(P390:AK390)</f>
        <v>0</v>
      </c>
    </row>
    <row r="391" customFormat="false" ht="12.75" hidden="false" customHeight="false" outlineLevel="0" collapsed="false">
      <c r="P391" s="148" t="n">
        <f aca="false">VALUE(IF($D391="vyb",$C391,0))+VALUE(IF($H391="vyb",$G391,0))</f>
        <v>0</v>
      </c>
      <c r="Q391" s="148" t="n">
        <f aca="false">VALUE(IF($D391="mtv",$C391,0))+VALUE(IF($H391="mtv",$G391,0))</f>
        <v>0</v>
      </c>
      <c r="R391" s="148" t="n">
        <f aca="false">VALUE(IF($D391="mat",$C391,0))+VALUE(IF($H391="mat",$G391,0))</f>
        <v>0</v>
      </c>
      <c r="S391" s="148" t="n">
        <f aca="false">VALUE(IF($D391="pot",$C391,0))+VALUE(IF($H391="pot",$G391,0))</f>
        <v>0</v>
      </c>
      <c r="T391" s="148" t="n">
        <f aca="false">VALUE(IF($D391="táb",$C391,0))+VALUE(IF($H391="táb",$G391,0))</f>
        <v>0</v>
      </c>
      <c r="U391" s="148" t="n">
        <f aca="false">VALUE(IF($D391="oma",$C391,0))+VALUE(IF($H391="oma",$G391,0))</f>
        <v>0</v>
      </c>
      <c r="V391" s="148" t="n">
        <f aca="false">VALUE(IF($D391="ces",$C391,0))+VALUE(IF($H391="ces",$G391,0))</f>
        <v>0</v>
      </c>
      <c r="W391" s="148" t="n">
        <f aca="false">VALUE(IF($D391="poš",$C391,0))+VALUE(IF($H391="poš",$G391,0))</f>
        <v>0</v>
      </c>
      <c r="X391" s="148" t="n">
        <f aca="false">VALUE(IF($D391="tel",$C391,0))+VALUE(IF($H391="tel",$G391,0))</f>
        <v>0</v>
      </c>
      <c r="Y391" s="148" t="n">
        <f aca="false">VALUE(IF($D391="dop",$C391,0))+VALUE(IF($H391="dop",$G391,0))</f>
        <v>0</v>
      </c>
      <c r="Z391" s="148" t="n">
        <f aca="false">VALUE(IF($D391="nák",$C391,0))+VALUE(IF($H391="nák",$G391,0))</f>
        <v>0</v>
      </c>
      <c r="AA391" s="148" t="n">
        <f aca="false">VALUE(IF($D391="náj",$C391,0))+VALUE(IF($H391="náj",$G391,0))</f>
        <v>0</v>
      </c>
      <c r="AB391" s="148" t="n">
        <f aca="false">VALUE(IF($D391="půj",$C391,0))+VALUE(IF($H391="půj",$G391,0))</f>
        <v>0</v>
      </c>
      <c r="AC391" s="148" t="n">
        <f aca="false">VALUE(IF($D391="vst",$C391,0))+VALUE(IF($H391="vst",$G391,0))</f>
        <v>0</v>
      </c>
      <c r="AD391" s="148" t="n">
        <f aca="false">VALUE(IF($D391="kop",$C391,0))+VALUE(IF($H391="kop",$G391,0))</f>
        <v>0</v>
      </c>
      <c r="AE391" s="148" t="n">
        <f aca="false">VALUE(IF($D391="osl",$C391,0))+VALUE(IF($H391="osl",$G391,0))</f>
        <v>0</v>
      </c>
      <c r="AF391" s="148" t="n">
        <f aca="false">VALUE(IF($D391="vra",$C391,0))+VALUE(IF($H391="vra",$G391,0))</f>
        <v>0</v>
      </c>
      <c r="AG391" s="148" t="n">
        <f aca="false">VALUE(IF($D391="zho",$C391,0))+VALUE(IF($H391="zho",$G391,0))</f>
        <v>0</v>
      </c>
      <c r="AH391" s="148" t="n">
        <f aca="false">VALUE(IF($D391="zbú",$C391,0))+VALUE(IF($H391="zbú",$G391,0))</f>
        <v>0</v>
      </c>
      <c r="AI391" s="148" t="n">
        <f aca="false">VALUE(IF($D391="pří",$C391,0))+VALUE(IF($H391="pří",$G391,0))</f>
        <v>0</v>
      </c>
      <c r="AJ391" s="148" t="n">
        <f aca="false">VALUE(IF($D391="dot",$C391,0))+VALUE(IF($H391="dot",$G391,0))</f>
        <v>0</v>
      </c>
      <c r="AK391" s="148" t="n">
        <f aca="false">VALUE(IF($D391="opř",$C391,0))+VALUE(IF($H391="opř",$G391,0))</f>
        <v>0</v>
      </c>
      <c r="AL391" s="148" t="n">
        <f aca="false">SUM(P391:AK391)</f>
        <v>0</v>
      </c>
    </row>
    <row r="392" customFormat="false" ht="12.75" hidden="false" customHeight="false" outlineLevel="0" collapsed="false">
      <c r="P392" s="148" t="n">
        <f aca="false">VALUE(IF($D392="vyb",$C392,0))+VALUE(IF($H392="vyb",$G392,0))</f>
        <v>0</v>
      </c>
      <c r="Q392" s="148" t="n">
        <f aca="false">VALUE(IF($D392="mtv",$C392,0))+VALUE(IF($H392="mtv",$G392,0))</f>
        <v>0</v>
      </c>
      <c r="R392" s="148" t="n">
        <f aca="false">VALUE(IF($D392="mat",$C392,0))+VALUE(IF($H392="mat",$G392,0))</f>
        <v>0</v>
      </c>
      <c r="S392" s="148" t="n">
        <f aca="false">VALUE(IF($D392="pot",$C392,0))+VALUE(IF($H392="pot",$G392,0))</f>
        <v>0</v>
      </c>
      <c r="T392" s="148" t="n">
        <f aca="false">VALUE(IF($D392="táb",$C392,0))+VALUE(IF($H392="táb",$G392,0))</f>
        <v>0</v>
      </c>
      <c r="U392" s="148" t="n">
        <f aca="false">VALUE(IF($D392="oma",$C392,0))+VALUE(IF($H392="oma",$G392,0))</f>
        <v>0</v>
      </c>
      <c r="V392" s="148" t="n">
        <f aca="false">VALUE(IF($D392="ces",$C392,0))+VALUE(IF($H392="ces",$G392,0))</f>
        <v>0</v>
      </c>
      <c r="W392" s="148" t="n">
        <f aca="false">VALUE(IF($D392="poš",$C392,0))+VALUE(IF($H392="poš",$G392,0))</f>
        <v>0</v>
      </c>
      <c r="X392" s="148" t="n">
        <f aca="false">VALUE(IF($D392="tel",$C392,0))+VALUE(IF($H392="tel",$G392,0))</f>
        <v>0</v>
      </c>
      <c r="Y392" s="148" t="n">
        <f aca="false">VALUE(IF($D392="dop",$C392,0))+VALUE(IF($H392="dop",$G392,0))</f>
        <v>0</v>
      </c>
      <c r="Z392" s="148" t="n">
        <f aca="false">VALUE(IF($D392="nák",$C392,0))+VALUE(IF($H392="nák",$G392,0))</f>
        <v>0</v>
      </c>
      <c r="AA392" s="148" t="n">
        <f aca="false">VALUE(IF($D392="náj",$C392,0))+VALUE(IF($H392="náj",$G392,0))</f>
        <v>0</v>
      </c>
      <c r="AB392" s="148" t="n">
        <f aca="false">VALUE(IF($D392="půj",$C392,0))+VALUE(IF($H392="půj",$G392,0))</f>
        <v>0</v>
      </c>
      <c r="AC392" s="148" t="n">
        <f aca="false">VALUE(IF($D392="vst",$C392,0))+VALUE(IF($H392="vst",$G392,0))</f>
        <v>0</v>
      </c>
      <c r="AD392" s="148" t="n">
        <f aca="false">VALUE(IF($D392="kop",$C392,0))+VALUE(IF($H392="kop",$G392,0))</f>
        <v>0</v>
      </c>
      <c r="AE392" s="148" t="n">
        <f aca="false">VALUE(IF($D392="osl",$C392,0))+VALUE(IF($H392="osl",$G392,0))</f>
        <v>0</v>
      </c>
      <c r="AF392" s="148" t="n">
        <f aca="false">VALUE(IF($D392="vra",$C392,0))+VALUE(IF($H392="vra",$G392,0))</f>
        <v>0</v>
      </c>
      <c r="AG392" s="148" t="n">
        <f aca="false">VALUE(IF($D392="zho",$C392,0))+VALUE(IF($H392="zho",$G392,0))</f>
        <v>0</v>
      </c>
      <c r="AH392" s="148" t="n">
        <f aca="false">VALUE(IF($D392="zbú",$C392,0))+VALUE(IF($H392="zbú",$G392,0))</f>
        <v>0</v>
      </c>
      <c r="AI392" s="148" t="n">
        <f aca="false">VALUE(IF($D392="pří",$C392,0))+VALUE(IF($H392="pří",$G392,0))</f>
        <v>0</v>
      </c>
      <c r="AJ392" s="148" t="n">
        <f aca="false">VALUE(IF($D392="dot",$C392,0))+VALUE(IF($H392="dot",$G392,0))</f>
        <v>0</v>
      </c>
      <c r="AK392" s="148" t="n">
        <f aca="false">VALUE(IF($D392="opř",$C392,0))+VALUE(IF($H392="opř",$G392,0))</f>
        <v>0</v>
      </c>
      <c r="AL392" s="148" t="n">
        <f aca="false">SUM(P392:AK392)</f>
        <v>0</v>
      </c>
    </row>
    <row r="393" customFormat="false" ht="12.75" hidden="false" customHeight="false" outlineLevel="0" collapsed="false">
      <c r="P393" s="148" t="n">
        <f aca="false">VALUE(IF($D393="vyb",$C393,0))+VALUE(IF($H393="vyb",$G393,0))</f>
        <v>0</v>
      </c>
      <c r="Q393" s="148" t="n">
        <f aca="false">VALUE(IF($D393="mtv",$C393,0))+VALUE(IF($H393="mtv",$G393,0))</f>
        <v>0</v>
      </c>
      <c r="R393" s="148" t="n">
        <f aca="false">VALUE(IF($D393="mat",$C393,0))+VALUE(IF($H393="mat",$G393,0))</f>
        <v>0</v>
      </c>
      <c r="S393" s="148" t="n">
        <f aca="false">VALUE(IF($D393="pot",$C393,0))+VALUE(IF($H393="pot",$G393,0))</f>
        <v>0</v>
      </c>
      <c r="T393" s="148" t="n">
        <f aca="false">VALUE(IF($D393="táb",$C393,0))+VALUE(IF($H393="táb",$G393,0))</f>
        <v>0</v>
      </c>
      <c r="U393" s="148" t="n">
        <f aca="false">VALUE(IF($D393="oma",$C393,0))+VALUE(IF($H393="oma",$G393,0))</f>
        <v>0</v>
      </c>
      <c r="V393" s="148" t="n">
        <f aca="false">VALUE(IF($D393="ces",$C393,0))+VALUE(IF($H393="ces",$G393,0))</f>
        <v>0</v>
      </c>
      <c r="W393" s="148" t="n">
        <f aca="false">VALUE(IF($D393="poš",$C393,0))+VALUE(IF($H393="poš",$G393,0))</f>
        <v>0</v>
      </c>
      <c r="X393" s="148" t="n">
        <f aca="false">VALUE(IF($D393="tel",$C393,0))+VALUE(IF($H393="tel",$G393,0))</f>
        <v>0</v>
      </c>
      <c r="Y393" s="148" t="n">
        <f aca="false">VALUE(IF($D393="dop",$C393,0))+VALUE(IF($H393="dop",$G393,0))</f>
        <v>0</v>
      </c>
      <c r="Z393" s="148" t="n">
        <f aca="false">VALUE(IF($D393="nák",$C393,0))+VALUE(IF($H393="nák",$G393,0))</f>
        <v>0</v>
      </c>
      <c r="AA393" s="148" t="n">
        <f aca="false">VALUE(IF($D393="náj",$C393,0))+VALUE(IF($H393="náj",$G393,0))</f>
        <v>0</v>
      </c>
      <c r="AB393" s="148" t="n">
        <f aca="false">VALUE(IF($D393="půj",$C393,0))+VALUE(IF($H393="půj",$G393,0))</f>
        <v>0</v>
      </c>
      <c r="AC393" s="148" t="n">
        <f aca="false">VALUE(IF($D393="vst",$C393,0))+VALUE(IF($H393="vst",$G393,0))</f>
        <v>0</v>
      </c>
      <c r="AD393" s="148" t="n">
        <f aca="false">VALUE(IF($D393="kop",$C393,0))+VALUE(IF($H393="kop",$G393,0))</f>
        <v>0</v>
      </c>
      <c r="AE393" s="148" t="n">
        <f aca="false">VALUE(IF($D393="osl",$C393,0))+VALUE(IF($H393="osl",$G393,0))</f>
        <v>0</v>
      </c>
      <c r="AF393" s="148" t="n">
        <f aca="false">VALUE(IF($D393="vra",$C393,0))+VALUE(IF($H393="vra",$G393,0))</f>
        <v>0</v>
      </c>
      <c r="AG393" s="148" t="n">
        <f aca="false">VALUE(IF($D393="zho",$C393,0))+VALUE(IF($H393="zho",$G393,0))</f>
        <v>0</v>
      </c>
      <c r="AH393" s="148" t="n">
        <f aca="false">VALUE(IF($D393="zbú",$C393,0))+VALUE(IF($H393="zbú",$G393,0))</f>
        <v>0</v>
      </c>
      <c r="AI393" s="148" t="n">
        <f aca="false">VALUE(IF($D393="pří",$C393,0))+VALUE(IF($H393="pří",$G393,0))</f>
        <v>0</v>
      </c>
      <c r="AJ393" s="148" t="n">
        <f aca="false">VALUE(IF($D393="dot",$C393,0))+VALUE(IF($H393="dot",$G393,0))</f>
        <v>0</v>
      </c>
      <c r="AK393" s="148" t="n">
        <f aca="false">VALUE(IF($D393="opř",$C393,0))+VALUE(IF($H393="opř",$G393,0))</f>
        <v>0</v>
      </c>
      <c r="AL393" s="148" t="n">
        <f aca="false">SUM(P393:AK393)</f>
        <v>0</v>
      </c>
    </row>
    <row r="394" customFormat="false" ht="12.75" hidden="false" customHeight="false" outlineLevel="0" collapsed="false">
      <c r="P394" s="148" t="n">
        <f aca="false">VALUE(IF($D394="vyb",$C394,0))+VALUE(IF($H394="vyb",$G394,0))</f>
        <v>0</v>
      </c>
      <c r="Q394" s="148" t="n">
        <f aca="false">VALUE(IF($D394="mtv",$C394,0))+VALUE(IF($H394="mtv",$G394,0))</f>
        <v>0</v>
      </c>
      <c r="R394" s="148" t="n">
        <f aca="false">VALUE(IF($D394="mat",$C394,0))+VALUE(IF($H394="mat",$G394,0))</f>
        <v>0</v>
      </c>
      <c r="S394" s="148" t="n">
        <f aca="false">VALUE(IF($D394="pot",$C394,0))+VALUE(IF($H394="pot",$G394,0))</f>
        <v>0</v>
      </c>
      <c r="T394" s="148" t="n">
        <f aca="false">VALUE(IF($D394="táb",$C394,0))+VALUE(IF($H394="táb",$G394,0))</f>
        <v>0</v>
      </c>
      <c r="U394" s="148" t="n">
        <f aca="false">VALUE(IF($D394="oma",$C394,0))+VALUE(IF($H394="oma",$G394,0))</f>
        <v>0</v>
      </c>
      <c r="V394" s="148" t="n">
        <f aca="false">VALUE(IF($D394="ces",$C394,0))+VALUE(IF($H394="ces",$G394,0))</f>
        <v>0</v>
      </c>
      <c r="W394" s="148" t="n">
        <f aca="false">VALUE(IF($D394="poš",$C394,0))+VALUE(IF($H394="poš",$G394,0))</f>
        <v>0</v>
      </c>
      <c r="X394" s="148" t="n">
        <f aca="false">VALUE(IF($D394="tel",$C394,0))+VALUE(IF($H394="tel",$G394,0))</f>
        <v>0</v>
      </c>
      <c r="Y394" s="148" t="n">
        <f aca="false">VALUE(IF($D394="dop",$C394,0))+VALUE(IF($H394="dop",$G394,0))</f>
        <v>0</v>
      </c>
      <c r="Z394" s="148" t="n">
        <f aca="false">VALUE(IF($D394="nák",$C394,0))+VALUE(IF($H394="nák",$G394,0))</f>
        <v>0</v>
      </c>
      <c r="AA394" s="148" t="n">
        <f aca="false">VALUE(IF($D394="náj",$C394,0))+VALUE(IF($H394="náj",$G394,0))</f>
        <v>0</v>
      </c>
      <c r="AB394" s="148" t="n">
        <f aca="false">VALUE(IF($D394="půj",$C394,0))+VALUE(IF($H394="půj",$G394,0))</f>
        <v>0</v>
      </c>
      <c r="AC394" s="148" t="n">
        <f aca="false">VALUE(IF($D394="vst",$C394,0))+VALUE(IF($H394="vst",$G394,0))</f>
        <v>0</v>
      </c>
      <c r="AD394" s="148" t="n">
        <f aca="false">VALUE(IF($D394="kop",$C394,0))+VALUE(IF($H394="kop",$G394,0))</f>
        <v>0</v>
      </c>
      <c r="AE394" s="148" t="n">
        <f aca="false">VALUE(IF($D394="osl",$C394,0))+VALUE(IF($H394="osl",$G394,0))</f>
        <v>0</v>
      </c>
      <c r="AF394" s="148" t="n">
        <f aca="false">VALUE(IF($D394="vra",$C394,0))+VALUE(IF($H394="vra",$G394,0))</f>
        <v>0</v>
      </c>
      <c r="AG394" s="148" t="n">
        <f aca="false">VALUE(IF($D394="zho",$C394,0))+VALUE(IF($H394="zho",$G394,0))</f>
        <v>0</v>
      </c>
      <c r="AH394" s="148" t="n">
        <f aca="false">VALUE(IF($D394="zbú",$C394,0))+VALUE(IF($H394="zbú",$G394,0))</f>
        <v>0</v>
      </c>
      <c r="AI394" s="148" t="n">
        <f aca="false">VALUE(IF($D394="pří",$C394,0))+VALUE(IF($H394="pří",$G394,0))</f>
        <v>0</v>
      </c>
      <c r="AJ394" s="148" t="n">
        <f aca="false">VALUE(IF($D394="dot",$C394,0))+VALUE(IF($H394="dot",$G394,0))</f>
        <v>0</v>
      </c>
      <c r="AK394" s="148" t="n">
        <f aca="false">VALUE(IF($D394="opř",$C394,0))+VALUE(IF($H394="opř",$G394,0))</f>
        <v>0</v>
      </c>
      <c r="AL394" s="148" t="n">
        <f aca="false">SUM(P394:AK394)</f>
        <v>0</v>
      </c>
    </row>
    <row r="395" customFormat="false" ht="12.75" hidden="false" customHeight="false" outlineLevel="0" collapsed="false">
      <c r="P395" s="148" t="n">
        <f aca="false">VALUE(IF($D395="vyb",$C395,0))+VALUE(IF($H395="vyb",$G395,0))</f>
        <v>0</v>
      </c>
      <c r="Q395" s="148" t="n">
        <f aca="false">VALUE(IF($D395="mtv",$C395,0))+VALUE(IF($H395="mtv",$G395,0))</f>
        <v>0</v>
      </c>
      <c r="R395" s="148" t="n">
        <f aca="false">VALUE(IF($D395="mat",$C395,0))+VALUE(IF($H395="mat",$G395,0))</f>
        <v>0</v>
      </c>
      <c r="S395" s="148" t="n">
        <f aca="false">VALUE(IF($D395="pot",$C395,0))+VALUE(IF($H395="pot",$G395,0))</f>
        <v>0</v>
      </c>
      <c r="T395" s="148" t="n">
        <f aca="false">VALUE(IF($D395="táb",$C395,0))+VALUE(IF($H395="táb",$G395,0))</f>
        <v>0</v>
      </c>
      <c r="U395" s="148" t="n">
        <f aca="false">VALUE(IF($D395="oma",$C395,0))+VALUE(IF($H395="oma",$G395,0))</f>
        <v>0</v>
      </c>
      <c r="V395" s="148" t="n">
        <f aca="false">VALUE(IF($D395="ces",$C395,0))+VALUE(IF($H395="ces",$G395,0))</f>
        <v>0</v>
      </c>
      <c r="W395" s="148" t="n">
        <f aca="false">VALUE(IF($D395="poš",$C395,0))+VALUE(IF($H395="poš",$G395,0))</f>
        <v>0</v>
      </c>
      <c r="X395" s="148" t="n">
        <f aca="false">VALUE(IF($D395="tel",$C395,0))+VALUE(IF($H395="tel",$G395,0))</f>
        <v>0</v>
      </c>
      <c r="Y395" s="148" t="n">
        <f aca="false">VALUE(IF($D395="dop",$C395,0))+VALUE(IF($H395="dop",$G395,0))</f>
        <v>0</v>
      </c>
      <c r="Z395" s="148" t="n">
        <f aca="false">VALUE(IF($D395="nák",$C395,0))+VALUE(IF($H395="nák",$G395,0))</f>
        <v>0</v>
      </c>
      <c r="AA395" s="148" t="n">
        <f aca="false">VALUE(IF($D395="náj",$C395,0))+VALUE(IF($H395="náj",$G395,0))</f>
        <v>0</v>
      </c>
      <c r="AB395" s="148" t="n">
        <f aca="false">VALUE(IF($D395="půj",$C395,0))+VALUE(IF($H395="půj",$G395,0))</f>
        <v>0</v>
      </c>
      <c r="AC395" s="148" t="n">
        <f aca="false">VALUE(IF($D395="vst",$C395,0))+VALUE(IF($H395="vst",$G395,0))</f>
        <v>0</v>
      </c>
      <c r="AD395" s="148" t="n">
        <f aca="false">VALUE(IF($D395="kop",$C395,0))+VALUE(IF($H395="kop",$G395,0))</f>
        <v>0</v>
      </c>
      <c r="AE395" s="148" t="n">
        <f aca="false">VALUE(IF($D395="osl",$C395,0))+VALUE(IF($H395="osl",$G395,0))</f>
        <v>0</v>
      </c>
      <c r="AF395" s="148" t="n">
        <f aca="false">VALUE(IF($D395="vra",$C395,0))+VALUE(IF($H395="vra",$G395,0))</f>
        <v>0</v>
      </c>
      <c r="AG395" s="148" t="n">
        <f aca="false">VALUE(IF($D395="zho",$C395,0))+VALUE(IF($H395="zho",$G395,0))</f>
        <v>0</v>
      </c>
      <c r="AH395" s="148" t="n">
        <f aca="false">VALUE(IF($D395="zbú",$C395,0))+VALUE(IF($H395="zbú",$G395,0))</f>
        <v>0</v>
      </c>
      <c r="AI395" s="148" t="n">
        <f aca="false">VALUE(IF($D395="pří",$C395,0))+VALUE(IF($H395="pří",$G395,0))</f>
        <v>0</v>
      </c>
      <c r="AJ395" s="148" t="n">
        <f aca="false">VALUE(IF($D395="dot",$C395,0))+VALUE(IF($H395="dot",$G395,0))</f>
        <v>0</v>
      </c>
      <c r="AK395" s="148" t="n">
        <f aca="false">VALUE(IF($D395="opř",$C395,0))+VALUE(IF($H395="opř",$G395,0))</f>
        <v>0</v>
      </c>
      <c r="AL395" s="148" t="n">
        <f aca="false">SUM(P395:AK395)</f>
        <v>0</v>
      </c>
    </row>
    <row r="396" customFormat="false" ht="12.75" hidden="false" customHeight="false" outlineLevel="0" collapsed="false">
      <c r="P396" s="148" t="n">
        <f aca="false">VALUE(IF($D396="vyb",$C396,0))+VALUE(IF($H396="vyb",$G396,0))</f>
        <v>0</v>
      </c>
      <c r="Q396" s="148" t="n">
        <f aca="false">VALUE(IF($D396="mtv",$C396,0))+VALUE(IF($H396="mtv",$G396,0))</f>
        <v>0</v>
      </c>
      <c r="R396" s="148" t="n">
        <f aca="false">VALUE(IF($D396="mat",$C396,0))+VALUE(IF($H396="mat",$G396,0))</f>
        <v>0</v>
      </c>
      <c r="S396" s="148" t="n">
        <f aca="false">VALUE(IF($D396="pot",$C396,0))+VALUE(IF($H396="pot",$G396,0))</f>
        <v>0</v>
      </c>
      <c r="T396" s="148" t="n">
        <f aca="false">VALUE(IF($D396="táb",$C396,0))+VALUE(IF($H396="táb",$G396,0))</f>
        <v>0</v>
      </c>
      <c r="U396" s="148" t="n">
        <f aca="false">VALUE(IF($D396="oma",$C396,0))+VALUE(IF($H396="oma",$G396,0))</f>
        <v>0</v>
      </c>
      <c r="V396" s="148" t="n">
        <f aca="false">VALUE(IF($D396="ces",$C396,0))+VALUE(IF($H396="ces",$G396,0))</f>
        <v>0</v>
      </c>
      <c r="W396" s="148" t="n">
        <f aca="false">VALUE(IF($D396="poš",$C396,0))+VALUE(IF($H396="poš",$G396,0))</f>
        <v>0</v>
      </c>
      <c r="X396" s="148" t="n">
        <f aca="false">VALUE(IF($D396="tel",$C396,0))+VALUE(IF($H396="tel",$G396,0))</f>
        <v>0</v>
      </c>
      <c r="Y396" s="148" t="n">
        <f aca="false">VALUE(IF($D396="dop",$C396,0))+VALUE(IF($H396="dop",$G396,0))</f>
        <v>0</v>
      </c>
      <c r="Z396" s="148" t="n">
        <f aca="false">VALUE(IF($D396="nák",$C396,0))+VALUE(IF($H396="nák",$G396,0))</f>
        <v>0</v>
      </c>
      <c r="AA396" s="148" t="n">
        <f aca="false">VALUE(IF($D396="náj",$C396,0))+VALUE(IF($H396="náj",$G396,0))</f>
        <v>0</v>
      </c>
      <c r="AB396" s="148" t="n">
        <f aca="false">VALUE(IF($D396="půj",$C396,0))+VALUE(IF($H396="půj",$G396,0))</f>
        <v>0</v>
      </c>
      <c r="AC396" s="148" t="n">
        <f aca="false">VALUE(IF($D396="vst",$C396,0))+VALUE(IF($H396="vst",$G396,0))</f>
        <v>0</v>
      </c>
      <c r="AD396" s="148" t="n">
        <f aca="false">VALUE(IF($D396="kop",$C396,0))+VALUE(IF($H396="kop",$G396,0))</f>
        <v>0</v>
      </c>
      <c r="AE396" s="148" t="n">
        <f aca="false">VALUE(IF($D396="osl",$C396,0))+VALUE(IF($H396="osl",$G396,0))</f>
        <v>0</v>
      </c>
      <c r="AF396" s="148" t="n">
        <f aca="false">VALUE(IF($D396="vra",$C396,0))+VALUE(IF($H396="vra",$G396,0))</f>
        <v>0</v>
      </c>
      <c r="AG396" s="148" t="n">
        <f aca="false">VALUE(IF($D396="zho",$C396,0))+VALUE(IF($H396="zho",$G396,0))</f>
        <v>0</v>
      </c>
      <c r="AH396" s="148" t="n">
        <f aca="false">VALUE(IF($D396="zbú",$C396,0))+VALUE(IF($H396="zbú",$G396,0))</f>
        <v>0</v>
      </c>
      <c r="AI396" s="148" t="n">
        <f aca="false">VALUE(IF($D396="pří",$C396,0))+VALUE(IF($H396="pří",$G396,0))</f>
        <v>0</v>
      </c>
      <c r="AJ396" s="148" t="n">
        <f aca="false">VALUE(IF($D396="dot",$C396,0))+VALUE(IF($H396="dot",$G396,0))</f>
        <v>0</v>
      </c>
      <c r="AK396" s="148" t="n">
        <f aca="false">VALUE(IF($D396="opř",$C396,0))+VALUE(IF($H396="opř",$G396,0))</f>
        <v>0</v>
      </c>
      <c r="AL396" s="148" t="n">
        <f aca="false">SUM(P396:AK396)</f>
        <v>0</v>
      </c>
    </row>
    <row r="397" customFormat="false" ht="12.75" hidden="false" customHeight="false" outlineLevel="0" collapsed="false">
      <c r="P397" s="148" t="n">
        <f aca="false">VALUE(IF($D397="vyb",$C397,0))+VALUE(IF($H397="vyb",$G397,0))</f>
        <v>0</v>
      </c>
      <c r="Q397" s="148" t="n">
        <f aca="false">VALUE(IF($D397="mtv",$C397,0))+VALUE(IF($H397="mtv",$G397,0))</f>
        <v>0</v>
      </c>
      <c r="R397" s="148" t="n">
        <f aca="false">VALUE(IF($D397="mat",$C397,0))+VALUE(IF($H397="mat",$G397,0))</f>
        <v>0</v>
      </c>
      <c r="S397" s="148" t="n">
        <f aca="false">VALUE(IF($D397="pot",$C397,0))+VALUE(IF($H397="pot",$G397,0))</f>
        <v>0</v>
      </c>
      <c r="T397" s="148" t="n">
        <f aca="false">VALUE(IF($D397="táb",$C397,0))+VALUE(IF($H397="táb",$G397,0))</f>
        <v>0</v>
      </c>
      <c r="U397" s="148" t="n">
        <f aca="false">VALUE(IF($D397="oma",$C397,0))+VALUE(IF($H397="oma",$G397,0))</f>
        <v>0</v>
      </c>
      <c r="V397" s="148" t="n">
        <f aca="false">VALUE(IF($D397="ces",$C397,0))+VALUE(IF($H397="ces",$G397,0))</f>
        <v>0</v>
      </c>
      <c r="W397" s="148" t="n">
        <f aca="false">VALUE(IF($D397="poš",$C397,0))+VALUE(IF($H397="poš",$G397,0))</f>
        <v>0</v>
      </c>
      <c r="X397" s="148" t="n">
        <f aca="false">VALUE(IF($D397="tel",$C397,0))+VALUE(IF($H397="tel",$G397,0))</f>
        <v>0</v>
      </c>
      <c r="Y397" s="148" t="n">
        <f aca="false">VALUE(IF($D397="dop",$C397,0))+VALUE(IF($H397="dop",$G397,0))</f>
        <v>0</v>
      </c>
      <c r="Z397" s="148" t="n">
        <f aca="false">VALUE(IF($D397="nák",$C397,0))+VALUE(IF($H397="nák",$G397,0))</f>
        <v>0</v>
      </c>
      <c r="AA397" s="148" t="n">
        <f aca="false">VALUE(IF($D397="náj",$C397,0))+VALUE(IF($H397="náj",$G397,0))</f>
        <v>0</v>
      </c>
      <c r="AB397" s="148" t="n">
        <f aca="false">VALUE(IF($D397="půj",$C397,0))+VALUE(IF($H397="půj",$G397,0))</f>
        <v>0</v>
      </c>
      <c r="AC397" s="148" t="n">
        <f aca="false">VALUE(IF($D397="vst",$C397,0))+VALUE(IF($H397="vst",$G397,0))</f>
        <v>0</v>
      </c>
      <c r="AD397" s="148" t="n">
        <f aca="false">VALUE(IF($D397="kop",$C397,0))+VALUE(IF($H397="kop",$G397,0))</f>
        <v>0</v>
      </c>
      <c r="AE397" s="148" t="n">
        <f aca="false">VALUE(IF($D397="osl",$C397,0))+VALUE(IF($H397="osl",$G397,0))</f>
        <v>0</v>
      </c>
      <c r="AF397" s="148" t="n">
        <f aca="false">VALUE(IF($D397="vra",$C397,0))+VALUE(IF($H397="vra",$G397,0))</f>
        <v>0</v>
      </c>
      <c r="AG397" s="148" t="n">
        <f aca="false">VALUE(IF($D397="zho",$C397,0))+VALUE(IF($H397="zho",$G397,0))</f>
        <v>0</v>
      </c>
      <c r="AH397" s="148" t="n">
        <f aca="false">VALUE(IF($D397="zbú",$C397,0))+VALUE(IF($H397="zbú",$G397,0))</f>
        <v>0</v>
      </c>
      <c r="AI397" s="148" t="n">
        <f aca="false">VALUE(IF($D397="pří",$C397,0))+VALUE(IF($H397="pří",$G397,0))</f>
        <v>0</v>
      </c>
      <c r="AJ397" s="148" t="n">
        <f aca="false">VALUE(IF($D397="dot",$C397,0))+VALUE(IF($H397="dot",$G397,0))</f>
        <v>0</v>
      </c>
      <c r="AK397" s="148" t="n">
        <f aca="false">VALUE(IF($D397="opř",$C397,0))+VALUE(IF($H397="opř",$G397,0))</f>
        <v>0</v>
      </c>
      <c r="AL397" s="148" t="n">
        <f aca="false">SUM(P397:AK397)</f>
        <v>0</v>
      </c>
    </row>
    <row r="398" customFormat="false" ht="12.75" hidden="false" customHeight="false" outlineLevel="0" collapsed="false">
      <c r="P398" s="148" t="n">
        <f aca="false">VALUE(IF($D398="vyb",$C398,0))+VALUE(IF($H398="vyb",$G398,0))</f>
        <v>0</v>
      </c>
      <c r="Q398" s="148" t="n">
        <f aca="false">VALUE(IF($D398="mtv",$C398,0))+VALUE(IF($H398="mtv",$G398,0))</f>
        <v>0</v>
      </c>
      <c r="R398" s="148" t="n">
        <f aca="false">VALUE(IF($D398="mat",$C398,0))+VALUE(IF($H398="mat",$G398,0))</f>
        <v>0</v>
      </c>
      <c r="S398" s="148" t="n">
        <f aca="false">VALUE(IF($D398="pot",$C398,0))+VALUE(IF($H398="pot",$G398,0))</f>
        <v>0</v>
      </c>
      <c r="T398" s="148" t="n">
        <f aca="false">VALUE(IF($D398="táb",$C398,0))+VALUE(IF($H398="táb",$G398,0))</f>
        <v>0</v>
      </c>
      <c r="U398" s="148" t="n">
        <f aca="false">VALUE(IF($D398="oma",$C398,0))+VALUE(IF($H398="oma",$G398,0))</f>
        <v>0</v>
      </c>
      <c r="V398" s="148" t="n">
        <f aca="false">VALUE(IF($D398="ces",$C398,0))+VALUE(IF($H398="ces",$G398,0))</f>
        <v>0</v>
      </c>
      <c r="W398" s="148" t="n">
        <f aca="false">VALUE(IF($D398="poš",$C398,0))+VALUE(IF($H398="poš",$G398,0))</f>
        <v>0</v>
      </c>
      <c r="X398" s="148" t="n">
        <f aca="false">VALUE(IF($D398="tel",$C398,0))+VALUE(IF($H398="tel",$G398,0))</f>
        <v>0</v>
      </c>
      <c r="Y398" s="148" t="n">
        <f aca="false">VALUE(IF($D398="dop",$C398,0))+VALUE(IF($H398="dop",$G398,0))</f>
        <v>0</v>
      </c>
      <c r="Z398" s="148" t="n">
        <f aca="false">VALUE(IF($D398="nák",$C398,0))+VALUE(IF($H398="nák",$G398,0))</f>
        <v>0</v>
      </c>
      <c r="AA398" s="148" t="n">
        <f aca="false">VALUE(IF($D398="náj",$C398,0))+VALUE(IF($H398="náj",$G398,0))</f>
        <v>0</v>
      </c>
      <c r="AB398" s="148" t="n">
        <f aca="false">VALUE(IF($D398="půj",$C398,0))+VALUE(IF($H398="půj",$G398,0))</f>
        <v>0</v>
      </c>
      <c r="AC398" s="148" t="n">
        <f aca="false">VALUE(IF($D398="vst",$C398,0))+VALUE(IF($H398="vst",$G398,0))</f>
        <v>0</v>
      </c>
      <c r="AD398" s="148" t="n">
        <f aca="false">VALUE(IF($D398="kop",$C398,0))+VALUE(IF($H398="kop",$G398,0))</f>
        <v>0</v>
      </c>
      <c r="AE398" s="148" t="n">
        <f aca="false">VALUE(IF($D398="osl",$C398,0))+VALUE(IF($H398="osl",$G398,0))</f>
        <v>0</v>
      </c>
      <c r="AF398" s="148" t="n">
        <f aca="false">VALUE(IF($D398="vra",$C398,0))+VALUE(IF($H398="vra",$G398,0))</f>
        <v>0</v>
      </c>
      <c r="AG398" s="148" t="n">
        <f aca="false">VALUE(IF($D398="zho",$C398,0))+VALUE(IF($H398="zho",$G398,0))</f>
        <v>0</v>
      </c>
      <c r="AH398" s="148" t="n">
        <f aca="false">VALUE(IF($D398="zbú",$C398,0))+VALUE(IF($H398="zbú",$G398,0))</f>
        <v>0</v>
      </c>
      <c r="AI398" s="148" t="n">
        <f aca="false">VALUE(IF($D398="pří",$C398,0))+VALUE(IF($H398="pří",$G398,0))</f>
        <v>0</v>
      </c>
      <c r="AJ398" s="148" t="n">
        <f aca="false">VALUE(IF($D398="dot",$C398,0))+VALUE(IF($H398="dot",$G398,0))</f>
        <v>0</v>
      </c>
      <c r="AK398" s="148" t="n">
        <f aca="false">VALUE(IF($D398="opř",$C398,0))+VALUE(IF($H398="opř",$G398,0))</f>
        <v>0</v>
      </c>
      <c r="AL398" s="148" t="n">
        <f aca="false">SUM(P398:AK398)</f>
        <v>0</v>
      </c>
    </row>
    <row r="399" customFormat="false" ht="12.75" hidden="false" customHeight="false" outlineLevel="0" collapsed="false">
      <c r="P399" s="148" t="n">
        <f aca="false">VALUE(IF($D399="vyb",$C399,0))+VALUE(IF($H399="vyb",$G399,0))</f>
        <v>0</v>
      </c>
      <c r="Q399" s="148" t="n">
        <f aca="false">VALUE(IF($D399="mtv",$C399,0))+VALUE(IF($H399="mtv",$G399,0))</f>
        <v>0</v>
      </c>
      <c r="R399" s="148" t="n">
        <f aca="false">VALUE(IF($D399="mat",$C399,0))+VALUE(IF($H399="mat",$G399,0))</f>
        <v>0</v>
      </c>
      <c r="S399" s="148" t="n">
        <f aca="false">VALUE(IF($D399="pot",$C399,0))+VALUE(IF($H399="pot",$G399,0))</f>
        <v>0</v>
      </c>
      <c r="T399" s="148" t="n">
        <f aca="false">VALUE(IF($D399="táb",$C399,0))+VALUE(IF($H399="táb",$G399,0))</f>
        <v>0</v>
      </c>
      <c r="U399" s="148" t="n">
        <f aca="false">VALUE(IF($D399="oma",$C399,0))+VALUE(IF($H399="oma",$G399,0))</f>
        <v>0</v>
      </c>
      <c r="V399" s="148" t="n">
        <f aca="false">VALUE(IF($D399="ces",$C399,0))+VALUE(IF($H399="ces",$G399,0))</f>
        <v>0</v>
      </c>
      <c r="W399" s="148" t="n">
        <f aca="false">VALUE(IF($D399="poš",$C399,0))+VALUE(IF($H399="poš",$G399,0))</f>
        <v>0</v>
      </c>
      <c r="X399" s="148" t="n">
        <f aca="false">VALUE(IF($D399="tel",$C399,0))+VALUE(IF($H399="tel",$G399,0))</f>
        <v>0</v>
      </c>
      <c r="Y399" s="148" t="n">
        <f aca="false">VALUE(IF($D399="dop",$C399,0))+VALUE(IF($H399="dop",$G399,0))</f>
        <v>0</v>
      </c>
      <c r="Z399" s="148" t="n">
        <f aca="false">VALUE(IF($D399="nák",$C399,0))+VALUE(IF($H399="nák",$G399,0))</f>
        <v>0</v>
      </c>
      <c r="AA399" s="148" t="n">
        <f aca="false">VALUE(IF($D399="náj",$C399,0))+VALUE(IF($H399="náj",$G399,0))</f>
        <v>0</v>
      </c>
      <c r="AB399" s="148" t="n">
        <f aca="false">VALUE(IF($D399="půj",$C399,0))+VALUE(IF($H399="půj",$G399,0))</f>
        <v>0</v>
      </c>
      <c r="AC399" s="148" t="n">
        <f aca="false">VALUE(IF($D399="vst",$C399,0))+VALUE(IF($H399="vst",$G399,0))</f>
        <v>0</v>
      </c>
      <c r="AD399" s="148" t="n">
        <f aca="false">VALUE(IF($D399="kop",$C399,0))+VALUE(IF($H399="kop",$G399,0))</f>
        <v>0</v>
      </c>
      <c r="AE399" s="148" t="n">
        <f aca="false">VALUE(IF($D399="osl",$C399,0))+VALUE(IF($H399="osl",$G399,0))</f>
        <v>0</v>
      </c>
      <c r="AF399" s="148" t="n">
        <f aca="false">VALUE(IF($D399="vra",$C399,0))+VALUE(IF($H399="vra",$G399,0))</f>
        <v>0</v>
      </c>
      <c r="AG399" s="148" t="n">
        <f aca="false">VALUE(IF($D399="zho",$C399,0))+VALUE(IF($H399="zho",$G399,0))</f>
        <v>0</v>
      </c>
      <c r="AH399" s="148" t="n">
        <f aca="false">VALUE(IF($D399="zbú",$C399,0))+VALUE(IF($H399="zbú",$G399,0))</f>
        <v>0</v>
      </c>
      <c r="AI399" s="148" t="n">
        <f aca="false">VALUE(IF($D399="pří",$C399,0))+VALUE(IF($H399="pří",$G399,0))</f>
        <v>0</v>
      </c>
      <c r="AJ399" s="148" t="n">
        <f aca="false">VALUE(IF($D399="dot",$C399,0))+VALUE(IF($H399="dot",$G399,0))</f>
        <v>0</v>
      </c>
      <c r="AK399" s="148" t="n">
        <f aca="false">VALUE(IF($D399="opř",$C399,0))+VALUE(IF($H399="opř",$G399,0))</f>
        <v>0</v>
      </c>
      <c r="AL399" s="148" t="n">
        <f aca="false">SUM(P399:AK399)</f>
        <v>0</v>
      </c>
    </row>
    <row r="400" customFormat="false" ht="12.75" hidden="false" customHeight="false" outlineLevel="0" collapsed="false">
      <c r="P400" s="148" t="n">
        <f aca="false">VALUE(IF($D400="vyb",$C400,0))+VALUE(IF($H400="vyb",$G400,0))</f>
        <v>0</v>
      </c>
      <c r="Q400" s="148" t="n">
        <f aca="false">VALUE(IF($D400="mtv",$C400,0))+VALUE(IF($H400="mtv",$G400,0))</f>
        <v>0</v>
      </c>
      <c r="R400" s="148" t="n">
        <f aca="false">VALUE(IF($D400="mat",$C400,0))+VALUE(IF($H400="mat",$G400,0))</f>
        <v>0</v>
      </c>
      <c r="S400" s="148" t="n">
        <f aca="false">VALUE(IF($D400="pot",$C400,0))+VALUE(IF($H400="pot",$G400,0))</f>
        <v>0</v>
      </c>
      <c r="T400" s="148" t="n">
        <f aca="false">VALUE(IF($D400="táb",$C400,0))+VALUE(IF($H400="táb",$G400,0))</f>
        <v>0</v>
      </c>
      <c r="U400" s="148" t="n">
        <f aca="false">VALUE(IF($D400="oma",$C400,0))+VALUE(IF($H400="oma",$G400,0))</f>
        <v>0</v>
      </c>
      <c r="V400" s="148" t="n">
        <f aca="false">VALUE(IF($D400="ces",$C400,0))+VALUE(IF($H400="ces",$G400,0))</f>
        <v>0</v>
      </c>
      <c r="W400" s="148" t="n">
        <f aca="false">VALUE(IF($D400="poš",$C400,0))+VALUE(IF($H400="poš",$G400,0))</f>
        <v>0</v>
      </c>
      <c r="X400" s="148" t="n">
        <f aca="false">VALUE(IF($D400="tel",$C400,0))+VALUE(IF($H400="tel",$G400,0))</f>
        <v>0</v>
      </c>
      <c r="Y400" s="148" t="n">
        <f aca="false">VALUE(IF($D400="dop",$C400,0))+VALUE(IF($H400="dop",$G400,0))</f>
        <v>0</v>
      </c>
      <c r="Z400" s="148" t="n">
        <f aca="false">VALUE(IF($D400="nák",$C400,0))+VALUE(IF($H400="nák",$G400,0))</f>
        <v>0</v>
      </c>
      <c r="AA400" s="148" t="n">
        <f aca="false">VALUE(IF($D400="náj",$C400,0))+VALUE(IF($H400="náj",$G400,0))</f>
        <v>0</v>
      </c>
      <c r="AB400" s="148" t="n">
        <f aca="false">VALUE(IF($D400="půj",$C400,0))+VALUE(IF($H400="půj",$G400,0))</f>
        <v>0</v>
      </c>
      <c r="AC400" s="148" t="n">
        <f aca="false">VALUE(IF($D400="vst",$C400,0))+VALUE(IF($H400="vst",$G400,0))</f>
        <v>0</v>
      </c>
      <c r="AD400" s="148" t="n">
        <f aca="false">VALUE(IF($D400="kop",$C400,0))+VALUE(IF($H400="kop",$G400,0))</f>
        <v>0</v>
      </c>
      <c r="AE400" s="148" t="n">
        <f aca="false">VALUE(IF($D400="osl",$C400,0))+VALUE(IF($H400="osl",$G400,0))</f>
        <v>0</v>
      </c>
      <c r="AF400" s="148" t="n">
        <f aca="false">VALUE(IF($D400="vra",$C400,0))+VALUE(IF($H400="vra",$G400,0))</f>
        <v>0</v>
      </c>
      <c r="AG400" s="148" t="n">
        <f aca="false">VALUE(IF($D400="zho",$C400,0))+VALUE(IF($H400="zho",$G400,0))</f>
        <v>0</v>
      </c>
      <c r="AH400" s="148" t="n">
        <f aca="false">VALUE(IF($D400="zbú",$C400,0))+VALUE(IF($H400="zbú",$G400,0))</f>
        <v>0</v>
      </c>
      <c r="AI400" s="148" t="n">
        <f aca="false">VALUE(IF($D400="pří",$C400,0))+VALUE(IF($H400="pří",$G400,0))</f>
        <v>0</v>
      </c>
      <c r="AJ400" s="148" t="n">
        <f aca="false">VALUE(IF($D400="dot",$C400,0))+VALUE(IF($H400="dot",$G400,0))</f>
        <v>0</v>
      </c>
      <c r="AK400" s="148" t="n">
        <f aca="false">VALUE(IF($D400="opř",$C400,0))+VALUE(IF($H400="opř",$G400,0))</f>
        <v>0</v>
      </c>
      <c r="AL400" s="148" t="n">
        <f aca="false">SUM(P400:AK400)</f>
        <v>0</v>
      </c>
    </row>
    <row r="401" customFormat="false" ht="12.75" hidden="false" customHeight="false" outlineLevel="0" collapsed="false">
      <c r="P401" s="148" t="n">
        <f aca="false">VALUE(IF($D401="vyb",$C401,0))+VALUE(IF($H401="vyb",$G401,0))</f>
        <v>0</v>
      </c>
      <c r="Q401" s="148" t="n">
        <f aca="false">VALUE(IF($D401="mtv",$C401,0))+VALUE(IF($H401="mtv",$G401,0))</f>
        <v>0</v>
      </c>
      <c r="R401" s="148" t="n">
        <f aca="false">VALUE(IF($D401="mat",$C401,0))+VALUE(IF($H401="mat",$G401,0))</f>
        <v>0</v>
      </c>
      <c r="S401" s="148" t="n">
        <f aca="false">VALUE(IF($D401="pot",$C401,0))+VALUE(IF($H401="pot",$G401,0))</f>
        <v>0</v>
      </c>
      <c r="T401" s="148" t="n">
        <f aca="false">VALUE(IF($D401="táb",$C401,0))+VALUE(IF($H401="táb",$G401,0))</f>
        <v>0</v>
      </c>
      <c r="U401" s="148" t="n">
        <f aca="false">VALUE(IF($D401="oma",$C401,0))+VALUE(IF($H401="oma",$G401,0))</f>
        <v>0</v>
      </c>
      <c r="V401" s="148" t="n">
        <f aca="false">VALUE(IF($D401="ces",$C401,0))+VALUE(IF($H401="ces",$G401,0))</f>
        <v>0</v>
      </c>
      <c r="W401" s="148" t="n">
        <f aca="false">VALUE(IF($D401="poš",$C401,0))+VALUE(IF($H401="poš",$G401,0))</f>
        <v>0</v>
      </c>
      <c r="X401" s="148" t="n">
        <f aca="false">VALUE(IF($D401="tel",$C401,0))+VALUE(IF($H401="tel",$G401,0))</f>
        <v>0</v>
      </c>
      <c r="Y401" s="148" t="n">
        <f aca="false">VALUE(IF($D401="dop",$C401,0))+VALUE(IF($H401="dop",$G401,0))</f>
        <v>0</v>
      </c>
      <c r="Z401" s="148" t="n">
        <f aca="false">VALUE(IF($D401="nák",$C401,0))+VALUE(IF($H401="nák",$G401,0))</f>
        <v>0</v>
      </c>
      <c r="AA401" s="148" t="n">
        <f aca="false">VALUE(IF($D401="náj",$C401,0))+VALUE(IF($H401="náj",$G401,0))</f>
        <v>0</v>
      </c>
      <c r="AB401" s="148" t="n">
        <f aca="false">VALUE(IF($D401="půj",$C401,0))+VALUE(IF($H401="půj",$G401,0))</f>
        <v>0</v>
      </c>
      <c r="AC401" s="148" t="n">
        <f aca="false">VALUE(IF($D401="vst",$C401,0))+VALUE(IF($H401="vst",$G401,0))</f>
        <v>0</v>
      </c>
      <c r="AD401" s="148" t="n">
        <f aca="false">VALUE(IF($D401="kop",$C401,0))+VALUE(IF($H401="kop",$G401,0))</f>
        <v>0</v>
      </c>
      <c r="AE401" s="148" t="n">
        <f aca="false">VALUE(IF($D401="osl",$C401,0))+VALUE(IF($H401="osl",$G401,0))</f>
        <v>0</v>
      </c>
      <c r="AF401" s="148" t="n">
        <f aca="false">VALUE(IF($D401="vra",$C401,0))+VALUE(IF($H401="vra",$G401,0))</f>
        <v>0</v>
      </c>
      <c r="AG401" s="148" t="n">
        <f aca="false">VALUE(IF($D401="zho",$C401,0))+VALUE(IF($H401="zho",$G401,0))</f>
        <v>0</v>
      </c>
      <c r="AH401" s="148" t="n">
        <f aca="false">VALUE(IF($D401="zbú",$C401,0))+VALUE(IF($H401="zbú",$G401,0))</f>
        <v>0</v>
      </c>
      <c r="AI401" s="148" t="n">
        <f aca="false">VALUE(IF($D401="pří",$C401,0))+VALUE(IF($H401="pří",$G401,0))</f>
        <v>0</v>
      </c>
      <c r="AJ401" s="148" t="n">
        <f aca="false">VALUE(IF($D401="dot",$C401,0))+VALUE(IF($H401="dot",$G401,0))</f>
        <v>0</v>
      </c>
      <c r="AK401" s="148" t="n">
        <f aca="false">VALUE(IF($D401="opř",$C401,0))+VALUE(IF($H401="opř",$G401,0))</f>
        <v>0</v>
      </c>
      <c r="AL401" s="148" t="n">
        <f aca="false">SUM(P401:AK401)</f>
        <v>0</v>
      </c>
    </row>
    <row r="402" customFormat="false" ht="12.75" hidden="false" customHeight="false" outlineLevel="0" collapsed="false">
      <c r="P402" s="148" t="n">
        <f aca="false">VALUE(IF($D402="vyb",$C402,0))+VALUE(IF($H402="vyb",$G402,0))</f>
        <v>0</v>
      </c>
      <c r="Q402" s="148" t="n">
        <f aca="false">VALUE(IF($D402="mtv",$C402,0))+VALUE(IF($H402="mtv",$G402,0))</f>
        <v>0</v>
      </c>
      <c r="R402" s="148" t="n">
        <f aca="false">VALUE(IF($D402="mat",$C402,0))+VALUE(IF($H402="mat",$G402,0))</f>
        <v>0</v>
      </c>
      <c r="S402" s="148" t="n">
        <f aca="false">VALUE(IF($D402="pot",$C402,0))+VALUE(IF($H402="pot",$G402,0))</f>
        <v>0</v>
      </c>
      <c r="T402" s="148" t="n">
        <f aca="false">VALUE(IF($D402="táb",$C402,0))+VALUE(IF($H402="táb",$G402,0))</f>
        <v>0</v>
      </c>
      <c r="U402" s="148" t="n">
        <f aca="false">VALUE(IF($D402="oma",$C402,0))+VALUE(IF($H402="oma",$G402,0))</f>
        <v>0</v>
      </c>
      <c r="V402" s="148" t="n">
        <f aca="false">VALUE(IF($D402="ces",$C402,0))+VALUE(IF($H402="ces",$G402,0))</f>
        <v>0</v>
      </c>
      <c r="W402" s="148" t="n">
        <f aca="false">VALUE(IF($D402="poš",$C402,0))+VALUE(IF($H402="poš",$G402,0))</f>
        <v>0</v>
      </c>
      <c r="X402" s="148" t="n">
        <f aca="false">VALUE(IF($D402="tel",$C402,0))+VALUE(IF($H402="tel",$G402,0))</f>
        <v>0</v>
      </c>
      <c r="Y402" s="148" t="n">
        <f aca="false">VALUE(IF($D402="dop",$C402,0))+VALUE(IF($H402="dop",$G402,0))</f>
        <v>0</v>
      </c>
      <c r="Z402" s="148" t="n">
        <f aca="false">VALUE(IF($D402="nák",$C402,0))+VALUE(IF($H402="nák",$G402,0))</f>
        <v>0</v>
      </c>
      <c r="AA402" s="148" t="n">
        <f aca="false">VALUE(IF($D402="náj",$C402,0))+VALUE(IF($H402="náj",$G402,0))</f>
        <v>0</v>
      </c>
      <c r="AB402" s="148" t="n">
        <f aca="false">VALUE(IF($D402="půj",$C402,0))+VALUE(IF($H402="půj",$G402,0))</f>
        <v>0</v>
      </c>
      <c r="AC402" s="148" t="n">
        <f aca="false">VALUE(IF($D402="vst",$C402,0))+VALUE(IF($H402="vst",$G402,0))</f>
        <v>0</v>
      </c>
      <c r="AD402" s="148" t="n">
        <f aca="false">VALUE(IF($D402="kop",$C402,0))+VALUE(IF($H402="kop",$G402,0))</f>
        <v>0</v>
      </c>
      <c r="AE402" s="148" t="n">
        <f aca="false">VALUE(IF($D402="osl",$C402,0))+VALUE(IF($H402="osl",$G402,0))</f>
        <v>0</v>
      </c>
      <c r="AF402" s="148" t="n">
        <f aca="false">VALUE(IF($D402="vra",$C402,0))+VALUE(IF($H402="vra",$G402,0))</f>
        <v>0</v>
      </c>
      <c r="AG402" s="148" t="n">
        <f aca="false">VALUE(IF($D402="zho",$C402,0))+VALUE(IF($H402="zho",$G402,0))</f>
        <v>0</v>
      </c>
      <c r="AH402" s="148" t="n">
        <f aca="false">VALUE(IF($D402="zbú",$C402,0))+VALUE(IF($H402="zbú",$G402,0))</f>
        <v>0</v>
      </c>
      <c r="AI402" s="148" t="n">
        <f aca="false">VALUE(IF($D402="pří",$C402,0))+VALUE(IF($H402="pří",$G402,0))</f>
        <v>0</v>
      </c>
      <c r="AJ402" s="148" t="n">
        <f aca="false">VALUE(IF($D402="dot",$C402,0))+VALUE(IF($H402="dot",$G402,0))</f>
        <v>0</v>
      </c>
      <c r="AK402" s="148" t="n">
        <f aca="false">VALUE(IF($D402="opř",$C402,0))+VALUE(IF($H402="opř",$G402,0))</f>
        <v>0</v>
      </c>
      <c r="AL402" s="148" t="n">
        <f aca="false">SUM(P402:AK402)</f>
        <v>0</v>
      </c>
    </row>
    <row r="403" customFormat="false" ht="12.75" hidden="false" customHeight="false" outlineLevel="0" collapsed="false">
      <c r="P403" s="148" t="n">
        <f aca="false">VALUE(IF($D403="vyb",$C403,0))+VALUE(IF($H403="vyb",$G403,0))</f>
        <v>0</v>
      </c>
      <c r="Q403" s="148" t="n">
        <f aca="false">VALUE(IF($D403="mtv",$C403,0))+VALUE(IF($H403="mtv",$G403,0))</f>
        <v>0</v>
      </c>
      <c r="R403" s="148" t="n">
        <f aca="false">VALUE(IF($D403="mat",$C403,0))+VALUE(IF($H403="mat",$G403,0))</f>
        <v>0</v>
      </c>
      <c r="S403" s="148" t="n">
        <f aca="false">VALUE(IF($D403="pot",$C403,0))+VALUE(IF($H403="pot",$G403,0))</f>
        <v>0</v>
      </c>
      <c r="T403" s="148" t="n">
        <f aca="false">VALUE(IF($D403="táb",$C403,0))+VALUE(IF($H403="táb",$G403,0))</f>
        <v>0</v>
      </c>
      <c r="U403" s="148" t="n">
        <f aca="false">VALUE(IF($D403="oma",$C403,0))+VALUE(IF($H403="oma",$G403,0))</f>
        <v>0</v>
      </c>
      <c r="V403" s="148" t="n">
        <f aca="false">VALUE(IF($D403="ces",$C403,0))+VALUE(IF($H403="ces",$G403,0))</f>
        <v>0</v>
      </c>
      <c r="W403" s="148" t="n">
        <f aca="false">VALUE(IF($D403="poš",$C403,0))+VALUE(IF($H403="poš",$G403,0))</f>
        <v>0</v>
      </c>
      <c r="X403" s="148" t="n">
        <f aca="false">VALUE(IF($D403="tel",$C403,0))+VALUE(IF($H403="tel",$G403,0))</f>
        <v>0</v>
      </c>
      <c r="Y403" s="148" t="n">
        <f aca="false">VALUE(IF($D403="dop",$C403,0))+VALUE(IF($H403="dop",$G403,0))</f>
        <v>0</v>
      </c>
      <c r="Z403" s="148" t="n">
        <f aca="false">VALUE(IF($D403="nák",$C403,0))+VALUE(IF($H403="nák",$G403,0))</f>
        <v>0</v>
      </c>
      <c r="AA403" s="148" t="n">
        <f aca="false">VALUE(IF($D403="náj",$C403,0))+VALUE(IF($H403="náj",$G403,0))</f>
        <v>0</v>
      </c>
      <c r="AB403" s="148" t="n">
        <f aca="false">VALUE(IF($D403="půj",$C403,0))+VALUE(IF($H403="půj",$G403,0))</f>
        <v>0</v>
      </c>
      <c r="AC403" s="148" t="n">
        <f aca="false">VALUE(IF($D403="vst",$C403,0))+VALUE(IF($H403="vst",$G403,0))</f>
        <v>0</v>
      </c>
      <c r="AD403" s="148" t="n">
        <f aca="false">VALUE(IF($D403="kop",$C403,0))+VALUE(IF($H403="kop",$G403,0))</f>
        <v>0</v>
      </c>
      <c r="AE403" s="148" t="n">
        <f aca="false">VALUE(IF($D403="osl",$C403,0))+VALUE(IF($H403="osl",$G403,0))</f>
        <v>0</v>
      </c>
      <c r="AF403" s="148" t="n">
        <f aca="false">VALUE(IF($D403="vra",$C403,0))+VALUE(IF($H403="vra",$G403,0))</f>
        <v>0</v>
      </c>
      <c r="AG403" s="148" t="n">
        <f aca="false">VALUE(IF($D403="zho",$C403,0))+VALUE(IF($H403="zho",$G403,0))</f>
        <v>0</v>
      </c>
      <c r="AH403" s="148" t="n">
        <f aca="false">VALUE(IF($D403="zbú",$C403,0))+VALUE(IF($H403="zbú",$G403,0))</f>
        <v>0</v>
      </c>
      <c r="AI403" s="148" t="n">
        <f aca="false">VALUE(IF($D403="pří",$C403,0))+VALUE(IF($H403="pří",$G403,0))</f>
        <v>0</v>
      </c>
      <c r="AJ403" s="148" t="n">
        <f aca="false">VALUE(IF($D403="dot",$C403,0))+VALUE(IF($H403="dot",$G403,0))</f>
        <v>0</v>
      </c>
      <c r="AK403" s="148" t="n">
        <f aca="false">VALUE(IF($D403="opř",$C403,0))+VALUE(IF($H403="opř",$G403,0))</f>
        <v>0</v>
      </c>
      <c r="AL403" s="148" t="n">
        <f aca="false">SUM(P403:AK403)</f>
        <v>0</v>
      </c>
    </row>
    <row r="404" customFormat="false" ht="12.75" hidden="false" customHeight="false" outlineLevel="0" collapsed="false">
      <c r="P404" s="148" t="n">
        <f aca="false">VALUE(IF($D404="vyb",$C404,0))+VALUE(IF($H404="vyb",$G404,0))</f>
        <v>0</v>
      </c>
      <c r="Q404" s="148" t="n">
        <f aca="false">VALUE(IF($D404="mtv",$C404,0))+VALUE(IF($H404="mtv",$G404,0))</f>
        <v>0</v>
      </c>
      <c r="R404" s="148" t="n">
        <f aca="false">VALUE(IF($D404="mat",$C404,0))+VALUE(IF($H404="mat",$G404,0))</f>
        <v>0</v>
      </c>
      <c r="S404" s="148" t="n">
        <f aca="false">VALUE(IF($D404="pot",$C404,0))+VALUE(IF($H404="pot",$G404,0))</f>
        <v>0</v>
      </c>
      <c r="T404" s="148" t="n">
        <f aca="false">VALUE(IF($D404="táb",$C404,0))+VALUE(IF($H404="táb",$G404,0))</f>
        <v>0</v>
      </c>
      <c r="U404" s="148" t="n">
        <f aca="false">VALUE(IF($D404="oma",$C404,0))+VALUE(IF($H404="oma",$G404,0))</f>
        <v>0</v>
      </c>
      <c r="V404" s="148" t="n">
        <f aca="false">VALUE(IF($D404="ces",$C404,0))+VALUE(IF($H404="ces",$G404,0))</f>
        <v>0</v>
      </c>
      <c r="W404" s="148" t="n">
        <f aca="false">VALUE(IF($D404="poš",$C404,0))+VALUE(IF($H404="poš",$G404,0))</f>
        <v>0</v>
      </c>
      <c r="X404" s="148" t="n">
        <f aca="false">VALUE(IF($D404="tel",$C404,0))+VALUE(IF($H404="tel",$G404,0))</f>
        <v>0</v>
      </c>
      <c r="Y404" s="148" t="n">
        <f aca="false">VALUE(IF($D404="dop",$C404,0))+VALUE(IF($H404="dop",$G404,0))</f>
        <v>0</v>
      </c>
      <c r="Z404" s="148" t="n">
        <f aca="false">VALUE(IF($D404="nák",$C404,0))+VALUE(IF($H404="nák",$G404,0))</f>
        <v>0</v>
      </c>
      <c r="AA404" s="148" t="n">
        <f aca="false">VALUE(IF($D404="náj",$C404,0))+VALUE(IF($H404="náj",$G404,0))</f>
        <v>0</v>
      </c>
      <c r="AB404" s="148" t="n">
        <f aca="false">VALUE(IF($D404="půj",$C404,0))+VALUE(IF($H404="půj",$G404,0))</f>
        <v>0</v>
      </c>
      <c r="AC404" s="148" t="n">
        <f aca="false">VALUE(IF($D404="vst",$C404,0))+VALUE(IF($H404="vst",$G404,0))</f>
        <v>0</v>
      </c>
      <c r="AD404" s="148" t="n">
        <f aca="false">VALUE(IF($D404="kop",$C404,0))+VALUE(IF($H404="kop",$G404,0))</f>
        <v>0</v>
      </c>
      <c r="AE404" s="148" t="n">
        <f aca="false">VALUE(IF($D404="osl",$C404,0))+VALUE(IF($H404="osl",$G404,0))</f>
        <v>0</v>
      </c>
      <c r="AF404" s="148" t="n">
        <f aca="false">VALUE(IF($D404="vra",$C404,0))+VALUE(IF($H404="vra",$G404,0))</f>
        <v>0</v>
      </c>
      <c r="AG404" s="148" t="n">
        <f aca="false">VALUE(IF($D404="zho",$C404,0))+VALUE(IF($H404="zho",$G404,0))</f>
        <v>0</v>
      </c>
      <c r="AH404" s="148" t="n">
        <f aca="false">VALUE(IF($D404="zbú",$C404,0))+VALUE(IF($H404="zbú",$G404,0))</f>
        <v>0</v>
      </c>
      <c r="AI404" s="148" t="n">
        <f aca="false">VALUE(IF($D404="pří",$C404,0))+VALUE(IF($H404="pří",$G404,0))</f>
        <v>0</v>
      </c>
      <c r="AJ404" s="148" t="n">
        <f aca="false">VALUE(IF($D404="dot",$C404,0))+VALUE(IF($H404="dot",$G404,0))</f>
        <v>0</v>
      </c>
      <c r="AK404" s="148" t="n">
        <f aca="false">VALUE(IF($D404="opř",$C404,0))+VALUE(IF($H404="opř",$G404,0))</f>
        <v>0</v>
      </c>
      <c r="AL404" s="148" t="n">
        <f aca="false">SUM(P404:AK404)</f>
        <v>0</v>
      </c>
    </row>
    <row r="405" customFormat="false" ht="12.75" hidden="false" customHeight="false" outlineLevel="0" collapsed="false">
      <c r="P405" s="148" t="n">
        <f aca="false">VALUE(IF($D405="vyb",$C405,0))+VALUE(IF($H405="vyb",$G405,0))</f>
        <v>0</v>
      </c>
      <c r="Q405" s="148" t="n">
        <f aca="false">VALUE(IF($D405="mtv",$C405,0))+VALUE(IF($H405="mtv",$G405,0))</f>
        <v>0</v>
      </c>
      <c r="R405" s="148" t="n">
        <f aca="false">VALUE(IF($D405="mat",$C405,0))+VALUE(IF($H405="mat",$G405,0))</f>
        <v>0</v>
      </c>
      <c r="S405" s="148" t="n">
        <f aca="false">VALUE(IF($D405="pot",$C405,0))+VALUE(IF($H405="pot",$G405,0))</f>
        <v>0</v>
      </c>
      <c r="T405" s="148" t="n">
        <f aca="false">VALUE(IF($D405="táb",$C405,0))+VALUE(IF($H405="táb",$G405,0))</f>
        <v>0</v>
      </c>
      <c r="U405" s="148" t="n">
        <f aca="false">VALUE(IF($D405="oma",$C405,0))+VALUE(IF($H405="oma",$G405,0))</f>
        <v>0</v>
      </c>
      <c r="V405" s="148" t="n">
        <f aca="false">VALUE(IF($D405="ces",$C405,0))+VALUE(IF($H405="ces",$G405,0))</f>
        <v>0</v>
      </c>
      <c r="W405" s="148" t="n">
        <f aca="false">VALUE(IF($D405="poš",$C405,0))+VALUE(IF($H405="poš",$G405,0))</f>
        <v>0</v>
      </c>
      <c r="X405" s="148" t="n">
        <f aca="false">VALUE(IF($D405="tel",$C405,0))+VALUE(IF($H405="tel",$G405,0))</f>
        <v>0</v>
      </c>
      <c r="Y405" s="148" t="n">
        <f aca="false">VALUE(IF($D405="dop",$C405,0))+VALUE(IF($H405="dop",$G405,0))</f>
        <v>0</v>
      </c>
      <c r="Z405" s="148" t="n">
        <f aca="false">VALUE(IF($D405="nák",$C405,0))+VALUE(IF($H405="nák",$G405,0))</f>
        <v>0</v>
      </c>
      <c r="AA405" s="148" t="n">
        <f aca="false">VALUE(IF($D405="náj",$C405,0))+VALUE(IF($H405="náj",$G405,0))</f>
        <v>0</v>
      </c>
      <c r="AB405" s="148" t="n">
        <f aca="false">VALUE(IF($D405="půj",$C405,0))+VALUE(IF($H405="půj",$G405,0))</f>
        <v>0</v>
      </c>
      <c r="AC405" s="148" t="n">
        <f aca="false">VALUE(IF($D405="vst",$C405,0))+VALUE(IF($H405="vst",$G405,0))</f>
        <v>0</v>
      </c>
      <c r="AD405" s="148" t="n">
        <f aca="false">VALUE(IF($D405="kop",$C405,0))+VALUE(IF($H405="kop",$G405,0))</f>
        <v>0</v>
      </c>
      <c r="AE405" s="148" t="n">
        <f aca="false">VALUE(IF($D405="osl",$C405,0))+VALUE(IF($H405="osl",$G405,0))</f>
        <v>0</v>
      </c>
      <c r="AF405" s="148" t="n">
        <f aca="false">VALUE(IF($D405="vra",$C405,0))+VALUE(IF($H405="vra",$G405,0))</f>
        <v>0</v>
      </c>
      <c r="AG405" s="148" t="n">
        <f aca="false">VALUE(IF($D405="zho",$C405,0))+VALUE(IF($H405="zho",$G405,0))</f>
        <v>0</v>
      </c>
      <c r="AH405" s="148" t="n">
        <f aca="false">VALUE(IF($D405="zbú",$C405,0))+VALUE(IF($H405="zbú",$G405,0))</f>
        <v>0</v>
      </c>
      <c r="AI405" s="148" t="n">
        <f aca="false">VALUE(IF($D405="pří",$C405,0))+VALUE(IF($H405="pří",$G405,0))</f>
        <v>0</v>
      </c>
      <c r="AJ405" s="148" t="n">
        <f aca="false">VALUE(IF($D405="dot",$C405,0))+VALUE(IF($H405="dot",$G405,0))</f>
        <v>0</v>
      </c>
      <c r="AK405" s="148" t="n">
        <f aca="false">VALUE(IF($D405="opř",$C405,0))+VALUE(IF($H405="opř",$G405,0))</f>
        <v>0</v>
      </c>
      <c r="AL405" s="148" t="n">
        <f aca="false">SUM(P405:AK405)</f>
        <v>0</v>
      </c>
    </row>
    <row r="406" customFormat="false" ht="12.75" hidden="false" customHeight="false" outlineLevel="0" collapsed="false">
      <c r="P406" s="148" t="n">
        <f aca="false">VALUE(IF($D406="vyb",$C406,0))+VALUE(IF($H406="vyb",$G406,0))</f>
        <v>0</v>
      </c>
      <c r="Q406" s="148" t="n">
        <f aca="false">VALUE(IF($D406="mtv",$C406,0))+VALUE(IF($H406="mtv",$G406,0))</f>
        <v>0</v>
      </c>
      <c r="R406" s="148" t="n">
        <f aca="false">VALUE(IF($D406="mat",$C406,0))+VALUE(IF($H406="mat",$G406,0))</f>
        <v>0</v>
      </c>
      <c r="S406" s="148" t="n">
        <f aca="false">VALUE(IF($D406="pot",$C406,0))+VALUE(IF($H406="pot",$G406,0))</f>
        <v>0</v>
      </c>
      <c r="T406" s="148" t="n">
        <f aca="false">VALUE(IF($D406="táb",$C406,0))+VALUE(IF($H406="táb",$G406,0))</f>
        <v>0</v>
      </c>
      <c r="U406" s="148" t="n">
        <f aca="false">VALUE(IF($D406="oma",$C406,0))+VALUE(IF($H406="oma",$G406,0))</f>
        <v>0</v>
      </c>
      <c r="V406" s="148" t="n">
        <f aca="false">VALUE(IF($D406="ces",$C406,0))+VALUE(IF($H406="ces",$G406,0))</f>
        <v>0</v>
      </c>
      <c r="W406" s="148" t="n">
        <f aca="false">VALUE(IF($D406="poš",$C406,0))+VALUE(IF($H406="poš",$G406,0))</f>
        <v>0</v>
      </c>
      <c r="X406" s="148" t="n">
        <f aca="false">VALUE(IF($D406="tel",$C406,0))+VALUE(IF($H406="tel",$G406,0))</f>
        <v>0</v>
      </c>
      <c r="Y406" s="148" t="n">
        <f aca="false">VALUE(IF($D406="dop",$C406,0))+VALUE(IF($H406="dop",$G406,0))</f>
        <v>0</v>
      </c>
      <c r="Z406" s="148" t="n">
        <f aca="false">VALUE(IF($D406="nák",$C406,0))+VALUE(IF($H406="nák",$G406,0))</f>
        <v>0</v>
      </c>
      <c r="AA406" s="148" t="n">
        <f aca="false">VALUE(IF($D406="náj",$C406,0))+VALUE(IF($H406="náj",$G406,0))</f>
        <v>0</v>
      </c>
      <c r="AB406" s="148" t="n">
        <f aca="false">VALUE(IF($D406="půj",$C406,0))+VALUE(IF($H406="půj",$G406,0))</f>
        <v>0</v>
      </c>
      <c r="AC406" s="148" t="n">
        <f aca="false">VALUE(IF($D406="vst",$C406,0))+VALUE(IF($H406="vst",$G406,0))</f>
        <v>0</v>
      </c>
      <c r="AD406" s="148" t="n">
        <f aca="false">VALUE(IF($D406="kop",$C406,0))+VALUE(IF($H406="kop",$G406,0))</f>
        <v>0</v>
      </c>
      <c r="AE406" s="148" t="n">
        <f aca="false">VALUE(IF($D406="osl",$C406,0))+VALUE(IF($H406="osl",$G406,0))</f>
        <v>0</v>
      </c>
      <c r="AF406" s="148" t="n">
        <f aca="false">VALUE(IF($D406="vra",$C406,0))+VALUE(IF($H406="vra",$G406,0))</f>
        <v>0</v>
      </c>
      <c r="AG406" s="148" t="n">
        <f aca="false">VALUE(IF($D406="zho",$C406,0))+VALUE(IF($H406="zho",$G406,0))</f>
        <v>0</v>
      </c>
      <c r="AH406" s="148" t="n">
        <f aca="false">VALUE(IF($D406="zbú",$C406,0))+VALUE(IF($H406="zbú",$G406,0))</f>
        <v>0</v>
      </c>
      <c r="AI406" s="148" t="n">
        <f aca="false">VALUE(IF($D406="pří",$C406,0))+VALUE(IF($H406="pří",$G406,0))</f>
        <v>0</v>
      </c>
      <c r="AJ406" s="148" t="n">
        <f aca="false">VALUE(IF($D406="dot",$C406,0))+VALUE(IF($H406="dot",$G406,0))</f>
        <v>0</v>
      </c>
      <c r="AK406" s="148" t="n">
        <f aca="false">VALUE(IF($D406="opř",$C406,0))+VALUE(IF($H406="opř",$G406,0))</f>
        <v>0</v>
      </c>
      <c r="AL406" s="148" t="n">
        <f aca="false">SUM(P406:AK406)</f>
        <v>0</v>
      </c>
    </row>
    <row r="407" customFormat="false" ht="12.75" hidden="false" customHeight="false" outlineLevel="0" collapsed="false">
      <c r="P407" s="148" t="n">
        <f aca="false">VALUE(IF($D407="vyb",$C407,0))+VALUE(IF($H407="vyb",$G407,0))</f>
        <v>0</v>
      </c>
      <c r="Q407" s="148" t="n">
        <f aca="false">VALUE(IF($D407="mtv",$C407,0))+VALUE(IF($H407="mtv",$G407,0))</f>
        <v>0</v>
      </c>
      <c r="R407" s="148" t="n">
        <f aca="false">VALUE(IF($D407="mat",$C407,0))+VALUE(IF($H407="mat",$G407,0))</f>
        <v>0</v>
      </c>
      <c r="S407" s="148" t="n">
        <f aca="false">VALUE(IF($D407="pot",$C407,0))+VALUE(IF($H407="pot",$G407,0))</f>
        <v>0</v>
      </c>
      <c r="T407" s="148" t="n">
        <f aca="false">VALUE(IF($D407="táb",$C407,0))+VALUE(IF($H407="táb",$G407,0))</f>
        <v>0</v>
      </c>
      <c r="U407" s="148" t="n">
        <f aca="false">VALUE(IF($D407="oma",$C407,0))+VALUE(IF($H407="oma",$G407,0))</f>
        <v>0</v>
      </c>
      <c r="V407" s="148" t="n">
        <f aca="false">VALUE(IF($D407="ces",$C407,0))+VALUE(IF($H407="ces",$G407,0))</f>
        <v>0</v>
      </c>
      <c r="W407" s="148" t="n">
        <f aca="false">VALUE(IF($D407="poš",$C407,0))+VALUE(IF($H407="poš",$G407,0))</f>
        <v>0</v>
      </c>
      <c r="X407" s="148" t="n">
        <f aca="false">VALUE(IF($D407="tel",$C407,0))+VALUE(IF($H407="tel",$G407,0))</f>
        <v>0</v>
      </c>
      <c r="Y407" s="148" t="n">
        <f aca="false">VALUE(IF($D407="dop",$C407,0))+VALUE(IF($H407="dop",$G407,0))</f>
        <v>0</v>
      </c>
      <c r="Z407" s="148" t="n">
        <f aca="false">VALUE(IF($D407="nák",$C407,0))+VALUE(IF($H407="nák",$G407,0))</f>
        <v>0</v>
      </c>
      <c r="AA407" s="148" t="n">
        <f aca="false">VALUE(IF($D407="náj",$C407,0))+VALUE(IF($H407="náj",$G407,0))</f>
        <v>0</v>
      </c>
      <c r="AB407" s="148" t="n">
        <f aca="false">VALUE(IF($D407="půj",$C407,0))+VALUE(IF($H407="půj",$G407,0))</f>
        <v>0</v>
      </c>
      <c r="AC407" s="148" t="n">
        <f aca="false">VALUE(IF($D407="vst",$C407,0))+VALUE(IF($H407="vst",$G407,0))</f>
        <v>0</v>
      </c>
      <c r="AD407" s="148" t="n">
        <f aca="false">VALUE(IF($D407="kop",$C407,0))+VALUE(IF($H407="kop",$G407,0))</f>
        <v>0</v>
      </c>
      <c r="AE407" s="148" t="n">
        <f aca="false">VALUE(IF($D407="osl",$C407,0))+VALUE(IF($H407="osl",$G407,0))</f>
        <v>0</v>
      </c>
      <c r="AF407" s="148" t="n">
        <f aca="false">VALUE(IF($D407="vra",$C407,0))+VALUE(IF($H407="vra",$G407,0))</f>
        <v>0</v>
      </c>
      <c r="AG407" s="148" t="n">
        <f aca="false">VALUE(IF($D407="zho",$C407,0))+VALUE(IF($H407="zho",$G407,0))</f>
        <v>0</v>
      </c>
      <c r="AH407" s="148" t="n">
        <f aca="false">VALUE(IF($D407="zbú",$C407,0))+VALUE(IF($H407="zbú",$G407,0))</f>
        <v>0</v>
      </c>
      <c r="AI407" s="148" t="n">
        <f aca="false">VALUE(IF($D407="pří",$C407,0))+VALUE(IF($H407="pří",$G407,0))</f>
        <v>0</v>
      </c>
      <c r="AJ407" s="148" t="n">
        <f aca="false">VALUE(IF($D407="dot",$C407,0))+VALUE(IF($H407="dot",$G407,0))</f>
        <v>0</v>
      </c>
      <c r="AK407" s="148" t="n">
        <f aca="false">VALUE(IF($D407="opř",$C407,0))+VALUE(IF($H407="opř",$G407,0))</f>
        <v>0</v>
      </c>
      <c r="AL407" s="148" t="n">
        <f aca="false">SUM(P407:AK407)</f>
        <v>0</v>
      </c>
    </row>
    <row r="408" customFormat="false" ht="12.75" hidden="false" customHeight="false" outlineLevel="0" collapsed="false">
      <c r="P408" s="148" t="n">
        <f aca="false">VALUE(IF($D408="vyb",$C408,0))+VALUE(IF($H408="vyb",$G408,0))</f>
        <v>0</v>
      </c>
      <c r="Q408" s="148" t="n">
        <f aca="false">VALUE(IF($D408="mtv",$C408,0))+VALUE(IF($H408="mtv",$G408,0))</f>
        <v>0</v>
      </c>
      <c r="R408" s="148" t="n">
        <f aca="false">VALUE(IF($D408="mat",$C408,0))+VALUE(IF($H408="mat",$G408,0))</f>
        <v>0</v>
      </c>
      <c r="S408" s="148" t="n">
        <f aca="false">VALUE(IF($D408="pot",$C408,0))+VALUE(IF($H408="pot",$G408,0))</f>
        <v>0</v>
      </c>
      <c r="T408" s="148" t="n">
        <f aca="false">VALUE(IF($D408="táb",$C408,0))+VALUE(IF($H408="táb",$G408,0))</f>
        <v>0</v>
      </c>
      <c r="U408" s="148" t="n">
        <f aca="false">VALUE(IF($D408="oma",$C408,0))+VALUE(IF($H408="oma",$G408,0))</f>
        <v>0</v>
      </c>
      <c r="V408" s="148" t="n">
        <f aca="false">VALUE(IF($D408="ces",$C408,0))+VALUE(IF($H408="ces",$G408,0))</f>
        <v>0</v>
      </c>
      <c r="W408" s="148" t="n">
        <f aca="false">VALUE(IF($D408="poš",$C408,0))+VALUE(IF($H408="poš",$G408,0))</f>
        <v>0</v>
      </c>
      <c r="X408" s="148" t="n">
        <f aca="false">VALUE(IF($D408="tel",$C408,0))+VALUE(IF($H408="tel",$G408,0))</f>
        <v>0</v>
      </c>
      <c r="Y408" s="148" t="n">
        <f aca="false">VALUE(IF($D408="dop",$C408,0))+VALUE(IF($H408="dop",$G408,0))</f>
        <v>0</v>
      </c>
      <c r="Z408" s="148" t="n">
        <f aca="false">VALUE(IF($D408="nák",$C408,0))+VALUE(IF($H408="nák",$G408,0))</f>
        <v>0</v>
      </c>
      <c r="AA408" s="148" t="n">
        <f aca="false">VALUE(IF($D408="náj",$C408,0))+VALUE(IF($H408="náj",$G408,0))</f>
        <v>0</v>
      </c>
      <c r="AB408" s="148" t="n">
        <f aca="false">VALUE(IF($D408="půj",$C408,0))+VALUE(IF($H408="půj",$G408,0))</f>
        <v>0</v>
      </c>
      <c r="AC408" s="148" t="n">
        <f aca="false">VALUE(IF($D408="vst",$C408,0))+VALUE(IF($H408="vst",$G408,0))</f>
        <v>0</v>
      </c>
      <c r="AD408" s="148" t="n">
        <f aca="false">VALUE(IF($D408="kop",$C408,0))+VALUE(IF($H408="kop",$G408,0))</f>
        <v>0</v>
      </c>
      <c r="AE408" s="148" t="n">
        <f aca="false">VALUE(IF($D408="osl",$C408,0))+VALUE(IF($H408="osl",$G408,0))</f>
        <v>0</v>
      </c>
      <c r="AF408" s="148" t="n">
        <f aca="false">VALUE(IF($D408="vra",$C408,0))+VALUE(IF($H408="vra",$G408,0))</f>
        <v>0</v>
      </c>
      <c r="AG408" s="148" t="n">
        <f aca="false">VALUE(IF($D408="zho",$C408,0))+VALUE(IF($H408="zho",$G408,0))</f>
        <v>0</v>
      </c>
      <c r="AH408" s="148" t="n">
        <f aca="false">VALUE(IF($D408="zbú",$C408,0))+VALUE(IF($H408="zbú",$G408,0))</f>
        <v>0</v>
      </c>
      <c r="AI408" s="148" t="n">
        <f aca="false">VALUE(IF($D408="pří",$C408,0))+VALUE(IF($H408="pří",$G408,0))</f>
        <v>0</v>
      </c>
      <c r="AJ408" s="148" t="n">
        <f aca="false">VALUE(IF($D408="dot",$C408,0))+VALUE(IF($H408="dot",$G408,0))</f>
        <v>0</v>
      </c>
      <c r="AK408" s="148" t="n">
        <f aca="false">VALUE(IF($D408="opř",$C408,0))+VALUE(IF($H408="opř",$G408,0))</f>
        <v>0</v>
      </c>
      <c r="AL408" s="148" t="n">
        <f aca="false">SUM(P408:AK408)</f>
        <v>0</v>
      </c>
    </row>
    <row r="409" customFormat="false" ht="12.75" hidden="false" customHeight="false" outlineLevel="0" collapsed="false">
      <c r="P409" s="148" t="n">
        <f aca="false">VALUE(IF($D409="vyb",$C409,0))+VALUE(IF($H409="vyb",$G409,0))</f>
        <v>0</v>
      </c>
      <c r="Q409" s="148" t="n">
        <f aca="false">VALUE(IF($D409="mtv",$C409,0))+VALUE(IF($H409="mtv",$G409,0))</f>
        <v>0</v>
      </c>
      <c r="R409" s="148" t="n">
        <f aca="false">VALUE(IF($D409="mat",$C409,0))+VALUE(IF($H409="mat",$G409,0))</f>
        <v>0</v>
      </c>
      <c r="S409" s="148" t="n">
        <f aca="false">VALUE(IF($D409="pot",$C409,0))+VALUE(IF($H409="pot",$G409,0))</f>
        <v>0</v>
      </c>
      <c r="T409" s="148" t="n">
        <f aca="false">VALUE(IF($D409="táb",$C409,0))+VALUE(IF($H409="táb",$G409,0))</f>
        <v>0</v>
      </c>
      <c r="U409" s="148" t="n">
        <f aca="false">VALUE(IF($D409="oma",$C409,0))+VALUE(IF($H409="oma",$G409,0))</f>
        <v>0</v>
      </c>
      <c r="V409" s="148" t="n">
        <f aca="false">VALUE(IF($D409="ces",$C409,0))+VALUE(IF($H409="ces",$G409,0))</f>
        <v>0</v>
      </c>
      <c r="W409" s="148" t="n">
        <f aca="false">VALUE(IF($D409="poš",$C409,0))+VALUE(IF($H409="poš",$G409,0))</f>
        <v>0</v>
      </c>
      <c r="X409" s="148" t="n">
        <f aca="false">VALUE(IF($D409="tel",$C409,0))+VALUE(IF($H409="tel",$G409,0))</f>
        <v>0</v>
      </c>
      <c r="Y409" s="148" t="n">
        <f aca="false">VALUE(IF($D409="dop",$C409,0))+VALUE(IF($H409="dop",$G409,0))</f>
        <v>0</v>
      </c>
      <c r="Z409" s="148" t="n">
        <f aca="false">VALUE(IF($D409="nák",$C409,0))+VALUE(IF($H409="nák",$G409,0))</f>
        <v>0</v>
      </c>
      <c r="AA409" s="148" t="n">
        <f aca="false">VALUE(IF($D409="náj",$C409,0))+VALUE(IF($H409="náj",$G409,0))</f>
        <v>0</v>
      </c>
      <c r="AB409" s="148" t="n">
        <f aca="false">VALUE(IF($D409="půj",$C409,0))+VALUE(IF($H409="půj",$G409,0))</f>
        <v>0</v>
      </c>
      <c r="AC409" s="148" t="n">
        <f aca="false">VALUE(IF($D409="vst",$C409,0))+VALUE(IF($H409="vst",$G409,0))</f>
        <v>0</v>
      </c>
      <c r="AD409" s="148" t="n">
        <f aca="false">VALUE(IF($D409="kop",$C409,0))+VALUE(IF($H409="kop",$G409,0))</f>
        <v>0</v>
      </c>
      <c r="AE409" s="148" t="n">
        <f aca="false">VALUE(IF($D409="osl",$C409,0))+VALUE(IF($H409="osl",$G409,0))</f>
        <v>0</v>
      </c>
      <c r="AF409" s="148" t="n">
        <f aca="false">VALUE(IF($D409="vra",$C409,0))+VALUE(IF($H409="vra",$G409,0))</f>
        <v>0</v>
      </c>
      <c r="AG409" s="148" t="n">
        <f aca="false">VALUE(IF($D409="zho",$C409,0))+VALUE(IF($H409="zho",$G409,0))</f>
        <v>0</v>
      </c>
      <c r="AH409" s="148" t="n">
        <f aca="false">VALUE(IF($D409="zbú",$C409,0))+VALUE(IF($H409="zbú",$G409,0))</f>
        <v>0</v>
      </c>
      <c r="AI409" s="148" t="n">
        <f aca="false">VALUE(IF($D409="pří",$C409,0))+VALUE(IF($H409="pří",$G409,0))</f>
        <v>0</v>
      </c>
      <c r="AJ409" s="148" t="n">
        <f aca="false">VALUE(IF($D409="dot",$C409,0))+VALUE(IF($H409="dot",$G409,0))</f>
        <v>0</v>
      </c>
      <c r="AK409" s="148" t="n">
        <f aca="false">VALUE(IF($D409="opř",$C409,0))+VALUE(IF($H409="opř",$G409,0))</f>
        <v>0</v>
      </c>
      <c r="AL409" s="148" t="n">
        <f aca="false">SUM(P409:AK409)</f>
        <v>0</v>
      </c>
    </row>
    <row r="410" customFormat="false" ht="12.75" hidden="false" customHeight="false" outlineLevel="0" collapsed="false">
      <c r="P410" s="148" t="n">
        <f aca="false">VALUE(IF($D410="vyb",$C410,0))+VALUE(IF($H410="vyb",$G410,0))</f>
        <v>0</v>
      </c>
      <c r="Q410" s="148" t="n">
        <f aca="false">VALUE(IF($D410="mtv",$C410,0))+VALUE(IF($H410="mtv",$G410,0))</f>
        <v>0</v>
      </c>
      <c r="R410" s="148" t="n">
        <f aca="false">VALUE(IF($D410="mat",$C410,0))+VALUE(IF($H410="mat",$G410,0))</f>
        <v>0</v>
      </c>
      <c r="S410" s="148" t="n">
        <f aca="false">VALUE(IF($D410="pot",$C410,0))+VALUE(IF($H410="pot",$G410,0))</f>
        <v>0</v>
      </c>
      <c r="T410" s="148" t="n">
        <f aca="false">VALUE(IF($D410="táb",$C410,0))+VALUE(IF($H410="táb",$G410,0))</f>
        <v>0</v>
      </c>
      <c r="U410" s="148" t="n">
        <f aca="false">VALUE(IF($D410="oma",$C410,0))+VALUE(IF($H410="oma",$G410,0))</f>
        <v>0</v>
      </c>
      <c r="V410" s="148" t="n">
        <f aca="false">VALUE(IF($D410="ces",$C410,0))+VALUE(IF($H410="ces",$G410,0))</f>
        <v>0</v>
      </c>
      <c r="W410" s="148" t="n">
        <f aca="false">VALUE(IF($D410="poš",$C410,0))+VALUE(IF($H410="poš",$G410,0))</f>
        <v>0</v>
      </c>
      <c r="X410" s="148" t="n">
        <f aca="false">VALUE(IF($D410="tel",$C410,0))+VALUE(IF($H410="tel",$G410,0))</f>
        <v>0</v>
      </c>
      <c r="Y410" s="148" t="n">
        <f aca="false">VALUE(IF($D410="dop",$C410,0))+VALUE(IF($H410="dop",$G410,0))</f>
        <v>0</v>
      </c>
      <c r="Z410" s="148" t="n">
        <f aca="false">VALUE(IF($D410="nák",$C410,0))+VALUE(IF($H410="nák",$G410,0))</f>
        <v>0</v>
      </c>
      <c r="AA410" s="148" t="n">
        <f aca="false">VALUE(IF($D410="náj",$C410,0))+VALUE(IF($H410="náj",$G410,0))</f>
        <v>0</v>
      </c>
      <c r="AB410" s="148" t="n">
        <f aca="false">VALUE(IF($D410="půj",$C410,0))+VALUE(IF($H410="půj",$G410,0))</f>
        <v>0</v>
      </c>
      <c r="AC410" s="148" t="n">
        <f aca="false">VALUE(IF($D410="vst",$C410,0))+VALUE(IF($H410="vst",$G410,0))</f>
        <v>0</v>
      </c>
      <c r="AD410" s="148" t="n">
        <f aca="false">VALUE(IF($D410="kop",$C410,0))+VALUE(IF($H410="kop",$G410,0))</f>
        <v>0</v>
      </c>
      <c r="AE410" s="148" t="n">
        <f aca="false">VALUE(IF($D410="osl",$C410,0))+VALUE(IF($H410="osl",$G410,0))</f>
        <v>0</v>
      </c>
      <c r="AF410" s="148" t="n">
        <f aca="false">VALUE(IF($D410="vra",$C410,0))+VALUE(IF($H410="vra",$G410,0))</f>
        <v>0</v>
      </c>
      <c r="AG410" s="148" t="n">
        <f aca="false">VALUE(IF($D410="zho",$C410,0))+VALUE(IF($H410="zho",$G410,0))</f>
        <v>0</v>
      </c>
      <c r="AH410" s="148" t="n">
        <f aca="false">VALUE(IF($D410="zbú",$C410,0))+VALUE(IF($H410="zbú",$G410,0))</f>
        <v>0</v>
      </c>
      <c r="AI410" s="148" t="n">
        <f aca="false">VALUE(IF($D410="pří",$C410,0))+VALUE(IF($H410="pří",$G410,0))</f>
        <v>0</v>
      </c>
      <c r="AJ410" s="148" t="n">
        <f aca="false">VALUE(IF($D410="dot",$C410,0))+VALUE(IF($H410="dot",$G410,0))</f>
        <v>0</v>
      </c>
      <c r="AK410" s="148" t="n">
        <f aca="false">VALUE(IF($D410="opř",$C410,0))+VALUE(IF($H410="opř",$G410,0))</f>
        <v>0</v>
      </c>
      <c r="AL410" s="148" t="n">
        <f aca="false">SUM(P410:AK410)</f>
        <v>0</v>
      </c>
    </row>
    <row r="411" customFormat="false" ht="12.75" hidden="false" customHeight="false" outlineLevel="0" collapsed="false">
      <c r="P411" s="148" t="n">
        <f aca="false">VALUE(IF($D411="vyb",$C411,0))+VALUE(IF($H411="vyb",$G411,0))</f>
        <v>0</v>
      </c>
      <c r="Q411" s="148" t="n">
        <f aca="false">VALUE(IF($D411="mtv",$C411,0))+VALUE(IF($H411="mtv",$G411,0))</f>
        <v>0</v>
      </c>
      <c r="R411" s="148" t="n">
        <f aca="false">VALUE(IF($D411="mat",$C411,0))+VALUE(IF($H411="mat",$G411,0))</f>
        <v>0</v>
      </c>
      <c r="S411" s="148" t="n">
        <f aca="false">VALUE(IF($D411="pot",$C411,0))+VALUE(IF($H411="pot",$G411,0))</f>
        <v>0</v>
      </c>
      <c r="T411" s="148" t="n">
        <f aca="false">VALUE(IF($D411="táb",$C411,0))+VALUE(IF($H411="táb",$G411,0))</f>
        <v>0</v>
      </c>
      <c r="U411" s="148" t="n">
        <f aca="false">VALUE(IF($D411="oma",$C411,0))+VALUE(IF($H411="oma",$G411,0))</f>
        <v>0</v>
      </c>
      <c r="V411" s="148" t="n">
        <f aca="false">VALUE(IF($D411="ces",$C411,0))+VALUE(IF($H411="ces",$G411,0))</f>
        <v>0</v>
      </c>
      <c r="W411" s="148" t="n">
        <f aca="false">VALUE(IF($D411="poš",$C411,0))+VALUE(IF($H411="poš",$G411,0))</f>
        <v>0</v>
      </c>
      <c r="X411" s="148" t="n">
        <f aca="false">VALUE(IF($D411="tel",$C411,0))+VALUE(IF($H411="tel",$G411,0))</f>
        <v>0</v>
      </c>
      <c r="Y411" s="148" t="n">
        <f aca="false">VALUE(IF($D411="dop",$C411,0))+VALUE(IF($H411="dop",$G411,0))</f>
        <v>0</v>
      </c>
      <c r="Z411" s="148" t="n">
        <f aca="false">VALUE(IF($D411="nák",$C411,0))+VALUE(IF($H411="nák",$G411,0))</f>
        <v>0</v>
      </c>
      <c r="AA411" s="148" t="n">
        <f aca="false">VALUE(IF($D411="náj",$C411,0))+VALUE(IF($H411="náj",$G411,0))</f>
        <v>0</v>
      </c>
      <c r="AB411" s="148" t="n">
        <f aca="false">VALUE(IF($D411="půj",$C411,0))+VALUE(IF($H411="půj",$G411,0))</f>
        <v>0</v>
      </c>
      <c r="AC411" s="148" t="n">
        <f aca="false">VALUE(IF($D411="vst",$C411,0))+VALUE(IF($H411="vst",$G411,0))</f>
        <v>0</v>
      </c>
      <c r="AD411" s="148" t="n">
        <f aca="false">VALUE(IF($D411="kop",$C411,0))+VALUE(IF($H411="kop",$G411,0))</f>
        <v>0</v>
      </c>
      <c r="AE411" s="148" t="n">
        <f aca="false">VALUE(IF($D411="osl",$C411,0))+VALUE(IF($H411="osl",$G411,0))</f>
        <v>0</v>
      </c>
      <c r="AF411" s="148" t="n">
        <f aca="false">VALUE(IF($D411="vra",$C411,0))+VALUE(IF($H411="vra",$G411,0))</f>
        <v>0</v>
      </c>
      <c r="AG411" s="148" t="n">
        <f aca="false">VALUE(IF($D411="zho",$C411,0))+VALUE(IF($H411="zho",$G411,0))</f>
        <v>0</v>
      </c>
      <c r="AH411" s="148" t="n">
        <f aca="false">VALUE(IF($D411="zbú",$C411,0))+VALUE(IF($H411="zbú",$G411,0))</f>
        <v>0</v>
      </c>
      <c r="AI411" s="148" t="n">
        <f aca="false">VALUE(IF($D411="pří",$C411,0))+VALUE(IF($H411="pří",$G411,0))</f>
        <v>0</v>
      </c>
      <c r="AJ411" s="148" t="n">
        <f aca="false">VALUE(IF($D411="dot",$C411,0))+VALUE(IF($H411="dot",$G411,0))</f>
        <v>0</v>
      </c>
      <c r="AK411" s="148" t="n">
        <f aca="false">VALUE(IF($D411="opř",$C411,0))+VALUE(IF($H411="opř",$G411,0))</f>
        <v>0</v>
      </c>
      <c r="AL411" s="148" t="n">
        <f aca="false">SUM(P411:AK411)</f>
        <v>0</v>
      </c>
    </row>
    <row r="412" customFormat="false" ht="12.75" hidden="false" customHeight="false" outlineLevel="0" collapsed="false">
      <c r="P412" s="148" t="n">
        <f aca="false">VALUE(IF($D412="vyb",$C412,0))+VALUE(IF($H412="vyb",$G412,0))</f>
        <v>0</v>
      </c>
      <c r="Q412" s="148" t="n">
        <f aca="false">VALUE(IF($D412="mtv",$C412,0))+VALUE(IF($H412="mtv",$G412,0))</f>
        <v>0</v>
      </c>
      <c r="R412" s="148" t="n">
        <f aca="false">VALUE(IF($D412="mat",$C412,0))+VALUE(IF($H412="mat",$G412,0))</f>
        <v>0</v>
      </c>
      <c r="S412" s="148" t="n">
        <f aca="false">VALUE(IF($D412="pot",$C412,0))+VALUE(IF($H412="pot",$G412,0))</f>
        <v>0</v>
      </c>
      <c r="T412" s="148" t="n">
        <f aca="false">VALUE(IF($D412="táb",$C412,0))+VALUE(IF($H412="táb",$G412,0))</f>
        <v>0</v>
      </c>
      <c r="U412" s="148" t="n">
        <f aca="false">VALUE(IF($D412="oma",$C412,0))+VALUE(IF($H412="oma",$G412,0))</f>
        <v>0</v>
      </c>
      <c r="V412" s="148" t="n">
        <f aca="false">VALUE(IF($D412="ces",$C412,0))+VALUE(IF($H412="ces",$G412,0))</f>
        <v>0</v>
      </c>
      <c r="W412" s="148" t="n">
        <f aca="false">VALUE(IF($D412="poš",$C412,0))+VALUE(IF($H412="poš",$G412,0))</f>
        <v>0</v>
      </c>
      <c r="X412" s="148" t="n">
        <f aca="false">VALUE(IF($D412="tel",$C412,0))+VALUE(IF($H412="tel",$G412,0))</f>
        <v>0</v>
      </c>
      <c r="Y412" s="148" t="n">
        <f aca="false">VALUE(IF($D412="dop",$C412,0))+VALUE(IF($H412="dop",$G412,0))</f>
        <v>0</v>
      </c>
      <c r="Z412" s="148" t="n">
        <f aca="false">VALUE(IF($D412="nák",$C412,0))+VALUE(IF($H412="nák",$G412,0))</f>
        <v>0</v>
      </c>
      <c r="AA412" s="148" t="n">
        <f aca="false">VALUE(IF($D412="náj",$C412,0))+VALUE(IF($H412="náj",$G412,0))</f>
        <v>0</v>
      </c>
      <c r="AB412" s="148" t="n">
        <f aca="false">VALUE(IF($D412="půj",$C412,0))+VALUE(IF($H412="půj",$G412,0))</f>
        <v>0</v>
      </c>
      <c r="AC412" s="148" t="n">
        <f aca="false">VALUE(IF($D412="vst",$C412,0))+VALUE(IF($H412="vst",$G412,0))</f>
        <v>0</v>
      </c>
      <c r="AD412" s="148" t="n">
        <f aca="false">VALUE(IF($D412="kop",$C412,0))+VALUE(IF($H412="kop",$G412,0))</f>
        <v>0</v>
      </c>
      <c r="AE412" s="148" t="n">
        <f aca="false">VALUE(IF($D412="osl",$C412,0))+VALUE(IF($H412="osl",$G412,0))</f>
        <v>0</v>
      </c>
      <c r="AF412" s="148" t="n">
        <f aca="false">VALUE(IF($D412="vra",$C412,0))+VALUE(IF($H412="vra",$G412,0))</f>
        <v>0</v>
      </c>
      <c r="AG412" s="148" t="n">
        <f aca="false">VALUE(IF($D412="zho",$C412,0))+VALUE(IF($H412="zho",$G412,0))</f>
        <v>0</v>
      </c>
      <c r="AH412" s="148" t="n">
        <f aca="false">VALUE(IF($D412="zbú",$C412,0))+VALUE(IF($H412="zbú",$G412,0))</f>
        <v>0</v>
      </c>
      <c r="AI412" s="148" t="n">
        <f aca="false">VALUE(IF($D412="pří",$C412,0))+VALUE(IF($H412="pří",$G412,0))</f>
        <v>0</v>
      </c>
      <c r="AJ412" s="148" t="n">
        <f aca="false">VALUE(IF($D412="dot",$C412,0))+VALUE(IF($H412="dot",$G412,0))</f>
        <v>0</v>
      </c>
      <c r="AK412" s="148" t="n">
        <f aca="false">VALUE(IF($D412="opř",$C412,0))+VALUE(IF($H412="opř",$G412,0))</f>
        <v>0</v>
      </c>
      <c r="AL412" s="148" t="n">
        <f aca="false">SUM(P412:AK412)</f>
        <v>0</v>
      </c>
    </row>
    <row r="413" customFormat="false" ht="12.75" hidden="false" customHeight="false" outlineLevel="0" collapsed="false">
      <c r="P413" s="148" t="n">
        <f aca="false">VALUE(IF($D413="vyb",$C413,0))+VALUE(IF($H413="vyb",$G413,0))</f>
        <v>0</v>
      </c>
      <c r="Q413" s="148" t="n">
        <f aca="false">VALUE(IF($D413="mtv",$C413,0))+VALUE(IF($H413="mtv",$G413,0))</f>
        <v>0</v>
      </c>
      <c r="R413" s="148" t="n">
        <f aca="false">VALUE(IF($D413="mat",$C413,0))+VALUE(IF($H413="mat",$G413,0))</f>
        <v>0</v>
      </c>
      <c r="S413" s="148" t="n">
        <f aca="false">VALUE(IF($D413="pot",$C413,0))+VALUE(IF($H413="pot",$G413,0))</f>
        <v>0</v>
      </c>
      <c r="T413" s="148" t="n">
        <f aca="false">VALUE(IF($D413="táb",$C413,0))+VALUE(IF($H413="táb",$G413,0))</f>
        <v>0</v>
      </c>
      <c r="U413" s="148" t="n">
        <f aca="false">VALUE(IF($D413="oma",$C413,0))+VALUE(IF($H413="oma",$G413,0))</f>
        <v>0</v>
      </c>
      <c r="V413" s="148" t="n">
        <f aca="false">VALUE(IF($D413="ces",$C413,0))+VALUE(IF($H413="ces",$G413,0))</f>
        <v>0</v>
      </c>
      <c r="W413" s="148" t="n">
        <f aca="false">VALUE(IF($D413="poš",$C413,0))+VALUE(IF($H413="poš",$G413,0))</f>
        <v>0</v>
      </c>
      <c r="X413" s="148" t="n">
        <f aca="false">VALUE(IF($D413="tel",$C413,0))+VALUE(IF($H413="tel",$G413,0))</f>
        <v>0</v>
      </c>
      <c r="Y413" s="148" t="n">
        <f aca="false">VALUE(IF($D413="dop",$C413,0))+VALUE(IF($H413="dop",$G413,0))</f>
        <v>0</v>
      </c>
      <c r="Z413" s="148" t="n">
        <f aca="false">VALUE(IF($D413="nák",$C413,0))+VALUE(IF($H413="nák",$G413,0))</f>
        <v>0</v>
      </c>
      <c r="AA413" s="148" t="n">
        <f aca="false">VALUE(IF($D413="náj",$C413,0))+VALUE(IF($H413="náj",$G413,0))</f>
        <v>0</v>
      </c>
      <c r="AB413" s="148" t="n">
        <f aca="false">VALUE(IF($D413="půj",$C413,0))+VALUE(IF($H413="půj",$G413,0))</f>
        <v>0</v>
      </c>
      <c r="AC413" s="148" t="n">
        <f aca="false">VALUE(IF($D413="vst",$C413,0))+VALUE(IF($H413="vst",$G413,0))</f>
        <v>0</v>
      </c>
      <c r="AD413" s="148" t="n">
        <f aca="false">VALUE(IF($D413="kop",$C413,0))+VALUE(IF($H413="kop",$G413,0))</f>
        <v>0</v>
      </c>
      <c r="AE413" s="148" t="n">
        <f aca="false">VALUE(IF($D413="osl",$C413,0))+VALUE(IF($H413="osl",$G413,0))</f>
        <v>0</v>
      </c>
      <c r="AF413" s="148" t="n">
        <f aca="false">VALUE(IF($D413="vra",$C413,0))+VALUE(IF($H413="vra",$G413,0))</f>
        <v>0</v>
      </c>
      <c r="AG413" s="148" t="n">
        <f aca="false">VALUE(IF($D413="zho",$C413,0))+VALUE(IF($H413="zho",$G413,0))</f>
        <v>0</v>
      </c>
      <c r="AH413" s="148" t="n">
        <f aca="false">VALUE(IF($D413="zbú",$C413,0))+VALUE(IF($H413="zbú",$G413,0))</f>
        <v>0</v>
      </c>
      <c r="AI413" s="148" t="n">
        <f aca="false">VALUE(IF($D413="pří",$C413,0))+VALUE(IF($H413="pří",$G413,0))</f>
        <v>0</v>
      </c>
      <c r="AJ413" s="148" t="n">
        <f aca="false">VALUE(IF($D413="dot",$C413,0))+VALUE(IF($H413="dot",$G413,0))</f>
        <v>0</v>
      </c>
      <c r="AK413" s="148" t="n">
        <f aca="false">VALUE(IF($D413="opř",$C413,0))+VALUE(IF($H413="opř",$G413,0))</f>
        <v>0</v>
      </c>
      <c r="AL413" s="148" t="n">
        <f aca="false">SUM(P413:AK413)</f>
        <v>0</v>
      </c>
    </row>
    <row r="414" customFormat="false" ht="12.75" hidden="false" customHeight="false" outlineLevel="0" collapsed="false">
      <c r="P414" s="148" t="n">
        <f aca="false">VALUE(IF($D414="vyb",$C414,0))+VALUE(IF($H414="vyb",$G414,0))</f>
        <v>0</v>
      </c>
      <c r="Q414" s="148" t="n">
        <f aca="false">VALUE(IF($D414="mtv",$C414,0))+VALUE(IF($H414="mtv",$G414,0))</f>
        <v>0</v>
      </c>
      <c r="R414" s="148" t="n">
        <f aca="false">VALUE(IF($D414="mat",$C414,0))+VALUE(IF($H414="mat",$G414,0))</f>
        <v>0</v>
      </c>
      <c r="S414" s="148" t="n">
        <f aca="false">VALUE(IF($D414="pot",$C414,0))+VALUE(IF($H414="pot",$G414,0))</f>
        <v>0</v>
      </c>
      <c r="T414" s="148" t="n">
        <f aca="false">VALUE(IF($D414="táb",$C414,0))+VALUE(IF($H414="táb",$G414,0))</f>
        <v>0</v>
      </c>
      <c r="U414" s="148" t="n">
        <f aca="false">VALUE(IF($D414="oma",$C414,0))+VALUE(IF($H414="oma",$G414,0))</f>
        <v>0</v>
      </c>
      <c r="V414" s="148" t="n">
        <f aca="false">VALUE(IF($D414="ces",$C414,0))+VALUE(IF($H414="ces",$G414,0))</f>
        <v>0</v>
      </c>
      <c r="W414" s="148" t="n">
        <f aca="false">VALUE(IF($D414="poš",$C414,0))+VALUE(IF($H414="poš",$G414,0))</f>
        <v>0</v>
      </c>
      <c r="X414" s="148" t="n">
        <f aca="false">VALUE(IF($D414="tel",$C414,0))+VALUE(IF($H414="tel",$G414,0))</f>
        <v>0</v>
      </c>
      <c r="Y414" s="148" t="n">
        <f aca="false">VALUE(IF($D414="dop",$C414,0))+VALUE(IF($H414="dop",$G414,0))</f>
        <v>0</v>
      </c>
      <c r="Z414" s="148" t="n">
        <f aca="false">VALUE(IF($D414="nák",$C414,0))+VALUE(IF($H414="nák",$G414,0))</f>
        <v>0</v>
      </c>
      <c r="AA414" s="148" t="n">
        <f aca="false">VALUE(IF($D414="náj",$C414,0))+VALUE(IF($H414="náj",$G414,0))</f>
        <v>0</v>
      </c>
      <c r="AB414" s="148" t="n">
        <f aca="false">VALUE(IF($D414="půj",$C414,0))+VALUE(IF($H414="půj",$G414,0))</f>
        <v>0</v>
      </c>
      <c r="AC414" s="148" t="n">
        <f aca="false">VALUE(IF($D414="vst",$C414,0))+VALUE(IF($H414="vst",$G414,0))</f>
        <v>0</v>
      </c>
      <c r="AD414" s="148" t="n">
        <f aca="false">VALUE(IF($D414="kop",$C414,0))+VALUE(IF($H414="kop",$G414,0))</f>
        <v>0</v>
      </c>
      <c r="AE414" s="148" t="n">
        <f aca="false">VALUE(IF($D414="osl",$C414,0))+VALUE(IF($H414="osl",$G414,0))</f>
        <v>0</v>
      </c>
      <c r="AF414" s="148" t="n">
        <f aca="false">VALUE(IF($D414="vra",$C414,0))+VALUE(IF($H414="vra",$G414,0))</f>
        <v>0</v>
      </c>
      <c r="AG414" s="148" t="n">
        <f aca="false">VALUE(IF($D414="zho",$C414,0))+VALUE(IF($H414="zho",$G414,0))</f>
        <v>0</v>
      </c>
      <c r="AH414" s="148" t="n">
        <f aca="false">VALUE(IF($D414="zbú",$C414,0))+VALUE(IF($H414="zbú",$G414,0))</f>
        <v>0</v>
      </c>
      <c r="AI414" s="148" t="n">
        <f aca="false">VALUE(IF($D414="pří",$C414,0))+VALUE(IF($H414="pří",$G414,0))</f>
        <v>0</v>
      </c>
      <c r="AJ414" s="148" t="n">
        <f aca="false">VALUE(IF($D414="dot",$C414,0))+VALUE(IF($H414="dot",$G414,0))</f>
        <v>0</v>
      </c>
      <c r="AK414" s="148" t="n">
        <f aca="false">VALUE(IF($D414="opř",$C414,0))+VALUE(IF($H414="opř",$G414,0))</f>
        <v>0</v>
      </c>
      <c r="AL414" s="148" t="n">
        <f aca="false">SUM(P414:AK414)</f>
        <v>0</v>
      </c>
    </row>
    <row r="415" customFormat="false" ht="12.75" hidden="false" customHeight="false" outlineLevel="0" collapsed="false">
      <c r="P415" s="148" t="n">
        <f aca="false">VALUE(IF($D415="vyb",$C415,0))+VALUE(IF($H415="vyb",$G415,0))</f>
        <v>0</v>
      </c>
      <c r="Q415" s="148" t="n">
        <f aca="false">VALUE(IF($D415="mtv",$C415,0))+VALUE(IF($H415="mtv",$G415,0))</f>
        <v>0</v>
      </c>
      <c r="R415" s="148" t="n">
        <f aca="false">VALUE(IF($D415="mat",$C415,0))+VALUE(IF($H415="mat",$G415,0))</f>
        <v>0</v>
      </c>
      <c r="S415" s="148" t="n">
        <f aca="false">VALUE(IF($D415="pot",$C415,0))+VALUE(IF($H415="pot",$G415,0))</f>
        <v>0</v>
      </c>
      <c r="T415" s="148" t="n">
        <f aca="false">VALUE(IF($D415="táb",$C415,0))+VALUE(IF($H415="táb",$G415,0))</f>
        <v>0</v>
      </c>
      <c r="U415" s="148" t="n">
        <f aca="false">VALUE(IF($D415="oma",$C415,0))+VALUE(IF($H415="oma",$G415,0))</f>
        <v>0</v>
      </c>
      <c r="V415" s="148" t="n">
        <f aca="false">VALUE(IF($D415="ces",$C415,0))+VALUE(IF($H415="ces",$G415,0))</f>
        <v>0</v>
      </c>
      <c r="W415" s="148" t="n">
        <f aca="false">VALUE(IF($D415="poš",$C415,0))+VALUE(IF($H415="poš",$G415,0))</f>
        <v>0</v>
      </c>
      <c r="X415" s="148" t="n">
        <f aca="false">VALUE(IF($D415="tel",$C415,0))+VALUE(IF($H415="tel",$G415,0))</f>
        <v>0</v>
      </c>
      <c r="Y415" s="148" t="n">
        <f aca="false">VALUE(IF($D415="dop",$C415,0))+VALUE(IF($H415="dop",$G415,0))</f>
        <v>0</v>
      </c>
      <c r="Z415" s="148" t="n">
        <f aca="false">VALUE(IF($D415="nák",$C415,0))+VALUE(IF($H415="nák",$G415,0))</f>
        <v>0</v>
      </c>
      <c r="AA415" s="148" t="n">
        <f aca="false">VALUE(IF($D415="náj",$C415,0))+VALUE(IF($H415="náj",$G415,0))</f>
        <v>0</v>
      </c>
      <c r="AB415" s="148" t="n">
        <f aca="false">VALUE(IF($D415="půj",$C415,0))+VALUE(IF($H415="půj",$G415,0))</f>
        <v>0</v>
      </c>
      <c r="AC415" s="148" t="n">
        <f aca="false">VALUE(IF($D415="vst",$C415,0))+VALUE(IF($H415="vst",$G415,0))</f>
        <v>0</v>
      </c>
      <c r="AD415" s="148" t="n">
        <f aca="false">VALUE(IF($D415="kop",$C415,0))+VALUE(IF($H415="kop",$G415,0))</f>
        <v>0</v>
      </c>
      <c r="AE415" s="148" t="n">
        <f aca="false">VALUE(IF($D415="osl",$C415,0))+VALUE(IF($H415="osl",$G415,0))</f>
        <v>0</v>
      </c>
      <c r="AF415" s="148" t="n">
        <f aca="false">VALUE(IF($D415="vra",$C415,0))+VALUE(IF($H415="vra",$G415,0))</f>
        <v>0</v>
      </c>
      <c r="AG415" s="148" t="n">
        <f aca="false">VALUE(IF($D415="zho",$C415,0))+VALUE(IF($H415="zho",$G415,0))</f>
        <v>0</v>
      </c>
      <c r="AH415" s="148" t="n">
        <f aca="false">VALUE(IF($D415="zbú",$C415,0))+VALUE(IF($H415="zbú",$G415,0))</f>
        <v>0</v>
      </c>
      <c r="AI415" s="148" t="n">
        <f aca="false">VALUE(IF($D415="pří",$C415,0))+VALUE(IF($H415="pří",$G415,0))</f>
        <v>0</v>
      </c>
      <c r="AJ415" s="148" t="n">
        <f aca="false">VALUE(IF($D415="dot",$C415,0))+VALUE(IF($H415="dot",$G415,0))</f>
        <v>0</v>
      </c>
      <c r="AK415" s="148" t="n">
        <f aca="false">VALUE(IF($D415="opř",$C415,0))+VALUE(IF($H415="opř",$G415,0))</f>
        <v>0</v>
      </c>
      <c r="AL415" s="148" t="n">
        <f aca="false">SUM(P415:AK415)</f>
        <v>0</v>
      </c>
    </row>
    <row r="416" customFormat="false" ht="12.75" hidden="false" customHeight="false" outlineLevel="0" collapsed="false">
      <c r="P416" s="148" t="n">
        <f aca="false">VALUE(IF($D416="vyb",$C416,0))+VALUE(IF($H416="vyb",$G416,0))</f>
        <v>0</v>
      </c>
      <c r="Q416" s="148" t="n">
        <f aca="false">VALUE(IF($D416="mtv",$C416,0))+VALUE(IF($H416="mtv",$G416,0))</f>
        <v>0</v>
      </c>
      <c r="R416" s="148" t="n">
        <f aca="false">VALUE(IF($D416="mat",$C416,0))+VALUE(IF($H416="mat",$G416,0))</f>
        <v>0</v>
      </c>
      <c r="S416" s="148" t="n">
        <f aca="false">VALUE(IF($D416="pot",$C416,0))+VALUE(IF($H416="pot",$G416,0))</f>
        <v>0</v>
      </c>
      <c r="T416" s="148" t="n">
        <f aca="false">VALUE(IF($D416="táb",$C416,0))+VALUE(IF($H416="táb",$G416,0))</f>
        <v>0</v>
      </c>
      <c r="U416" s="148" t="n">
        <f aca="false">VALUE(IF($D416="oma",$C416,0))+VALUE(IF($H416="oma",$G416,0))</f>
        <v>0</v>
      </c>
      <c r="V416" s="148" t="n">
        <f aca="false">VALUE(IF($D416="ces",$C416,0))+VALUE(IF($H416="ces",$G416,0))</f>
        <v>0</v>
      </c>
      <c r="W416" s="148" t="n">
        <f aca="false">VALUE(IF($D416="poš",$C416,0))+VALUE(IF($H416="poš",$G416,0))</f>
        <v>0</v>
      </c>
      <c r="X416" s="148" t="n">
        <f aca="false">VALUE(IF($D416="tel",$C416,0))+VALUE(IF($H416="tel",$G416,0))</f>
        <v>0</v>
      </c>
      <c r="Y416" s="148" t="n">
        <f aca="false">VALUE(IF($D416="dop",$C416,0))+VALUE(IF($H416="dop",$G416,0))</f>
        <v>0</v>
      </c>
      <c r="Z416" s="148" t="n">
        <f aca="false">VALUE(IF($D416="nák",$C416,0))+VALUE(IF($H416="nák",$G416,0))</f>
        <v>0</v>
      </c>
      <c r="AA416" s="148" t="n">
        <f aca="false">VALUE(IF($D416="náj",$C416,0))+VALUE(IF($H416="náj",$G416,0))</f>
        <v>0</v>
      </c>
      <c r="AB416" s="148" t="n">
        <f aca="false">VALUE(IF($D416="půj",$C416,0))+VALUE(IF($H416="půj",$G416,0))</f>
        <v>0</v>
      </c>
      <c r="AC416" s="148" t="n">
        <f aca="false">VALUE(IF($D416="vst",$C416,0))+VALUE(IF($H416="vst",$G416,0))</f>
        <v>0</v>
      </c>
      <c r="AD416" s="148" t="n">
        <f aca="false">VALUE(IF($D416="kop",$C416,0))+VALUE(IF($H416="kop",$G416,0))</f>
        <v>0</v>
      </c>
      <c r="AE416" s="148" t="n">
        <f aca="false">VALUE(IF($D416="osl",$C416,0))+VALUE(IF($H416="osl",$G416,0))</f>
        <v>0</v>
      </c>
      <c r="AF416" s="148" t="n">
        <f aca="false">VALUE(IF($D416="vra",$C416,0))+VALUE(IF($H416="vra",$G416,0))</f>
        <v>0</v>
      </c>
      <c r="AG416" s="148" t="n">
        <f aca="false">VALUE(IF($D416="zho",$C416,0))+VALUE(IF($H416="zho",$G416,0))</f>
        <v>0</v>
      </c>
      <c r="AH416" s="148" t="n">
        <f aca="false">VALUE(IF($D416="zbú",$C416,0))+VALUE(IF($H416="zbú",$G416,0))</f>
        <v>0</v>
      </c>
      <c r="AI416" s="148" t="n">
        <f aca="false">VALUE(IF($D416="pří",$C416,0))+VALUE(IF($H416="pří",$G416,0))</f>
        <v>0</v>
      </c>
      <c r="AJ416" s="148" t="n">
        <f aca="false">VALUE(IF($D416="dot",$C416,0))+VALUE(IF($H416="dot",$G416,0))</f>
        <v>0</v>
      </c>
      <c r="AK416" s="148" t="n">
        <f aca="false">VALUE(IF($D416="opř",$C416,0))+VALUE(IF($H416="opř",$G416,0))</f>
        <v>0</v>
      </c>
      <c r="AL416" s="148" t="n">
        <f aca="false">SUM(P416:AK416)</f>
        <v>0</v>
      </c>
    </row>
    <row r="417" customFormat="false" ht="12.75" hidden="false" customHeight="false" outlineLevel="0" collapsed="false">
      <c r="P417" s="148" t="n">
        <f aca="false">VALUE(IF($D417="vyb",$C417,0))+VALUE(IF($H417="vyb",$G417,0))</f>
        <v>0</v>
      </c>
      <c r="Q417" s="148" t="n">
        <f aca="false">VALUE(IF($D417="mtv",$C417,0))+VALUE(IF($H417="mtv",$G417,0))</f>
        <v>0</v>
      </c>
      <c r="R417" s="148" t="n">
        <f aca="false">VALUE(IF($D417="mat",$C417,0))+VALUE(IF($H417="mat",$G417,0))</f>
        <v>0</v>
      </c>
      <c r="S417" s="148" t="n">
        <f aca="false">VALUE(IF($D417="pot",$C417,0))+VALUE(IF($H417="pot",$G417,0))</f>
        <v>0</v>
      </c>
      <c r="T417" s="148" t="n">
        <f aca="false">VALUE(IF($D417="táb",$C417,0))+VALUE(IF($H417="táb",$G417,0))</f>
        <v>0</v>
      </c>
      <c r="U417" s="148" t="n">
        <f aca="false">VALUE(IF($D417="oma",$C417,0))+VALUE(IF($H417="oma",$G417,0))</f>
        <v>0</v>
      </c>
      <c r="V417" s="148" t="n">
        <f aca="false">VALUE(IF($D417="ces",$C417,0))+VALUE(IF($H417="ces",$G417,0))</f>
        <v>0</v>
      </c>
      <c r="W417" s="148" t="n">
        <f aca="false">VALUE(IF($D417="poš",$C417,0))+VALUE(IF($H417="poš",$G417,0))</f>
        <v>0</v>
      </c>
      <c r="X417" s="148" t="n">
        <f aca="false">VALUE(IF($D417="tel",$C417,0))+VALUE(IF($H417="tel",$G417,0))</f>
        <v>0</v>
      </c>
      <c r="Y417" s="148" t="n">
        <f aca="false">VALUE(IF($D417="dop",$C417,0))+VALUE(IF($H417="dop",$G417,0))</f>
        <v>0</v>
      </c>
      <c r="Z417" s="148" t="n">
        <f aca="false">VALUE(IF($D417="nák",$C417,0))+VALUE(IF($H417="nák",$G417,0))</f>
        <v>0</v>
      </c>
      <c r="AA417" s="148" t="n">
        <f aca="false">VALUE(IF($D417="náj",$C417,0))+VALUE(IF($H417="náj",$G417,0))</f>
        <v>0</v>
      </c>
      <c r="AB417" s="148" t="n">
        <f aca="false">VALUE(IF($D417="půj",$C417,0))+VALUE(IF($H417="půj",$G417,0))</f>
        <v>0</v>
      </c>
      <c r="AC417" s="148" t="n">
        <f aca="false">VALUE(IF($D417="vst",$C417,0))+VALUE(IF($H417="vst",$G417,0))</f>
        <v>0</v>
      </c>
      <c r="AD417" s="148" t="n">
        <f aca="false">VALUE(IF($D417="kop",$C417,0))+VALUE(IF($H417="kop",$G417,0))</f>
        <v>0</v>
      </c>
      <c r="AE417" s="148" t="n">
        <f aca="false">VALUE(IF($D417="osl",$C417,0))+VALUE(IF($H417="osl",$G417,0))</f>
        <v>0</v>
      </c>
      <c r="AF417" s="148" t="n">
        <f aca="false">VALUE(IF($D417="vra",$C417,0))+VALUE(IF($H417="vra",$G417,0))</f>
        <v>0</v>
      </c>
      <c r="AG417" s="148" t="n">
        <f aca="false">VALUE(IF($D417="zho",$C417,0))+VALUE(IF($H417="zho",$G417,0))</f>
        <v>0</v>
      </c>
      <c r="AH417" s="148" t="n">
        <f aca="false">VALUE(IF($D417="zbú",$C417,0))+VALUE(IF($H417="zbú",$G417,0))</f>
        <v>0</v>
      </c>
      <c r="AI417" s="148" t="n">
        <f aca="false">VALUE(IF($D417="pří",$C417,0))+VALUE(IF($H417="pří",$G417,0))</f>
        <v>0</v>
      </c>
      <c r="AJ417" s="148" t="n">
        <f aca="false">VALUE(IF($D417="dot",$C417,0))+VALUE(IF($H417="dot",$G417,0))</f>
        <v>0</v>
      </c>
      <c r="AK417" s="148" t="n">
        <f aca="false">VALUE(IF($D417="opř",$C417,0))+VALUE(IF($H417="opř",$G417,0))</f>
        <v>0</v>
      </c>
      <c r="AL417" s="148" t="n">
        <f aca="false">SUM(P417:AK417)</f>
        <v>0</v>
      </c>
    </row>
    <row r="418" customFormat="false" ht="12.75" hidden="false" customHeight="false" outlineLevel="0" collapsed="false">
      <c r="P418" s="148" t="n">
        <f aca="false">VALUE(IF($D418="vyb",$C418,0))+VALUE(IF($H418="vyb",$G418,0))</f>
        <v>0</v>
      </c>
      <c r="Q418" s="148" t="n">
        <f aca="false">VALUE(IF($D418="mtv",$C418,0))+VALUE(IF($H418="mtv",$G418,0))</f>
        <v>0</v>
      </c>
      <c r="R418" s="148" t="n">
        <f aca="false">VALUE(IF($D418="mat",$C418,0))+VALUE(IF($H418="mat",$G418,0))</f>
        <v>0</v>
      </c>
      <c r="S418" s="148" t="n">
        <f aca="false">VALUE(IF($D418="pot",$C418,0))+VALUE(IF($H418="pot",$G418,0))</f>
        <v>0</v>
      </c>
      <c r="T418" s="148" t="n">
        <f aca="false">VALUE(IF($D418="táb",$C418,0))+VALUE(IF($H418="táb",$G418,0))</f>
        <v>0</v>
      </c>
      <c r="U418" s="148" t="n">
        <f aca="false">VALUE(IF($D418="oma",$C418,0))+VALUE(IF($H418="oma",$G418,0))</f>
        <v>0</v>
      </c>
      <c r="V418" s="148" t="n">
        <f aca="false">VALUE(IF($D418="ces",$C418,0))+VALUE(IF($H418="ces",$G418,0))</f>
        <v>0</v>
      </c>
      <c r="W418" s="148" t="n">
        <f aca="false">VALUE(IF($D418="poš",$C418,0))+VALUE(IF($H418="poš",$G418,0))</f>
        <v>0</v>
      </c>
      <c r="X418" s="148" t="n">
        <f aca="false">VALUE(IF($D418="tel",$C418,0))+VALUE(IF($H418="tel",$G418,0))</f>
        <v>0</v>
      </c>
      <c r="Y418" s="148" t="n">
        <f aca="false">VALUE(IF($D418="dop",$C418,0))+VALUE(IF($H418="dop",$G418,0))</f>
        <v>0</v>
      </c>
      <c r="Z418" s="148" t="n">
        <f aca="false">VALUE(IF($D418="nák",$C418,0))+VALUE(IF($H418="nák",$G418,0))</f>
        <v>0</v>
      </c>
      <c r="AA418" s="148" t="n">
        <f aca="false">VALUE(IF($D418="náj",$C418,0))+VALUE(IF($H418="náj",$G418,0))</f>
        <v>0</v>
      </c>
      <c r="AB418" s="148" t="n">
        <f aca="false">VALUE(IF($D418="půj",$C418,0))+VALUE(IF($H418="půj",$G418,0))</f>
        <v>0</v>
      </c>
      <c r="AC418" s="148" t="n">
        <f aca="false">VALUE(IF($D418="vst",$C418,0))+VALUE(IF($H418="vst",$G418,0))</f>
        <v>0</v>
      </c>
      <c r="AD418" s="148" t="n">
        <f aca="false">VALUE(IF($D418="kop",$C418,0))+VALUE(IF($H418="kop",$G418,0))</f>
        <v>0</v>
      </c>
      <c r="AE418" s="148" t="n">
        <f aca="false">VALUE(IF($D418="osl",$C418,0))+VALUE(IF($H418="osl",$G418,0))</f>
        <v>0</v>
      </c>
      <c r="AF418" s="148" t="n">
        <f aca="false">VALUE(IF($D418="vra",$C418,0))+VALUE(IF($H418="vra",$G418,0))</f>
        <v>0</v>
      </c>
      <c r="AG418" s="148" t="n">
        <f aca="false">VALUE(IF($D418="zho",$C418,0))+VALUE(IF($H418="zho",$G418,0))</f>
        <v>0</v>
      </c>
      <c r="AH418" s="148" t="n">
        <f aca="false">VALUE(IF($D418="zbú",$C418,0))+VALUE(IF($H418="zbú",$G418,0))</f>
        <v>0</v>
      </c>
      <c r="AI418" s="148" t="n">
        <f aca="false">VALUE(IF($D418="pří",$C418,0))+VALUE(IF($H418="pří",$G418,0))</f>
        <v>0</v>
      </c>
      <c r="AJ418" s="148" t="n">
        <f aca="false">VALUE(IF($D418="dot",$C418,0))+VALUE(IF($H418="dot",$G418,0))</f>
        <v>0</v>
      </c>
      <c r="AK418" s="148" t="n">
        <f aca="false">VALUE(IF($D418="opř",$C418,0))+VALUE(IF($H418="opř",$G418,0))</f>
        <v>0</v>
      </c>
      <c r="AL418" s="148" t="n">
        <f aca="false">SUM(P418:AK418)</f>
        <v>0</v>
      </c>
    </row>
    <row r="419" customFormat="false" ht="12.75" hidden="false" customHeight="false" outlineLevel="0" collapsed="false">
      <c r="P419" s="148" t="n">
        <f aca="false">VALUE(IF($D419="vyb",$C419,0))+VALUE(IF($H419="vyb",$G419,0))</f>
        <v>0</v>
      </c>
      <c r="Q419" s="148" t="n">
        <f aca="false">VALUE(IF($D419="mtv",$C419,0))+VALUE(IF($H419="mtv",$G419,0))</f>
        <v>0</v>
      </c>
      <c r="R419" s="148" t="n">
        <f aca="false">VALUE(IF($D419="mat",$C419,0))+VALUE(IF($H419="mat",$G419,0))</f>
        <v>0</v>
      </c>
      <c r="S419" s="148" t="n">
        <f aca="false">VALUE(IF($D419="pot",$C419,0))+VALUE(IF($H419="pot",$G419,0))</f>
        <v>0</v>
      </c>
      <c r="T419" s="148" t="n">
        <f aca="false">VALUE(IF($D419="táb",$C419,0))+VALUE(IF($H419="táb",$G419,0))</f>
        <v>0</v>
      </c>
      <c r="U419" s="148" t="n">
        <f aca="false">VALUE(IF($D419="oma",$C419,0))+VALUE(IF($H419="oma",$G419,0))</f>
        <v>0</v>
      </c>
      <c r="V419" s="148" t="n">
        <f aca="false">VALUE(IF($D419="ces",$C419,0))+VALUE(IF($H419="ces",$G419,0))</f>
        <v>0</v>
      </c>
      <c r="W419" s="148" t="n">
        <f aca="false">VALUE(IF($D419="poš",$C419,0))+VALUE(IF($H419="poš",$G419,0))</f>
        <v>0</v>
      </c>
      <c r="X419" s="148" t="n">
        <f aca="false">VALUE(IF($D419="tel",$C419,0))+VALUE(IF($H419="tel",$G419,0))</f>
        <v>0</v>
      </c>
      <c r="Y419" s="148" t="n">
        <f aca="false">VALUE(IF($D419="dop",$C419,0))+VALUE(IF($H419="dop",$G419,0))</f>
        <v>0</v>
      </c>
      <c r="Z419" s="148" t="n">
        <f aca="false">VALUE(IF($D419="nák",$C419,0))+VALUE(IF($H419="nák",$G419,0))</f>
        <v>0</v>
      </c>
      <c r="AA419" s="148" t="n">
        <f aca="false">VALUE(IF($D419="náj",$C419,0))+VALUE(IF($H419="náj",$G419,0))</f>
        <v>0</v>
      </c>
      <c r="AB419" s="148" t="n">
        <f aca="false">VALUE(IF($D419="půj",$C419,0))+VALUE(IF($H419="půj",$G419,0))</f>
        <v>0</v>
      </c>
      <c r="AC419" s="148" t="n">
        <f aca="false">VALUE(IF($D419="vst",$C419,0))+VALUE(IF($H419="vst",$G419,0))</f>
        <v>0</v>
      </c>
      <c r="AD419" s="148" t="n">
        <f aca="false">VALUE(IF($D419="kop",$C419,0))+VALUE(IF($H419="kop",$G419,0))</f>
        <v>0</v>
      </c>
      <c r="AE419" s="148" t="n">
        <f aca="false">VALUE(IF($D419="osl",$C419,0))+VALUE(IF($H419="osl",$G419,0))</f>
        <v>0</v>
      </c>
      <c r="AF419" s="148" t="n">
        <f aca="false">VALUE(IF($D419="vra",$C419,0))+VALUE(IF($H419="vra",$G419,0))</f>
        <v>0</v>
      </c>
      <c r="AG419" s="148" t="n">
        <f aca="false">VALUE(IF($D419="zho",$C419,0))+VALUE(IF($H419="zho",$G419,0))</f>
        <v>0</v>
      </c>
      <c r="AH419" s="148" t="n">
        <f aca="false">VALUE(IF($D419="zbú",$C419,0))+VALUE(IF($H419="zbú",$G419,0))</f>
        <v>0</v>
      </c>
      <c r="AI419" s="148" t="n">
        <f aca="false">VALUE(IF($D419="pří",$C419,0))+VALUE(IF($H419="pří",$G419,0))</f>
        <v>0</v>
      </c>
      <c r="AJ419" s="148" t="n">
        <f aca="false">VALUE(IF($D419="dot",$C419,0))+VALUE(IF($H419="dot",$G419,0))</f>
        <v>0</v>
      </c>
      <c r="AK419" s="148" t="n">
        <f aca="false">VALUE(IF($D419="opř",$C419,0))+VALUE(IF($H419="opř",$G419,0))</f>
        <v>0</v>
      </c>
      <c r="AL419" s="148" t="n">
        <f aca="false">SUM(P419:AK419)</f>
        <v>0</v>
      </c>
    </row>
    <row r="420" customFormat="false" ht="12.75" hidden="false" customHeight="false" outlineLevel="0" collapsed="false">
      <c r="P420" s="148" t="n">
        <f aca="false">VALUE(IF($D420="vyb",$C420,0))+VALUE(IF($H420="vyb",$G420,0))</f>
        <v>0</v>
      </c>
      <c r="Q420" s="148" t="n">
        <f aca="false">VALUE(IF($D420="mtv",$C420,0))+VALUE(IF($H420="mtv",$G420,0))</f>
        <v>0</v>
      </c>
      <c r="R420" s="148" t="n">
        <f aca="false">VALUE(IF($D420="mat",$C420,0))+VALUE(IF($H420="mat",$G420,0))</f>
        <v>0</v>
      </c>
      <c r="S420" s="148" t="n">
        <f aca="false">VALUE(IF($D420="pot",$C420,0))+VALUE(IF($H420="pot",$G420,0))</f>
        <v>0</v>
      </c>
      <c r="T420" s="148" t="n">
        <f aca="false">VALUE(IF($D420="táb",$C420,0))+VALUE(IF($H420="táb",$G420,0))</f>
        <v>0</v>
      </c>
      <c r="U420" s="148" t="n">
        <f aca="false">VALUE(IF($D420="oma",$C420,0))+VALUE(IF($H420="oma",$G420,0))</f>
        <v>0</v>
      </c>
      <c r="V420" s="148" t="n">
        <f aca="false">VALUE(IF($D420="ces",$C420,0))+VALUE(IF($H420="ces",$G420,0))</f>
        <v>0</v>
      </c>
      <c r="W420" s="148" t="n">
        <f aca="false">VALUE(IF($D420="poš",$C420,0))+VALUE(IF($H420="poš",$G420,0))</f>
        <v>0</v>
      </c>
      <c r="X420" s="148" t="n">
        <f aca="false">VALUE(IF($D420="tel",$C420,0))+VALUE(IF($H420="tel",$G420,0))</f>
        <v>0</v>
      </c>
      <c r="Y420" s="148" t="n">
        <f aca="false">VALUE(IF($D420="dop",$C420,0))+VALUE(IF($H420="dop",$G420,0))</f>
        <v>0</v>
      </c>
      <c r="Z420" s="148" t="n">
        <f aca="false">VALUE(IF($D420="nák",$C420,0))+VALUE(IF($H420="nák",$G420,0))</f>
        <v>0</v>
      </c>
      <c r="AA420" s="148" t="n">
        <f aca="false">VALUE(IF($D420="náj",$C420,0))+VALUE(IF($H420="náj",$G420,0))</f>
        <v>0</v>
      </c>
      <c r="AB420" s="148" t="n">
        <f aca="false">VALUE(IF($D420="půj",$C420,0))+VALUE(IF($H420="půj",$G420,0))</f>
        <v>0</v>
      </c>
      <c r="AC420" s="148" t="n">
        <f aca="false">VALUE(IF($D420="vst",$C420,0))+VALUE(IF($H420="vst",$G420,0))</f>
        <v>0</v>
      </c>
      <c r="AD420" s="148" t="n">
        <f aca="false">VALUE(IF($D420="kop",$C420,0))+VALUE(IF($H420="kop",$G420,0))</f>
        <v>0</v>
      </c>
      <c r="AE420" s="148" t="n">
        <f aca="false">VALUE(IF($D420="osl",$C420,0))+VALUE(IF($H420="osl",$G420,0))</f>
        <v>0</v>
      </c>
      <c r="AF420" s="148" t="n">
        <f aca="false">VALUE(IF($D420="vra",$C420,0))+VALUE(IF($H420="vra",$G420,0))</f>
        <v>0</v>
      </c>
      <c r="AG420" s="148" t="n">
        <f aca="false">VALUE(IF($D420="zho",$C420,0))+VALUE(IF($H420="zho",$G420,0))</f>
        <v>0</v>
      </c>
      <c r="AH420" s="148" t="n">
        <f aca="false">VALUE(IF($D420="zbú",$C420,0))+VALUE(IF($H420="zbú",$G420,0))</f>
        <v>0</v>
      </c>
      <c r="AI420" s="148" t="n">
        <f aca="false">VALUE(IF($D420="pří",$C420,0))+VALUE(IF($H420="pří",$G420,0))</f>
        <v>0</v>
      </c>
      <c r="AJ420" s="148" t="n">
        <f aca="false">VALUE(IF($D420="dot",$C420,0))+VALUE(IF($H420="dot",$G420,0))</f>
        <v>0</v>
      </c>
      <c r="AK420" s="148" t="n">
        <f aca="false">VALUE(IF($D420="opř",$C420,0))+VALUE(IF($H420="opř",$G420,0))</f>
        <v>0</v>
      </c>
      <c r="AL420" s="148" t="n">
        <f aca="false">SUM(P420:AK420)</f>
        <v>0</v>
      </c>
    </row>
    <row r="421" customFormat="false" ht="12.75" hidden="false" customHeight="false" outlineLevel="0" collapsed="false">
      <c r="P421" s="148" t="n">
        <f aca="false">VALUE(IF($D421="vyb",$C421,0))+VALUE(IF($H421="vyb",$G421,0))</f>
        <v>0</v>
      </c>
      <c r="Q421" s="148" t="n">
        <f aca="false">VALUE(IF($D421="mtv",$C421,0))+VALUE(IF($H421="mtv",$G421,0))</f>
        <v>0</v>
      </c>
      <c r="R421" s="148" t="n">
        <f aca="false">VALUE(IF($D421="mat",$C421,0))+VALUE(IF($H421="mat",$G421,0))</f>
        <v>0</v>
      </c>
      <c r="S421" s="148" t="n">
        <f aca="false">VALUE(IF($D421="pot",$C421,0))+VALUE(IF($H421="pot",$G421,0))</f>
        <v>0</v>
      </c>
      <c r="T421" s="148" t="n">
        <f aca="false">VALUE(IF($D421="táb",$C421,0))+VALUE(IF($H421="táb",$G421,0))</f>
        <v>0</v>
      </c>
      <c r="U421" s="148" t="n">
        <f aca="false">VALUE(IF($D421="oma",$C421,0))+VALUE(IF($H421="oma",$G421,0))</f>
        <v>0</v>
      </c>
      <c r="V421" s="148" t="n">
        <f aca="false">VALUE(IF($D421="ces",$C421,0))+VALUE(IF($H421="ces",$G421,0))</f>
        <v>0</v>
      </c>
      <c r="W421" s="148" t="n">
        <f aca="false">VALUE(IF($D421="poš",$C421,0))+VALUE(IF($H421="poš",$G421,0))</f>
        <v>0</v>
      </c>
      <c r="X421" s="148" t="n">
        <f aca="false">VALUE(IF($D421="tel",$C421,0))+VALUE(IF($H421="tel",$G421,0))</f>
        <v>0</v>
      </c>
      <c r="Y421" s="148" t="n">
        <f aca="false">VALUE(IF($D421="dop",$C421,0))+VALUE(IF($H421="dop",$G421,0))</f>
        <v>0</v>
      </c>
      <c r="Z421" s="148" t="n">
        <f aca="false">VALUE(IF($D421="nák",$C421,0))+VALUE(IF($H421="nák",$G421,0))</f>
        <v>0</v>
      </c>
      <c r="AA421" s="148" t="n">
        <f aca="false">VALUE(IF($D421="náj",$C421,0))+VALUE(IF($H421="náj",$G421,0))</f>
        <v>0</v>
      </c>
      <c r="AB421" s="148" t="n">
        <f aca="false">VALUE(IF($D421="půj",$C421,0))+VALUE(IF($H421="půj",$G421,0))</f>
        <v>0</v>
      </c>
      <c r="AC421" s="148" t="n">
        <f aca="false">VALUE(IF($D421="vst",$C421,0))+VALUE(IF($H421="vst",$G421,0))</f>
        <v>0</v>
      </c>
      <c r="AD421" s="148" t="n">
        <f aca="false">VALUE(IF($D421="kop",$C421,0))+VALUE(IF($H421="kop",$G421,0))</f>
        <v>0</v>
      </c>
      <c r="AE421" s="148" t="n">
        <f aca="false">VALUE(IF($D421="osl",$C421,0))+VALUE(IF($H421="osl",$G421,0))</f>
        <v>0</v>
      </c>
      <c r="AF421" s="148" t="n">
        <f aca="false">VALUE(IF($D421="vra",$C421,0))+VALUE(IF($H421="vra",$G421,0))</f>
        <v>0</v>
      </c>
      <c r="AG421" s="148" t="n">
        <f aca="false">VALUE(IF($D421="zho",$C421,0))+VALUE(IF($H421="zho",$G421,0))</f>
        <v>0</v>
      </c>
      <c r="AH421" s="148" t="n">
        <f aca="false">VALUE(IF($D421="zbú",$C421,0))+VALUE(IF($H421="zbú",$G421,0))</f>
        <v>0</v>
      </c>
      <c r="AI421" s="148" t="n">
        <f aca="false">VALUE(IF($D421="pří",$C421,0))+VALUE(IF($H421="pří",$G421,0))</f>
        <v>0</v>
      </c>
      <c r="AJ421" s="148" t="n">
        <f aca="false">VALUE(IF($D421="dot",$C421,0))+VALUE(IF($H421="dot",$G421,0))</f>
        <v>0</v>
      </c>
      <c r="AK421" s="148" t="n">
        <f aca="false">VALUE(IF($D421="opř",$C421,0))+VALUE(IF($H421="opř",$G421,0))</f>
        <v>0</v>
      </c>
      <c r="AL421" s="148" t="n">
        <f aca="false">SUM(P421:AK421)</f>
        <v>0</v>
      </c>
    </row>
    <row r="422" customFormat="false" ht="12.75" hidden="false" customHeight="false" outlineLevel="0" collapsed="false">
      <c r="P422" s="148" t="n">
        <f aca="false">VALUE(IF($D422="vyb",$C422,0))+VALUE(IF($H422="vyb",$G422,0))</f>
        <v>0</v>
      </c>
      <c r="Q422" s="148" t="n">
        <f aca="false">VALUE(IF($D422="mtv",$C422,0))+VALUE(IF($H422="mtv",$G422,0))</f>
        <v>0</v>
      </c>
      <c r="R422" s="148" t="n">
        <f aca="false">VALUE(IF($D422="mat",$C422,0))+VALUE(IF($H422="mat",$G422,0))</f>
        <v>0</v>
      </c>
      <c r="S422" s="148" t="n">
        <f aca="false">VALUE(IF($D422="pot",$C422,0))+VALUE(IF($H422="pot",$G422,0))</f>
        <v>0</v>
      </c>
      <c r="T422" s="148" t="n">
        <f aca="false">VALUE(IF($D422="táb",$C422,0))+VALUE(IF($H422="táb",$G422,0))</f>
        <v>0</v>
      </c>
      <c r="U422" s="148" t="n">
        <f aca="false">VALUE(IF($D422="oma",$C422,0))+VALUE(IF($H422="oma",$G422,0))</f>
        <v>0</v>
      </c>
      <c r="V422" s="148" t="n">
        <f aca="false">VALUE(IF($D422="ces",$C422,0))+VALUE(IF($H422="ces",$G422,0))</f>
        <v>0</v>
      </c>
      <c r="W422" s="148" t="n">
        <f aca="false">VALUE(IF($D422="poš",$C422,0))+VALUE(IF($H422="poš",$G422,0))</f>
        <v>0</v>
      </c>
      <c r="X422" s="148" t="n">
        <f aca="false">VALUE(IF($D422="tel",$C422,0))+VALUE(IF($H422="tel",$G422,0))</f>
        <v>0</v>
      </c>
      <c r="Y422" s="148" t="n">
        <f aca="false">VALUE(IF($D422="dop",$C422,0))+VALUE(IF($H422="dop",$G422,0))</f>
        <v>0</v>
      </c>
      <c r="Z422" s="148" t="n">
        <f aca="false">VALUE(IF($D422="nák",$C422,0))+VALUE(IF($H422="nák",$G422,0))</f>
        <v>0</v>
      </c>
      <c r="AA422" s="148" t="n">
        <f aca="false">VALUE(IF($D422="náj",$C422,0))+VALUE(IF($H422="náj",$G422,0))</f>
        <v>0</v>
      </c>
      <c r="AB422" s="148" t="n">
        <f aca="false">VALUE(IF($D422="půj",$C422,0))+VALUE(IF($H422="půj",$G422,0))</f>
        <v>0</v>
      </c>
      <c r="AC422" s="148" t="n">
        <f aca="false">VALUE(IF($D422="vst",$C422,0))+VALUE(IF($H422="vst",$G422,0))</f>
        <v>0</v>
      </c>
      <c r="AD422" s="148" t="n">
        <f aca="false">VALUE(IF($D422="kop",$C422,0))+VALUE(IF($H422="kop",$G422,0))</f>
        <v>0</v>
      </c>
      <c r="AE422" s="148" t="n">
        <f aca="false">VALUE(IF($D422="osl",$C422,0))+VALUE(IF($H422="osl",$G422,0))</f>
        <v>0</v>
      </c>
      <c r="AF422" s="148" t="n">
        <f aca="false">VALUE(IF($D422="vra",$C422,0))+VALUE(IF($H422="vra",$G422,0))</f>
        <v>0</v>
      </c>
      <c r="AG422" s="148" t="n">
        <f aca="false">VALUE(IF($D422="zho",$C422,0))+VALUE(IF($H422="zho",$G422,0))</f>
        <v>0</v>
      </c>
      <c r="AH422" s="148" t="n">
        <f aca="false">VALUE(IF($D422="zbú",$C422,0))+VALUE(IF($H422="zbú",$G422,0))</f>
        <v>0</v>
      </c>
      <c r="AI422" s="148" t="n">
        <f aca="false">VALUE(IF($D422="pří",$C422,0))+VALUE(IF($H422="pří",$G422,0))</f>
        <v>0</v>
      </c>
      <c r="AJ422" s="148" t="n">
        <f aca="false">VALUE(IF($D422="dot",$C422,0))+VALUE(IF($H422="dot",$G422,0))</f>
        <v>0</v>
      </c>
      <c r="AK422" s="148" t="n">
        <f aca="false">VALUE(IF($D422="opř",$C422,0))+VALUE(IF($H422="opř",$G422,0))</f>
        <v>0</v>
      </c>
      <c r="AL422" s="148" t="n">
        <f aca="false">SUM(P422:AK422)</f>
        <v>0</v>
      </c>
    </row>
    <row r="423" customFormat="false" ht="12.75" hidden="false" customHeight="false" outlineLevel="0" collapsed="false">
      <c r="P423" s="148" t="n">
        <f aca="false">VALUE(IF($D423="vyb",$C423,0))+VALUE(IF($H423="vyb",$G423,0))</f>
        <v>0</v>
      </c>
      <c r="Q423" s="148" t="n">
        <f aca="false">VALUE(IF($D423="mtv",$C423,0))+VALUE(IF($H423="mtv",$G423,0))</f>
        <v>0</v>
      </c>
      <c r="R423" s="148" t="n">
        <f aca="false">VALUE(IF($D423="mat",$C423,0))+VALUE(IF($H423="mat",$G423,0))</f>
        <v>0</v>
      </c>
      <c r="S423" s="148" t="n">
        <f aca="false">VALUE(IF($D423="pot",$C423,0))+VALUE(IF($H423="pot",$G423,0))</f>
        <v>0</v>
      </c>
      <c r="T423" s="148" t="n">
        <f aca="false">VALUE(IF($D423="táb",$C423,0))+VALUE(IF($H423="táb",$G423,0))</f>
        <v>0</v>
      </c>
      <c r="U423" s="148" t="n">
        <f aca="false">VALUE(IF($D423="oma",$C423,0))+VALUE(IF($H423="oma",$G423,0))</f>
        <v>0</v>
      </c>
      <c r="V423" s="148" t="n">
        <f aca="false">VALUE(IF($D423="ces",$C423,0))+VALUE(IF($H423="ces",$G423,0))</f>
        <v>0</v>
      </c>
      <c r="W423" s="148" t="n">
        <f aca="false">VALUE(IF($D423="poš",$C423,0))+VALUE(IF($H423="poš",$G423,0))</f>
        <v>0</v>
      </c>
      <c r="X423" s="148" t="n">
        <f aca="false">VALUE(IF($D423="tel",$C423,0))+VALUE(IF($H423="tel",$G423,0))</f>
        <v>0</v>
      </c>
      <c r="Y423" s="148" t="n">
        <f aca="false">VALUE(IF($D423="dop",$C423,0))+VALUE(IF($H423="dop",$G423,0))</f>
        <v>0</v>
      </c>
      <c r="Z423" s="148" t="n">
        <f aca="false">VALUE(IF($D423="nák",$C423,0))+VALUE(IF($H423="nák",$G423,0))</f>
        <v>0</v>
      </c>
      <c r="AA423" s="148" t="n">
        <f aca="false">VALUE(IF($D423="náj",$C423,0))+VALUE(IF($H423="náj",$G423,0))</f>
        <v>0</v>
      </c>
      <c r="AB423" s="148" t="n">
        <f aca="false">VALUE(IF($D423="půj",$C423,0))+VALUE(IF($H423="půj",$G423,0))</f>
        <v>0</v>
      </c>
      <c r="AC423" s="148" t="n">
        <f aca="false">VALUE(IF($D423="vst",$C423,0))+VALUE(IF($H423="vst",$G423,0))</f>
        <v>0</v>
      </c>
      <c r="AD423" s="148" t="n">
        <f aca="false">VALUE(IF($D423="kop",$C423,0))+VALUE(IF($H423="kop",$G423,0))</f>
        <v>0</v>
      </c>
      <c r="AE423" s="148" t="n">
        <f aca="false">VALUE(IF($D423="osl",$C423,0))+VALUE(IF($H423="osl",$G423,0))</f>
        <v>0</v>
      </c>
      <c r="AF423" s="148" t="n">
        <f aca="false">VALUE(IF($D423="vra",$C423,0))+VALUE(IF($H423="vra",$G423,0))</f>
        <v>0</v>
      </c>
      <c r="AG423" s="148" t="n">
        <f aca="false">VALUE(IF($D423="zho",$C423,0))+VALUE(IF($H423="zho",$G423,0))</f>
        <v>0</v>
      </c>
      <c r="AH423" s="148" t="n">
        <f aca="false">VALUE(IF($D423="zbú",$C423,0))+VALUE(IF($H423="zbú",$G423,0))</f>
        <v>0</v>
      </c>
      <c r="AI423" s="148" t="n">
        <f aca="false">VALUE(IF($D423="pří",$C423,0))+VALUE(IF($H423="pří",$G423,0))</f>
        <v>0</v>
      </c>
      <c r="AJ423" s="148" t="n">
        <f aca="false">VALUE(IF($D423="dot",$C423,0))+VALUE(IF($H423="dot",$G423,0))</f>
        <v>0</v>
      </c>
      <c r="AK423" s="148" t="n">
        <f aca="false">VALUE(IF($D423="opř",$C423,0))+VALUE(IF($H423="opř",$G423,0))</f>
        <v>0</v>
      </c>
      <c r="AL423" s="148" t="n">
        <f aca="false">SUM(P423:AK423)</f>
        <v>0</v>
      </c>
    </row>
    <row r="424" customFormat="false" ht="12.75" hidden="false" customHeight="false" outlineLevel="0" collapsed="false">
      <c r="P424" s="148" t="n">
        <f aca="false">VALUE(IF($D424="vyb",$C424,0))+VALUE(IF($H424="vyb",$G424,0))</f>
        <v>0</v>
      </c>
      <c r="Q424" s="148" t="n">
        <f aca="false">VALUE(IF($D424="mtv",$C424,0))+VALUE(IF($H424="mtv",$G424,0))</f>
        <v>0</v>
      </c>
      <c r="R424" s="148" t="n">
        <f aca="false">VALUE(IF($D424="mat",$C424,0))+VALUE(IF($H424="mat",$G424,0))</f>
        <v>0</v>
      </c>
      <c r="S424" s="148" t="n">
        <f aca="false">VALUE(IF($D424="pot",$C424,0))+VALUE(IF($H424="pot",$G424,0))</f>
        <v>0</v>
      </c>
      <c r="T424" s="148" t="n">
        <f aca="false">VALUE(IF($D424="táb",$C424,0))+VALUE(IF($H424="táb",$G424,0))</f>
        <v>0</v>
      </c>
      <c r="U424" s="148" t="n">
        <f aca="false">VALUE(IF($D424="oma",$C424,0))+VALUE(IF($H424="oma",$G424,0))</f>
        <v>0</v>
      </c>
      <c r="V424" s="148" t="n">
        <f aca="false">VALUE(IF($D424="ces",$C424,0))+VALUE(IF($H424="ces",$G424,0))</f>
        <v>0</v>
      </c>
      <c r="W424" s="148" t="n">
        <f aca="false">VALUE(IF($D424="poš",$C424,0))+VALUE(IF($H424="poš",$G424,0))</f>
        <v>0</v>
      </c>
      <c r="X424" s="148" t="n">
        <f aca="false">VALUE(IF($D424="tel",$C424,0))+VALUE(IF($H424="tel",$G424,0))</f>
        <v>0</v>
      </c>
      <c r="Y424" s="148" t="n">
        <f aca="false">VALUE(IF($D424="dop",$C424,0))+VALUE(IF($H424="dop",$G424,0))</f>
        <v>0</v>
      </c>
      <c r="Z424" s="148" t="n">
        <f aca="false">VALUE(IF($D424="nák",$C424,0))+VALUE(IF($H424="nák",$G424,0))</f>
        <v>0</v>
      </c>
      <c r="AA424" s="148" t="n">
        <f aca="false">VALUE(IF($D424="náj",$C424,0))+VALUE(IF($H424="náj",$G424,0))</f>
        <v>0</v>
      </c>
      <c r="AB424" s="148" t="n">
        <f aca="false">VALUE(IF($D424="půj",$C424,0))+VALUE(IF($H424="půj",$G424,0))</f>
        <v>0</v>
      </c>
      <c r="AC424" s="148" t="n">
        <f aca="false">VALUE(IF($D424="vst",$C424,0))+VALUE(IF($H424="vst",$G424,0))</f>
        <v>0</v>
      </c>
      <c r="AD424" s="148" t="n">
        <f aca="false">VALUE(IF($D424="kop",$C424,0))+VALUE(IF($H424="kop",$G424,0))</f>
        <v>0</v>
      </c>
      <c r="AE424" s="148" t="n">
        <f aca="false">VALUE(IF($D424="osl",$C424,0))+VALUE(IF($H424="osl",$G424,0))</f>
        <v>0</v>
      </c>
      <c r="AF424" s="148" t="n">
        <f aca="false">VALUE(IF($D424="vra",$C424,0))+VALUE(IF($H424="vra",$G424,0))</f>
        <v>0</v>
      </c>
      <c r="AG424" s="148" t="n">
        <f aca="false">VALUE(IF($D424="zho",$C424,0))+VALUE(IF($H424="zho",$G424,0))</f>
        <v>0</v>
      </c>
      <c r="AH424" s="148" t="n">
        <f aca="false">VALUE(IF($D424="zbú",$C424,0))+VALUE(IF($H424="zbú",$G424,0))</f>
        <v>0</v>
      </c>
      <c r="AI424" s="148" t="n">
        <f aca="false">VALUE(IF($D424="pří",$C424,0))+VALUE(IF($H424="pří",$G424,0))</f>
        <v>0</v>
      </c>
      <c r="AJ424" s="148" t="n">
        <f aca="false">VALUE(IF($D424="dot",$C424,0))+VALUE(IF($H424="dot",$G424,0))</f>
        <v>0</v>
      </c>
      <c r="AK424" s="148" t="n">
        <f aca="false">VALUE(IF($D424="opř",$C424,0))+VALUE(IF($H424="opř",$G424,0))</f>
        <v>0</v>
      </c>
      <c r="AL424" s="148" t="n">
        <f aca="false">SUM(P424:AK424)</f>
        <v>0</v>
      </c>
    </row>
    <row r="425" customFormat="false" ht="12.75" hidden="false" customHeight="false" outlineLevel="0" collapsed="false">
      <c r="P425" s="148" t="n">
        <f aca="false">VALUE(IF($D425="vyb",$C425,0))+VALUE(IF($H425="vyb",$G425,0))</f>
        <v>0</v>
      </c>
      <c r="Q425" s="148" t="n">
        <f aca="false">VALUE(IF($D425="mtv",$C425,0))+VALUE(IF($H425="mtv",$G425,0))</f>
        <v>0</v>
      </c>
      <c r="R425" s="148" t="n">
        <f aca="false">VALUE(IF($D425="mat",$C425,0))+VALUE(IF($H425="mat",$G425,0))</f>
        <v>0</v>
      </c>
      <c r="S425" s="148" t="n">
        <f aca="false">VALUE(IF($D425="pot",$C425,0))+VALUE(IF($H425="pot",$G425,0))</f>
        <v>0</v>
      </c>
      <c r="T425" s="148" t="n">
        <f aca="false">VALUE(IF($D425="táb",$C425,0))+VALUE(IF($H425="táb",$G425,0))</f>
        <v>0</v>
      </c>
      <c r="U425" s="148" t="n">
        <f aca="false">VALUE(IF($D425="oma",$C425,0))+VALUE(IF($H425="oma",$G425,0))</f>
        <v>0</v>
      </c>
      <c r="V425" s="148" t="n">
        <f aca="false">VALUE(IF($D425="ces",$C425,0))+VALUE(IF($H425="ces",$G425,0))</f>
        <v>0</v>
      </c>
      <c r="W425" s="148" t="n">
        <f aca="false">VALUE(IF($D425="poš",$C425,0))+VALUE(IF($H425="poš",$G425,0))</f>
        <v>0</v>
      </c>
      <c r="X425" s="148" t="n">
        <f aca="false">VALUE(IF($D425="tel",$C425,0))+VALUE(IF($H425="tel",$G425,0))</f>
        <v>0</v>
      </c>
      <c r="Y425" s="148" t="n">
        <f aca="false">VALUE(IF($D425="dop",$C425,0))+VALUE(IF($H425="dop",$G425,0))</f>
        <v>0</v>
      </c>
      <c r="Z425" s="148" t="n">
        <f aca="false">VALUE(IF($D425="nák",$C425,0))+VALUE(IF($H425="nák",$G425,0))</f>
        <v>0</v>
      </c>
      <c r="AA425" s="148" t="n">
        <f aca="false">VALUE(IF($D425="náj",$C425,0))+VALUE(IF($H425="náj",$G425,0))</f>
        <v>0</v>
      </c>
      <c r="AB425" s="148" t="n">
        <f aca="false">VALUE(IF($D425="půj",$C425,0))+VALUE(IF($H425="půj",$G425,0))</f>
        <v>0</v>
      </c>
      <c r="AC425" s="148" t="n">
        <f aca="false">VALUE(IF($D425="vst",$C425,0))+VALUE(IF($H425="vst",$G425,0))</f>
        <v>0</v>
      </c>
      <c r="AD425" s="148" t="n">
        <f aca="false">VALUE(IF($D425="kop",$C425,0))+VALUE(IF($H425="kop",$G425,0))</f>
        <v>0</v>
      </c>
      <c r="AE425" s="148" t="n">
        <f aca="false">VALUE(IF($D425="osl",$C425,0))+VALUE(IF($H425="osl",$G425,0))</f>
        <v>0</v>
      </c>
      <c r="AF425" s="148" t="n">
        <f aca="false">VALUE(IF($D425="vra",$C425,0))+VALUE(IF($H425="vra",$G425,0))</f>
        <v>0</v>
      </c>
      <c r="AG425" s="148" t="n">
        <f aca="false">VALUE(IF($D425="zho",$C425,0))+VALUE(IF($H425="zho",$G425,0))</f>
        <v>0</v>
      </c>
      <c r="AH425" s="148" t="n">
        <f aca="false">VALUE(IF($D425="zbú",$C425,0))+VALUE(IF($H425="zbú",$G425,0))</f>
        <v>0</v>
      </c>
      <c r="AI425" s="148" t="n">
        <f aca="false">VALUE(IF($D425="pří",$C425,0))+VALUE(IF($H425="pří",$G425,0))</f>
        <v>0</v>
      </c>
      <c r="AJ425" s="148" t="n">
        <f aca="false">VALUE(IF($D425="dot",$C425,0))+VALUE(IF($H425="dot",$G425,0))</f>
        <v>0</v>
      </c>
      <c r="AK425" s="148" t="n">
        <f aca="false">VALUE(IF($D425="opř",$C425,0))+VALUE(IF($H425="opř",$G425,0))</f>
        <v>0</v>
      </c>
      <c r="AL425" s="148" t="n">
        <f aca="false">SUM(P425:AK425)</f>
        <v>0</v>
      </c>
    </row>
    <row r="426" customFormat="false" ht="12.75" hidden="false" customHeight="false" outlineLevel="0" collapsed="false">
      <c r="P426" s="148" t="n">
        <f aca="false">VALUE(IF($D426="vyb",$C426,0))+VALUE(IF($H426="vyb",$G426,0))</f>
        <v>0</v>
      </c>
      <c r="Q426" s="148" t="n">
        <f aca="false">VALUE(IF($D426="mtv",$C426,0))+VALUE(IF($H426="mtv",$G426,0))</f>
        <v>0</v>
      </c>
      <c r="R426" s="148" t="n">
        <f aca="false">VALUE(IF($D426="mat",$C426,0))+VALUE(IF($H426="mat",$G426,0))</f>
        <v>0</v>
      </c>
      <c r="S426" s="148" t="n">
        <f aca="false">VALUE(IF($D426="pot",$C426,0))+VALUE(IF($H426="pot",$G426,0))</f>
        <v>0</v>
      </c>
      <c r="T426" s="148" t="n">
        <f aca="false">VALUE(IF($D426="táb",$C426,0))+VALUE(IF($H426="táb",$G426,0))</f>
        <v>0</v>
      </c>
      <c r="U426" s="148" t="n">
        <f aca="false">VALUE(IF($D426="oma",$C426,0))+VALUE(IF($H426="oma",$G426,0))</f>
        <v>0</v>
      </c>
      <c r="V426" s="148" t="n">
        <f aca="false">VALUE(IF($D426="ces",$C426,0))+VALUE(IF($H426="ces",$G426,0))</f>
        <v>0</v>
      </c>
      <c r="W426" s="148" t="n">
        <f aca="false">VALUE(IF($D426="poš",$C426,0))+VALUE(IF($H426="poš",$G426,0))</f>
        <v>0</v>
      </c>
      <c r="X426" s="148" t="n">
        <f aca="false">VALUE(IF($D426="tel",$C426,0))+VALUE(IF($H426="tel",$G426,0))</f>
        <v>0</v>
      </c>
      <c r="Y426" s="148" t="n">
        <f aca="false">VALUE(IF($D426="dop",$C426,0))+VALUE(IF($H426="dop",$G426,0))</f>
        <v>0</v>
      </c>
      <c r="Z426" s="148" t="n">
        <f aca="false">VALUE(IF($D426="nák",$C426,0))+VALUE(IF($H426="nák",$G426,0))</f>
        <v>0</v>
      </c>
      <c r="AA426" s="148" t="n">
        <f aca="false">VALUE(IF($D426="náj",$C426,0))+VALUE(IF($H426="náj",$G426,0))</f>
        <v>0</v>
      </c>
      <c r="AB426" s="148" t="n">
        <f aca="false">VALUE(IF($D426="půj",$C426,0))+VALUE(IF($H426="půj",$G426,0))</f>
        <v>0</v>
      </c>
      <c r="AC426" s="148" t="n">
        <f aca="false">VALUE(IF($D426="vst",$C426,0))+VALUE(IF($H426="vst",$G426,0))</f>
        <v>0</v>
      </c>
      <c r="AD426" s="148" t="n">
        <f aca="false">VALUE(IF($D426="kop",$C426,0))+VALUE(IF($H426="kop",$G426,0))</f>
        <v>0</v>
      </c>
      <c r="AE426" s="148" t="n">
        <f aca="false">VALUE(IF($D426="osl",$C426,0))+VALUE(IF($H426="osl",$G426,0))</f>
        <v>0</v>
      </c>
      <c r="AF426" s="148" t="n">
        <f aca="false">VALUE(IF($D426="vra",$C426,0))+VALUE(IF($H426="vra",$G426,0))</f>
        <v>0</v>
      </c>
      <c r="AG426" s="148" t="n">
        <f aca="false">VALUE(IF($D426="zho",$C426,0))+VALUE(IF($H426="zho",$G426,0))</f>
        <v>0</v>
      </c>
      <c r="AH426" s="148" t="n">
        <f aca="false">VALUE(IF($D426="zbú",$C426,0))+VALUE(IF($H426="zbú",$G426,0))</f>
        <v>0</v>
      </c>
      <c r="AI426" s="148" t="n">
        <f aca="false">VALUE(IF($D426="pří",$C426,0))+VALUE(IF($H426="pří",$G426,0))</f>
        <v>0</v>
      </c>
      <c r="AJ426" s="148" t="n">
        <f aca="false">VALUE(IF($D426="dot",$C426,0))+VALUE(IF($H426="dot",$G426,0))</f>
        <v>0</v>
      </c>
      <c r="AK426" s="148" t="n">
        <f aca="false">VALUE(IF($D426="opř",$C426,0))+VALUE(IF($H426="opř",$G426,0))</f>
        <v>0</v>
      </c>
      <c r="AL426" s="148" t="n">
        <f aca="false">SUM(P426:AK426)</f>
        <v>0</v>
      </c>
    </row>
    <row r="427" customFormat="false" ht="12.75" hidden="false" customHeight="false" outlineLevel="0" collapsed="false">
      <c r="P427" s="148" t="n">
        <f aca="false">VALUE(IF($D427="vyb",$C427,0))+VALUE(IF($H427="vyb",$G427,0))</f>
        <v>0</v>
      </c>
      <c r="Q427" s="148" t="n">
        <f aca="false">VALUE(IF($D427="mtv",$C427,0))+VALUE(IF($H427="mtv",$G427,0))</f>
        <v>0</v>
      </c>
      <c r="R427" s="148" t="n">
        <f aca="false">VALUE(IF($D427="mat",$C427,0))+VALUE(IF($H427="mat",$G427,0))</f>
        <v>0</v>
      </c>
      <c r="S427" s="148" t="n">
        <f aca="false">VALUE(IF($D427="pot",$C427,0))+VALUE(IF($H427="pot",$G427,0))</f>
        <v>0</v>
      </c>
      <c r="T427" s="148" t="n">
        <f aca="false">VALUE(IF($D427="táb",$C427,0))+VALUE(IF($H427="táb",$G427,0))</f>
        <v>0</v>
      </c>
      <c r="U427" s="148" t="n">
        <f aca="false">VALUE(IF($D427="oma",$C427,0))+VALUE(IF($H427="oma",$G427,0))</f>
        <v>0</v>
      </c>
      <c r="V427" s="148" t="n">
        <f aca="false">VALUE(IF($D427="ces",$C427,0))+VALUE(IF($H427="ces",$G427,0))</f>
        <v>0</v>
      </c>
      <c r="W427" s="148" t="n">
        <f aca="false">VALUE(IF($D427="poš",$C427,0))+VALUE(IF($H427="poš",$G427,0))</f>
        <v>0</v>
      </c>
      <c r="X427" s="148" t="n">
        <f aca="false">VALUE(IF($D427="tel",$C427,0))+VALUE(IF($H427="tel",$G427,0))</f>
        <v>0</v>
      </c>
      <c r="Y427" s="148" t="n">
        <f aca="false">VALUE(IF($D427="dop",$C427,0))+VALUE(IF($H427="dop",$G427,0))</f>
        <v>0</v>
      </c>
      <c r="Z427" s="148" t="n">
        <f aca="false">VALUE(IF($D427="nák",$C427,0))+VALUE(IF($H427="nák",$G427,0))</f>
        <v>0</v>
      </c>
      <c r="AA427" s="148" t="n">
        <f aca="false">VALUE(IF($D427="náj",$C427,0))+VALUE(IF($H427="náj",$G427,0))</f>
        <v>0</v>
      </c>
      <c r="AB427" s="148" t="n">
        <f aca="false">VALUE(IF($D427="půj",$C427,0))+VALUE(IF($H427="půj",$G427,0))</f>
        <v>0</v>
      </c>
      <c r="AC427" s="148" t="n">
        <f aca="false">VALUE(IF($D427="vst",$C427,0))+VALUE(IF($H427="vst",$G427,0))</f>
        <v>0</v>
      </c>
      <c r="AD427" s="148" t="n">
        <f aca="false">VALUE(IF($D427="kop",$C427,0))+VALUE(IF($H427="kop",$G427,0))</f>
        <v>0</v>
      </c>
      <c r="AE427" s="148" t="n">
        <f aca="false">VALUE(IF($D427="osl",$C427,0))+VALUE(IF($H427="osl",$G427,0))</f>
        <v>0</v>
      </c>
      <c r="AF427" s="148" t="n">
        <f aca="false">VALUE(IF($D427="vra",$C427,0))+VALUE(IF($H427="vra",$G427,0))</f>
        <v>0</v>
      </c>
      <c r="AG427" s="148" t="n">
        <f aca="false">VALUE(IF($D427="zho",$C427,0))+VALUE(IF($H427="zho",$G427,0))</f>
        <v>0</v>
      </c>
      <c r="AH427" s="148" t="n">
        <f aca="false">VALUE(IF($D427="zbú",$C427,0))+VALUE(IF($H427="zbú",$G427,0))</f>
        <v>0</v>
      </c>
      <c r="AI427" s="148" t="n">
        <f aca="false">VALUE(IF($D427="pří",$C427,0))+VALUE(IF($H427="pří",$G427,0))</f>
        <v>0</v>
      </c>
      <c r="AJ427" s="148" t="n">
        <f aca="false">VALUE(IF($D427="dot",$C427,0))+VALUE(IF($H427="dot",$G427,0))</f>
        <v>0</v>
      </c>
      <c r="AK427" s="148" t="n">
        <f aca="false">VALUE(IF($D427="opř",$C427,0))+VALUE(IF($H427="opř",$G427,0))</f>
        <v>0</v>
      </c>
      <c r="AL427" s="148" t="n">
        <f aca="false">SUM(P427:AK427)</f>
        <v>0</v>
      </c>
    </row>
    <row r="428" customFormat="false" ht="12.75" hidden="false" customHeight="false" outlineLevel="0" collapsed="false">
      <c r="P428" s="148" t="n">
        <f aca="false">VALUE(IF($D428="vyb",$C428,0))+VALUE(IF($H428="vyb",$G428,0))</f>
        <v>0</v>
      </c>
      <c r="Q428" s="148" t="n">
        <f aca="false">VALUE(IF($D428="mtv",$C428,0))+VALUE(IF($H428="mtv",$G428,0))</f>
        <v>0</v>
      </c>
      <c r="R428" s="148" t="n">
        <f aca="false">VALUE(IF($D428="mat",$C428,0))+VALUE(IF($H428="mat",$G428,0))</f>
        <v>0</v>
      </c>
      <c r="S428" s="148" t="n">
        <f aca="false">VALUE(IF($D428="pot",$C428,0))+VALUE(IF($H428="pot",$G428,0))</f>
        <v>0</v>
      </c>
      <c r="T428" s="148" t="n">
        <f aca="false">VALUE(IF($D428="táb",$C428,0))+VALUE(IF($H428="táb",$G428,0))</f>
        <v>0</v>
      </c>
      <c r="U428" s="148" t="n">
        <f aca="false">VALUE(IF($D428="oma",$C428,0))+VALUE(IF($H428="oma",$G428,0))</f>
        <v>0</v>
      </c>
      <c r="V428" s="148" t="n">
        <f aca="false">VALUE(IF($D428="ces",$C428,0))+VALUE(IF($H428="ces",$G428,0))</f>
        <v>0</v>
      </c>
      <c r="W428" s="148" t="n">
        <f aca="false">VALUE(IF($D428="poš",$C428,0))+VALUE(IF($H428="poš",$G428,0))</f>
        <v>0</v>
      </c>
      <c r="X428" s="148" t="n">
        <f aca="false">VALUE(IF($D428="tel",$C428,0))+VALUE(IF($H428="tel",$G428,0))</f>
        <v>0</v>
      </c>
      <c r="Y428" s="148" t="n">
        <f aca="false">VALUE(IF($D428="dop",$C428,0))+VALUE(IF($H428="dop",$G428,0))</f>
        <v>0</v>
      </c>
      <c r="Z428" s="148" t="n">
        <f aca="false">VALUE(IF($D428="nák",$C428,0))+VALUE(IF($H428="nák",$G428,0))</f>
        <v>0</v>
      </c>
      <c r="AA428" s="148" t="n">
        <f aca="false">VALUE(IF($D428="náj",$C428,0))+VALUE(IF($H428="náj",$G428,0))</f>
        <v>0</v>
      </c>
      <c r="AB428" s="148" t="n">
        <f aca="false">VALUE(IF($D428="půj",$C428,0))+VALUE(IF($H428="půj",$G428,0))</f>
        <v>0</v>
      </c>
      <c r="AC428" s="148" t="n">
        <f aca="false">VALUE(IF($D428="vst",$C428,0))+VALUE(IF($H428="vst",$G428,0))</f>
        <v>0</v>
      </c>
      <c r="AD428" s="148" t="n">
        <f aca="false">VALUE(IF($D428="kop",$C428,0))+VALUE(IF($H428="kop",$G428,0))</f>
        <v>0</v>
      </c>
      <c r="AE428" s="148" t="n">
        <f aca="false">VALUE(IF($D428="osl",$C428,0))+VALUE(IF($H428="osl",$G428,0))</f>
        <v>0</v>
      </c>
      <c r="AF428" s="148" t="n">
        <f aca="false">VALUE(IF($D428="vra",$C428,0))+VALUE(IF($H428="vra",$G428,0))</f>
        <v>0</v>
      </c>
      <c r="AG428" s="148" t="n">
        <f aca="false">VALUE(IF($D428="zho",$C428,0))+VALUE(IF($H428="zho",$G428,0))</f>
        <v>0</v>
      </c>
      <c r="AH428" s="148" t="n">
        <f aca="false">VALUE(IF($D428="zbú",$C428,0))+VALUE(IF($H428="zbú",$G428,0))</f>
        <v>0</v>
      </c>
      <c r="AI428" s="148" t="n">
        <f aca="false">VALUE(IF($D428="pří",$C428,0))+VALUE(IF($H428="pří",$G428,0))</f>
        <v>0</v>
      </c>
      <c r="AJ428" s="148" t="n">
        <f aca="false">VALUE(IF($D428="dot",$C428,0))+VALUE(IF($H428="dot",$G428,0))</f>
        <v>0</v>
      </c>
      <c r="AK428" s="148" t="n">
        <f aca="false">VALUE(IF($D428="opř",$C428,0))+VALUE(IF($H428="opř",$G428,0))</f>
        <v>0</v>
      </c>
      <c r="AL428" s="148" t="n">
        <f aca="false">SUM(P428:AK428)</f>
        <v>0</v>
      </c>
    </row>
    <row r="429" customFormat="false" ht="12.75" hidden="false" customHeight="false" outlineLevel="0" collapsed="false">
      <c r="P429" s="148" t="n">
        <f aca="false">VALUE(IF($D429="vyb",$C429,0))+VALUE(IF($H429="vyb",$G429,0))</f>
        <v>0</v>
      </c>
      <c r="Q429" s="148" t="n">
        <f aca="false">VALUE(IF($D429="mtv",$C429,0))+VALUE(IF($H429="mtv",$G429,0))</f>
        <v>0</v>
      </c>
      <c r="R429" s="148" t="n">
        <f aca="false">VALUE(IF($D429="mat",$C429,0))+VALUE(IF($H429="mat",$G429,0))</f>
        <v>0</v>
      </c>
      <c r="S429" s="148" t="n">
        <f aca="false">VALUE(IF($D429="pot",$C429,0))+VALUE(IF($H429="pot",$G429,0))</f>
        <v>0</v>
      </c>
      <c r="T429" s="148" t="n">
        <f aca="false">VALUE(IF($D429="táb",$C429,0))+VALUE(IF($H429="táb",$G429,0))</f>
        <v>0</v>
      </c>
      <c r="U429" s="148" t="n">
        <f aca="false">VALUE(IF($D429="oma",$C429,0))+VALUE(IF($H429="oma",$G429,0))</f>
        <v>0</v>
      </c>
      <c r="V429" s="148" t="n">
        <f aca="false">VALUE(IF($D429="ces",$C429,0))+VALUE(IF($H429="ces",$G429,0))</f>
        <v>0</v>
      </c>
      <c r="W429" s="148" t="n">
        <f aca="false">VALUE(IF($D429="poš",$C429,0))+VALUE(IF($H429="poš",$G429,0))</f>
        <v>0</v>
      </c>
      <c r="X429" s="148" t="n">
        <f aca="false">VALUE(IF($D429="tel",$C429,0))+VALUE(IF($H429="tel",$G429,0))</f>
        <v>0</v>
      </c>
      <c r="Y429" s="148" t="n">
        <f aca="false">VALUE(IF($D429="dop",$C429,0))+VALUE(IF($H429="dop",$G429,0))</f>
        <v>0</v>
      </c>
      <c r="Z429" s="148" t="n">
        <f aca="false">VALUE(IF($D429="nák",$C429,0))+VALUE(IF($H429="nák",$G429,0))</f>
        <v>0</v>
      </c>
      <c r="AA429" s="148" t="n">
        <f aca="false">VALUE(IF($D429="náj",$C429,0))+VALUE(IF($H429="náj",$G429,0))</f>
        <v>0</v>
      </c>
      <c r="AB429" s="148" t="n">
        <f aca="false">VALUE(IF($D429="půj",$C429,0))+VALUE(IF($H429="půj",$G429,0))</f>
        <v>0</v>
      </c>
      <c r="AC429" s="148" t="n">
        <f aca="false">VALUE(IF($D429="vst",$C429,0))+VALUE(IF($H429="vst",$G429,0))</f>
        <v>0</v>
      </c>
      <c r="AD429" s="148" t="n">
        <f aca="false">VALUE(IF($D429="kop",$C429,0))+VALUE(IF($H429="kop",$G429,0))</f>
        <v>0</v>
      </c>
      <c r="AE429" s="148" t="n">
        <f aca="false">VALUE(IF($D429="osl",$C429,0))+VALUE(IF($H429="osl",$G429,0))</f>
        <v>0</v>
      </c>
      <c r="AF429" s="148" t="n">
        <f aca="false">VALUE(IF($D429="vra",$C429,0))+VALUE(IF($H429="vra",$G429,0))</f>
        <v>0</v>
      </c>
      <c r="AG429" s="148" t="n">
        <f aca="false">VALUE(IF($D429="zho",$C429,0))+VALUE(IF($H429="zho",$G429,0))</f>
        <v>0</v>
      </c>
      <c r="AH429" s="148" t="n">
        <f aca="false">VALUE(IF($D429="zbú",$C429,0))+VALUE(IF($H429="zbú",$G429,0))</f>
        <v>0</v>
      </c>
      <c r="AI429" s="148" t="n">
        <f aca="false">VALUE(IF($D429="pří",$C429,0))+VALUE(IF($H429="pří",$G429,0))</f>
        <v>0</v>
      </c>
      <c r="AJ429" s="148" t="n">
        <f aca="false">VALUE(IF($D429="dot",$C429,0))+VALUE(IF($H429="dot",$G429,0))</f>
        <v>0</v>
      </c>
      <c r="AK429" s="148" t="n">
        <f aca="false">VALUE(IF($D429="opř",$C429,0))+VALUE(IF($H429="opř",$G429,0))</f>
        <v>0</v>
      </c>
      <c r="AL429" s="148" t="n">
        <f aca="false">SUM(P429:AK429)</f>
        <v>0</v>
      </c>
    </row>
    <row r="430" customFormat="false" ht="12.75" hidden="false" customHeight="false" outlineLevel="0" collapsed="false">
      <c r="P430" s="148" t="n">
        <f aca="false">VALUE(IF($D430="vyb",$C430,0))+VALUE(IF($H430="vyb",$G430,0))</f>
        <v>0</v>
      </c>
      <c r="Q430" s="148" t="n">
        <f aca="false">VALUE(IF($D430="mtv",$C430,0))+VALUE(IF($H430="mtv",$G430,0))</f>
        <v>0</v>
      </c>
      <c r="R430" s="148" t="n">
        <f aca="false">VALUE(IF($D430="mat",$C430,0))+VALUE(IF($H430="mat",$G430,0))</f>
        <v>0</v>
      </c>
      <c r="S430" s="148" t="n">
        <f aca="false">VALUE(IF($D430="pot",$C430,0))+VALUE(IF($H430="pot",$G430,0))</f>
        <v>0</v>
      </c>
      <c r="T430" s="148" t="n">
        <f aca="false">VALUE(IF($D430="táb",$C430,0))+VALUE(IF($H430="táb",$G430,0))</f>
        <v>0</v>
      </c>
      <c r="U430" s="148" t="n">
        <f aca="false">VALUE(IF($D430="oma",$C430,0))+VALUE(IF($H430="oma",$G430,0))</f>
        <v>0</v>
      </c>
      <c r="V430" s="148" t="n">
        <f aca="false">VALUE(IF($D430="ces",$C430,0))+VALUE(IF($H430="ces",$G430,0))</f>
        <v>0</v>
      </c>
      <c r="W430" s="148" t="n">
        <f aca="false">VALUE(IF($D430="poš",$C430,0))+VALUE(IF($H430="poš",$G430,0))</f>
        <v>0</v>
      </c>
      <c r="X430" s="148" t="n">
        <f aca="false">VALUE(IF($D430="tel",$C430,0))+VALUE(IF($H430="tel",$G430,0))</f>
        <v>0</v>
      </c>
      <c r="Y430" s="148" t="n">
        <f aca="false">VALUE(IF($D430="dop",$C430,0))+VALUE(IF($H430="dop",$G430,0))</f>
        <v>0</v>
      </c>
      <c r="Z430" s="148" t="n">
        <f aca="false">VALUE(IF($D430="nák",$C430,0))+VALUE(IF($H430="nák",$G430,0))</f>
        <v>0</v>
      </c>
      <c r="AA430" s="148" t="n">
        <f aca="false">VALUE(IF($D430="náj",$C430,0))+VALUE(IF($H430="náj",$G430,0))</f>
        <v>0</v>
      </c>
      <c r="AB430" s="148" t="n">
        <f aca="false">VALUE(IF($D430="půj",$C430,0))+VALUE(IF($H430="půj",$G430,0))</f>
        <v>0</v>
      </c>
      <c r="AC430" s="148" t="n">
        <f aca="false">VALUE(IF($D430="vst",$C430,0))+VALUE(IF($H430="vst",$G430,0))</f>
        <v>0</v>
      </c>
      <c r="AD430" s="148" t="n">
        <f aca="false">VALUE(IF($D430="kop",$C430,0))+VALUE(IF($H430="kop",$G430,0))</f>
        <v>0</v>
      </c>
      <c r="AE430" s="148" t="n">
        <f aca="false">VALUE(IF($D430="osl",$C430,0))+VALUE(IF($H430="osl",$G430,0))</f>
        <v>0</v>
      </c>
      <c r="AF430" s="148" t="n">
        <f aca="false">VALUE(IF($D430="vra",$C430,0))+VALUE(IF($H430="vra",$G430,0))</f>
        <v>0</v>
      </c>
      <c r="AG430" s="148" t="n">
        <f aca="false">VALUE(IF($D430="zho",$C430,0))+VALUE(IF($H430="zho",$G430,0))</f>
        <v>0</v>
      </c>
      <c r="AH430" s="148" t="n">
        <f aca="false">VALUE(IF($D430="zbú",$C430,0))+VALUE(IF($H430="zbú",$G430,0))</f>
        <v>0</v>
      </c>
      <c r="AI430" s="148" t="n">
        <f aca="false">VALUE(IF($D430="pří",$C430,0))+VALUE(IF($H430="pří",$G430,0))</f>
        <v>0</v>
      </c>
      <c r="AJ430" s="148" t="n">
        <f aca="false">VALUE(IF($D430="dot",$C430,0))+VALUE(IF($H430="dot",$G430,0))</f>
        <v>0</v>
      </c>
      <c r="AK430" s="148" t="n">
        <f aca="false">VALUE(IF($D430="opř",$C430,0))+VALUE(IF($H430="opř",$G430,0))</f>
        <v>0</v>
      </c>
      <c r="AL430" s="148" t="n">
        <f aca="false">SUM(P430:AK430)</f>
        <v>0</v>
      </c>
    </row>
    <row r="431" customFormat="false" ht="12.75" hidden="false" customHeight="false" outlineLevel="0" collapsed="false">
      <c r="P431" s="148" t="n">
        <f aca="false">VALUE(IF($D431="vyb",$C431,0))+VALUE(IF($H431="vyb",$G431,0))</f>
        <v>0</v>
      </c>
      <c r="Q431" s="148" t="n">
        <f aca="false">VALUE(IF($D431="mtv",$C431,0))+VALUE(IF($H431="mtv",$G431,0))</f>
        <v>0</v>
      </c>
      <c r="R431" s="148" t="n">
        <f aca="false">VALUE(IF($D431="mat",$C431,0))+VALUE(IF($H431="mat",$G431,0))</f>
        <v>0</v>
      </c>
      <c r="S431" s="148" t="n">
        <f aca="false">VALUE(IF($D431="pot",$C431,0))+VALUE(IF($H431="pot",$G431,0))</f>
        <v>0</v>
      </c>
      <c r="T431" s="148" t="n">
        <f aca="false">VALUE(IF($D431="táb",$C431,0))+VALUE(IF($H431="táb",$G431,0))</f>
        <v>0</v>
      </c>
      <c r="U431" s="148" t="n">
        <f aca="false">VALUE(IF($D431="oma",$C431,0))+VALUE(IF($H431="oma",$G431,0))</f>
        <v>0</v>
      </c>
      <c r="V431" s="148" t="n">
        <f aca="false">VALUE(IF($D431="ces",$C431,0))+VALUE(IF($H431="ces",$G431,0))</f>
        <v>0</v>
      </c>
      <c r="W431" s="148" t="n">
        <f aca="false">VALUE(IF($D431="poš",$C431,0))+VALUE(IF($H431="poš",$G431,0))</f>
        <v>0</v>
      </c>
      <c r="X431" s="148" t="n">
        <f aca="false">VALUE(IF($D431="tel",$C431,0))+VALUE(IF($H431="tel",$G431,0))</f>
        <v>0</v>
      </c>
      <c r="Y431" s="148" t="n">
        <f aca="false">VALUE(IF($D431="dop",$C431,0))+VALUE(IF($H431="dop",$G431,0))</f>
        <v>0</v>
      </c>
      <c r="Z431" s="148" t="n">
        <f aca="false">VALUE(IF($D431="nák",$C431,0))+VALUE(IF($H431="nák",$G431,0))</f>
        <v>0</v>
      </c>
      <c r="AA431" s="148" t="n">
        <f aca="false">VALUE(IF($D431="náj",$C431,0))+VALUE(IF($H431="náj",$G431,0))</f>
        <v>0</v>
      </c>
      <c r="AB431" s="148" t="n">
        <f aca="false">VALUE(IF($D431="půj",$C431,0))+VALUE(IF($H431="půj",$G431,0))</f>
        <v>0</v>
      </c>
      <c r="AC431" s="148" t="n">
        <f aca="false">VALUE(IF($D431="vst",$C431,0))+VALUE(IF($H431="vst",$G431,0))</f>
        <v>0</v>
      </c>
      <c r="AD431" s="148" t="n">
        <f aca="false">VALUE(IF($D431="kop",$C431,0))+VALUE(IF($H431="kop",$G431,0))</f>
        <v>0</v>
      </c>
      <c r="AE431" s="148" t="n">
        <f aca="false">VALUE(IF($D431="osl",$C431,0))+VALUE(IF($H431="osl",$G431,0))</f>
        <v>0</v>
      </c>
      <c r="AF431" s="148" t="n">
        <f aca="false">VALUE(IF($D431="vra",$C431,0))+VALUE(IF($H431="vra",$G431,0))</f>
        <v>0</v>
      </c>
      <c r="AG431" s="148" t="n">
        <f aca="false">VALUE(IF($D431="zho",$C431,0))+VALUE(IF($H431="zho",$G431,0))</f>
        <v>0</v>
      </c>
      <c r="AH431" s="148" t="n">
        <f aca="false">VALUE(IF($D431="zbú",$C431,0))+VALUE(IF($H431="zbú",$G431,0))</f>
        <v>0</v>
      </c>
      <c r="AI431" s="148" t="n">
        <f aca="false">VALUE(IF($D431="pří",$C431,0))+VALUE(IF($H431="pří",$G431,0))</f>
        <v>0</v>
      </c>
      <c r="AJ431" s="148" t="n">
        <f aca="false">VALUE(IF($D431="dot",$C431,0))+VALUE(IF($H431="dot",$G431,0))</f>
        <v>0</v>
      </c>
      <c r="AK431" s="148" t="n">
        <f aca="false">VALUE(IF($D431="opř",$C431,0))+VALUE(IF($H431="opř",$G431,0))</f>
        <v>0</v>
      </c>
      <c r="AL431" s="148" t="n">
        <f aca="false">SUM(P431:AK431)</f>
        <v>0</v>
      </c>
    </row>
    <row r="432" customFormat="false" ht="12.75" hidden="false" customHeight="false" outlineLevel="0" collapsed="false">
      <c r="P432" s="148" t="n">
        <f aca="false">VALUE(IF($D432="vyb",$C432,0))+VALUE(IF($H432="vyb",$G432,0))</f>
        <v>0</v>
      </c>
      <c r="Q432" s="148" t="n">
        <f aca="false">VALUE(IF($D432="mtv",$C432,0))+VALUE(IF($H432="mtv",$G432,0))</f>
        <v>0</v>
      </c>
      <c r="R432" s="148" t="n">
        <f aca="false">VALUE(IF($D432="mat",$C432,0))+VALUE(IF($H432="mat",$G432,0))</f>
        <v>0</v>
      </c>
      <c r="S432" s="148" t="n">
        <f aca="false">VALUE(IF($D432="pot",$C432,0))+VALUE(IF($H432="pot",$G432,0))</f>
        <v>0</v>
      </c>
      <c r="T432" s="148" t="n">
        <f aca="false">VALUE(IF($D432="táb",$C432,0))+VALUE(IF($H432="táb",$G432,0))</f>
        <v>0</v>
      </c>
      <c r="U432" s="148" t="n">
        <f aca="false">VALUE(IF($D432="oma",$C432,0))+VALUE(IF($H432="oma",$G432,0))</f>
        <v>0</v>
      </c>
      <c r="V432" s="148" t="n">
        <f aca="false">VALUE(IF($D432="ces",$C432,0))+VALUE(IF($H432="ces",$G432,0))</f>
        <v>0</v>
      </c>
      <c r="W432" s="148" t="n">
        <f aca="false">VALUE(IF($D432="poš",$C432,0))+VALUE(IF($H432="poš",$G432,0))</f>
        <v>0</v>
      </c>
      <c r="X432" s="148" t="n">
        <f aca="false">VALUE(IF($D432="tel",$C432,0))+VALUE(IF($H432="tel",$G432,0))</f>
        <v>0</v>
      </c>
      <c r="Y432" s="148" t="n">
        <f aca="false">VALUE(IF($D432="dop",$C432,0))+VALUE(IF($H432="dop",$G432,0))</f>
        <v>0</v>
      </c>
      <c r="Z432" s="148" t="n">
        <f aca="false">VALUE(IF($D432="nák",$C432,0))+VALUE(IF($H432="nák",$G432,0))</f>
        <v>0</v>
      </c>
      <c r="AA432" s="148" t="n">
        <f aca="false">VALUE(IF($D432="náj",$C432,0))+VALUE(IF($H432="náj",$G432,0))</f>
        <v>0</v>
      </c>
      <c r="AB432" s="148" t="n">
        <f aca="false">VALUE(IF($D432="půj",$C432,0))+VALUE(IF($H432="půj",$G432,0))</f>
        <v>0</v>
      </c>
      <c r="AC432" s="148" t="n">
        <f aca="false">VALUE(IF($D432="vst",$C432,0))+VALUE(IF($H432="vst",$G432,0))</f>
        <v>0</v>
      </c>
      <c r="AD432" s="148" t="n">
        <f aca="false">VALUE(IF($D432="kop",$C432,0))+VALUE(IF($H432="kop",$G432,0))</f>
        <v>0</v>
      </c>
      <c r="AE432" s="148" t="n">
        <f aca="false">VALUE(IF($D432="osl",$C432,0))+VALUE(IF($H432="osl",$G432,0))</f>
        <v>0</v>
      </c>
      <c r="AF432" s="148" t="n">
        <f aca="false">VALUE(IF($D432="vra",$C432,0))+VALUE(IF($H432="vra",$G432,0))</f>
        <v>0</v>
      </c>
      <c r="AG432" s="148" t="n">
        <f aca="false">VALUE(IF($D432="zho",$C432,0))+VALUE(IF($H432="zho",$G432,0))</f>
        <v>0</v>
      </c>
      <c r="AH432" s="148" t="n">
        <f aca="false">VALUE(IF($D432="zbú",$C432,0))+VALUE(IF($H432="zbú",$G432,0))</f>
        <v>0</v>
      </c>
      <c r="AI432" s="148" t="n">
        <f aca="false">VALUE(IF($D432="pří",$C432,0))+VALUE(IF($H432="pří",$G432,0))</f>
        <v>0</v>
      </c>
      <c r="AJ432" s="148" t="n">
        <f aca="false">VALUE(IF($D432="dot",$C432,0))+VALUE(IF($H432="dot",$G432,0))</f>
        <v>0</v>
      </c>
      <c r="AK432" s="148" t="n">
        <f aca="false">VALUE(IF($D432="opř",$C432,0))+VALUE(IF($H432="opř",$G432,0))</f>
        <v>0</v>
      </c>
      <c r="AL432" s="148" t="n">
        <f aca="false">SUM(P432:AK432)</f>
        <v>0</v>
      </c>
    </row>
    <row r="433" customFormat="false" ht="12.75" hidden="false" customHeight="false" outlineLevel="0" collapsed="false">
      <c r="P433" s="148" t="n">
        <f aca="false">VALUE(IF($D433="vyb",$C433,0))+VALUE(IF($H433="vyb",$G433,0))</f>
        <v>0</v>
      </c>
      <c r="Q433" s="148" t="n">
        <f aca="false">VALUE(IF($D433="mtv",$C433,0))+VALUE(IF($H433="mtv",$G433,0))</f>
        <v>0</v>
      </c>
      <c r="R433" s="148" t="n">
        <f aca="false">VALUE(IF($D433="mat",$C433,0))+VALUE(IF($H433="mat",$G433,0))</f>
        <v>0</v>
      </c>
      <c r="S433" s="148" t="n">
        <f aca="false">VALUE(IF($D433="pot",$C433,0))+VALUE(IF($H433="pot",$G433,0))</f>
        <v>0</v>
      </c>
      <c r="T433" s="148" t="n">
        <f aca="false">VALUE(IF($D433="táb",$C433,0))+VALUE(IF($H433="táb",$G433,0))</f>
        <v>0</v>
      </c>
      <c r="U433" s="148" t="n">
        <f aca="false">VALUE(IF($D433="oma",$C433,0))+VALUE(IF($H433="oma",$G433,0))</f>
        <v>0</v>
      </c>
      <c r="V433" s="148" t="n">
        <f aca="false">VALUE(IF($D433="ces",$C433,0))+VALUE(IF($H433="ces",$G433,0))</f>
        <v>0</v>
      </c>
      <c r="W433" s="148" t="n">
        <f aca="false">VALUE(IF($D433="poš",$C433,0))+VALUE(IF($H433="poš",$G433,0))</f>
        <v>0</v>
      </c>
      <c r="X433" s="148" t="n">
        <f aca="false">VALUE(IF($D433="tel",$C433,0))+VALUE(IF($H433="tel",$G433,0))</f>
        <v>0</v>
      </c>
      <c r="Y433" s="148" t="n">
        <f aca="false">VALUE(IF($D433="dop",$C433,0))+VALUE(IF($H433="dop",$G433,0))</f>
        <v>0</v>
      </c>
      <c r="Z433" s="148" t="n">
        <f aca="false">VALUE(IF($D433="nák",$C433,0))+VALUE(IF($H433="nák",$G433,0))</f>
        <v>0</v>
      </c>
      <c r="AA433" s="148" t="n">
        <f aca="false">VALUE(IF($D433="náj",$C433,0))+VALUE(IF($H433="náj",$G433,0))</f>
        <v>0</v>
      </c>
      <c r="AB433" s="148" t="n">
        <f aca="false">VALUE(IF($D433="půj",$C433,0))+VALUE(IF($H433="půj",$G433,0))</f>
        <v>0</v>
      </c>
      <c r="AC433" s="148" t="n">
        <f aca="false">VALUE(IF($D433="vst",$C433,0))+VALUE(IF($H433="vst",$G433,0))</f>
        <v>0</v>
      </c>
      <c r="AD433" s="148" t="n">
        <f aca="false">VALUE(IF($D433="kop",$C433,0))+VALUE(IF($H433="kop",$G433,0))</f>
        <v>0</v>
      </c>
      <c r="AE433" s="148" t="n">
        <f aca="false">VALUE(IF($D433="osl",$C433,0))+VALUE(IF($H433="osl",$G433,0))</f>
        <v>0</v>
      </c>
      <c r="AF433" s="148" t="n">
        <f aca="false">VALUE(IF($D433="vra",$C433,0))+VALUE(IF($H433="vra",$G433,0))</f>
        <v>0</v>
      </c>
      <c r="AG433" s="148" t="n">
        <f aca="false">VALUE(IF($D433="zho",$C433,0))+VALUE(IF($H433="zho",$G433,0))</f>
        <v>0</v>
      </c>
      <c r="AH433" s="148" t="n">
        <f aca="false">VALUE(IF($D433="zbú",$C433,0))+VALUE(IF($H433="zbú",$G433,0))</f>
        <v>0</v>
      </c>
      <c r="AI433" s="148" t="n">
        <f aca="false">VALUE(IF($D433="pří",$C433,0))+VALUE(IF($H433="pří",$G433,0))</f>
        <v>0</v>
      </c>
      <c r="AJ433" s="148" t="n">
        <f aca="false">VALUE(IF($D433="dot",$C433,0))+VALUE(IF($H433="dot",$G433,0))</f>
        <v>0</v>
      </c>
      <c r="AK433" s="148" t="n">
        <f aca="false">VALUE(IF($D433="opř",$C433,0))+VALUE(IF($H433="opř",$G433,0))</f>
        <v>0</v>
      </c>
      <c r="AL433" s="148" t="n">
        <f aca="false">SUM(P433:AK433)</f>
        <v>0</v>
      </c>
    </row>
    <row r="434" customFormat="false" ht="12.75" hidden="false" customHeight="false" outlineLevel="0" collapsed="false">
      <c r="P434" s="148" t="n">
        <f aca="false">VALUE(IF($D434="vyb",$C434,0))+VALUE(IF($H434="vyb",$G434,0))</f>
        <v>0</v>
      </c>
      <c r="Q434" s="148" t="n">
        <f aca="false">VALUE(IF($D434="mtv",$C434,0))+VALUE(IF($H434="mtv",$G434,0))</f>
        <v>0</v>
      </c>
      <c r="R434" s="148" t="n">
        <f aca="false">VALUE(IF($D434="mat",$C434,0))+VALUE(IF($H434="mat",$G434,0))</f>
        <v>0</v>
      </c>
      <c r="S434" s="148" t="n">
        <f aca="false">VALUE(IF($D434="pot",$C434,0))+VALUE(IF($H434="pot",$G434,0))</f>
        <v>0</v>
      </c>
      <c r="T434" s="148" t="n">
        <f aca="false">VALUE(IF($D434="táb",$C434,0))+VALUE(IF($H434="táb",$G434,0))</f>
        <v>0</v>
      </c>
      <c r="U434" s="148" t="n">
        <f aca="false">VALUE(IF($D434="oma",$C434,0))+VALUE(IF($H434="oma",$G434,0))</f>
        <v>0</v>
      </c>
      <c r="V434" s="148" t="n">
        <f aca="false">VALUE(IF($D434="ces",$C434,0))+VALUE(IF($H434="ces",$G434,0))</f>
        <v>0</v>
      </c>
      <c r="W434" s="148" t="n">
        <f aca="false">VALUE(IF($D434="poš",$C434,0))+VALUE(IF($H434="poš",$G434,0))</f>
        <v>0</v>
      </c>
      <c r="X434" s="148" t="n">
        <f aca="false">VALUE(IF($D434="tel",$C434,0))+VALUE(IF($H434="tel",$G434,0))</f>
        <v>0</v>
      </c>
      <c r="Y434" s="148" t="n">
        <f aca="false">VALUE(IF($D434="dop",$C434,0))+VALUE(IF($H434="dop",$G434,0))</f>
        <v>0</v>
      </c>
      <c r="Z434" s="148" t="n">
        <f aca="false">VALUE(IF($D434="nák",$C434,0))+VALUE(IF($H434="nák",$G434,0))</f>
        <v>0</v>
      </c>
      <c r="AA434" s="148" t="n">
        <f aca="false">VALUE(IF($D434="náj",$C434,0))+VALUE(IF($H434="náj",$G434,0))</f>
        <v>0</v>
      </c>
      <c r="AB434" s="148" t="n">
        <f aca="false">VALUE(IF($D434="půj",$C434,0))+VALUE(IF($H434="půj",$G434,0))</f>
        <v>0</v>
      </c>
      <c r="AC434" s="148" t="n">
        <f aca="false">VALUE(IF($D434="vst",$C434,0))+VALUE(IF($H434="vst",$G434,0))</f>
        <v>0</v>
      </c>
      <c r="AD434" s="148" t="n">
        <f aca="false">VALUE(IF($D434="kop",$C434,0))+VALUE(IF($H434="kop",$G434,0))</f>
        <v>0</v>
      </c>
      <c r="AE434" s="148" t="n">
        <f aca="false">VALUE(IF($D434="osl",$C434,0))+VALUE(IF($H434="osl",$G434,0))</f>
        <v>0</v>
      </c>
      <c r="AF434" s="148" t="n">
        <f aca="false">VALUE(IF($D434="vra",$C434,0))+VALUE(IF($H434="vra",$G434,0))</f>
        <v>0</v>
      </c>
      <c r="AG434" s="148" t="n">
        <f aca="false">VALUE(IF($D434="zho",$C434,0))+VALUE(IF($H434="zho",$G434,0))</f>
        <v>0</v>
      </c>
      <c r="AH434" s="148" t="n">
        <f aca="false">VALUE(IF($D434="zbú",$C434,0))+VALUE(IF($H434="zbú",$G434,0))</f>
        <v>0</v>
      </c>
      <c r="AI434" s="148" t="n">
        <f aca="false">VALUE(IF($D434="pří",$C434,0))+VALUE(IF($H434="pří",$G434,0))</f>
        <v>0</v>
      </c>
      <c r="AJ434" s="148" t="n">
        <f aca="false">VALUE(IF($D434="dot",$C434,0))+VALUE(IF($H434="dot",$G434,0))</f>
        <v>0</v>
      </c>
      <c r="AK434" s="148" t="n">
        <f aca="false">VALUE(IF($D434="opř",$C434,0))+VALUE(IF($H434="opř",$G434,0))</f>
        <v>0</v>
      </c>
      <c r="AL434" s="148" t="n">
        <f aca="false">SUM(P434:AK434)</f>
        <v>0</v>
      </c>
    </row>
    <row r="435" customFormat="false" ht="12.75" hidden="false" customHeight="false" outlineLevel="0" collapsed="false">
      <c r="P435" s="148" t="n">
        <f aca="false">VALUE(IF($D435="vyb",$C435,0))+VALUE(IF($H435="vyb",$G435,0))</f>
        <v>0</v>
      </c>
      <c r="Q435" s="148" t="n">
        <f aca="false">VALUE(IF($D435="mtv",$C435,0))+VALUE(IF($H435="mtv",$G435,0))</f>
        <v>0</v>
      </c>
      <c r="R435" s="148" t="n">
        <f aca="false">VALUE(IF($D435="mat",$C435,0))+VALUE(IF($H435="mat",$G435,0))</f>
        <v>0</v>
      </c>
      <c r="S435" s="148" t="n">
        <f aca="false">VALUE(IF($D435="pot",$C435,0))+VALUE(IF($H435="pot",$G435,0))</f>
        <v>0</v>
      </c>
      <c r="T435" s="148" t="n">
        <f aca="false">VALUE(IF($D435="táb",$C435,0))+VALUE(IF($H435="táb",$G435,0))</f>
        <v>0</v>
      </c>
      <c r="U435" s="148" t="n">
        <f aca="false">VALUE(IF($D435="oma",$C435,0))+VALUE(IF($H435="oma",$G435,0))</f>
        <v>0</v>
      </c>
      <c r="V435" s="148" t="n">
        <f aca="false">VALUE(IF($D435="ces",$C435,0))+VALUE(IF($H435="ces",$G435,0))</f>
        <v>0</v>
      </c>
      <c r="W435" s="148" t="n">
        <f aca="false">VALUE(IF($D435="poš",$C435,0))+VALUE(IF($H435="poš",$G435,0))</f>
        <v>0</v>
      </c>
      <c r="X435" s="148" t="n">
        <f aca="false">VALUE(IF($D435="tel",$C435,0))+VALUE(IF($H435="tel",$G435,0))</f>
        <v>0</v>
      </c>
      <c r="Y435" s="148" t="n">
        <f aca="false">VALUE(IF($D435="dop",$C435,0))+VALUE(IF($H435="dop",$G435,0))</f>
        <v>0</v>
      </c>
      <c r="Z435" s="148" t="n">
        <f aca="false">VALUE(IF($D435="nák",$C435,0))+VALUE(IF($H435="nák",$G435,0))</f>
        <v>0</v>
      </c>
      <c r="AA435" s="148" t="n">
        <f aca="false">VALUE(IF($D435="náj",$C435,0))+VALUE(IF($H435="náj",$G435,0))</f>
        <v>0</v>
      </c>
      <c r="AB435" s="148" t="n">
        <f aca="false">VALUE(IF($D435="půj",$C435,0))+VALUE(IF($H435="půj",$G435,0))</f>
        <v>0</v>
      </c>
      <c r="AC435" s="148" t="n">
        <f aca="false">VALUE(IF($D435="vst",$C435,0))+VALUE(IF($H435="vst",$G435,0))</f>
        <v>0</v>
      </c>
      <c r="AD435" s="148" t="n">
        <f aca="false">VALUE(IF($D435="kop",$C435,0))+VALUE(IF($H435="kop",$G435,0))</f>
        <v>0</v>
      </c>
      <c r="AE435" s="148" t="n">
        <f aca="false">VALUE(IF($D435="osl",$C435,0))+VALUE(IF($H435="osl",$G435,0))</f>
        <v>0</v>
      </c>
      <c r="AF435" s="148" t="n">
        <f aca="false">VALUE(IF($D435="vra",$C435,0))+VALUE(IF($H435="vra",$G435,0))</f>
        <v>0</v>
      </c>
      <c r="AG435" s="148" t="n">
        <f aca="false">VALUE(IF($D435="zho",$C435,0))+VALUE(IF($H435="zho",$G435,0))</f>
        <v>0</v>
      </c>
      <c r="AH435" s="148" t="n">
        <f aca="false">VALUE(IF($D435="zbú",$C435,0))+VALUE(IF($H435="zbú",$G435,0))</f>
        <v>0</v>
      </c>
      <c r="AI435" s="148" t="n">
        <f aca="false">VALUE(IF($D435="pří",$C435,0))+VALUE(IF($H435="pří",$G435,0))</f>
        <v>0</v>
      </c>
      <c r="AJ435" s="148" t="n">
        <f aca="false">VALUE(IF($D435="dot",$C435,0))+VALUE(IF($H435="dot",$G435,0))</f>
        <v>0</v>
      </c>
      <c r="AK435" s="148" t="n">
        <f aca="false">VALUE(IF($D435="opř",$C435,0))+VALUE(IF($H435="opř",$G435,0))</f>
        <v>0</v>
      </c>
      <c r="AL435" s="148" t="n">
        <f aca="false">SUM(P435:AK435)</f>
        <v>0</v>
      </c>
    </row>
    <row r="436" customFormat="false" ht="12.75" hidden="false" customHeight="false" outlineLevel="0" collapsed="false">
      <c r="P436" s="148" t="n">
        <f aca="false">VALUE(IF($D436="vyb",$C436,0))+VALUE(IF($H436="vyb",$G436,0))</f>
        <v>0</v>
      </c>
      <c r="Q436" s="148" t="n">
        <f aca="false">VALUE(IF($D436="mtv",$C436,0))+VALUE(IF($H436="mtv",$G436,0))</f>
        <v>0</v>
      </c>
      <c r="R436" s="148" t="n">
        <f aca="false">VALUE(IF($D436="mat",$C436,0))+VALUE(IF($H436="mat",$G436,0))</f>
        <v>0</v>
      </c>
      <c r="S436" s="148" t="n">
        <f aca="false">VALUE(IF($D436="pot",$C436,0))+VALUE(IF($H436="pot",$G436,0))</f>
        <v>0</v>
      </c>
      <c r="T436" s="148" t="n">
        <f aca="false">VALUE(IF($D436="táb",$C436,0))+VALUE(IF($H436="táb",$G436,0))</f>
        <v>0</v>
      </c>
      <c r="U436" s="148" t="n">
        <f aca="false">VALUE(IF($D436="oma",$C436,0))+VALUE(IF($H436="oma",$G436,0))</f>
        <v>0</v>
      </c>
      <c r="V436" s="148" t="n">
        <f aca="false">VALUE(IF($D436="ces",$C436,0))+VALUE(IF($H436="ces",$G436,0))</f>
        <v>0</v>
      </c>
      <c r="W436" s="148" t="n">
        <f aca="false">VALUE(IF($D436="poš",$C436,0))+VALUE(IF($H436="poš",$G436,0))</f>
        <v>0</v>
      </c>
      <c r="X436" s="148" t="n">
        <f aca="false">VALUE(IF($D436="tel",$C436,0))+VALUE(IF($H436="tel",$G436,0))</f>
        <v>0</v>
      </c>
      <c r="Y436" s="148" t="n">
        <f aca="false">VALUE(IF($D436="dop",$C436,0))+VALUE(IF($H436="dop",$G436,0))</f>
        <v>0</v>
      </c>
      <c r="Z436" s="148" t="n">
        <f aca="false">VALUE(IF($D436="nák",$C436,0))+VALUE(IF($H436="nák",$G436,0))</f>
        <v>0</v>
      </c>
      <c r="AA436" s="148" t="n">
        <f aca="false">VALUE(IF($D436="náj",$C436,0))+VALUE(IF($H436="náj",$G436,0))</f>
        <v>0</v>
      </c>
      <c r="AB436" s="148" t="n">
        <f aca="false">VALUE(IF($D436="půj",$C436,0))+VALUE(IF($H436="půj",$G436,0))</f>
        <v>0</v>
      </c>
      <c r="AC436" s="148" t="n">
        <f aca="false">VALUE(IF($D436="vst",$C436,0))+VALUE(IF($H436="vst",$G436,0))</f>
        <v>0</v>
      </c>
      <c r="AD436" s="148" t="n">
        <f aca="false">VALUE(IF($D436="kop",$C436,0))+VALUE(IF($H436="kop",$G436,0))</f>
        <v>0</v>
      </c>
      <c r="AE436" s="148" t="n">
        <f aca="false">VALUE(IF($D436="osl",$C436,0))+VALUE(IF($H436="osl",$G436,0))</f>
        <v>0</v>
      </c>
      <c r="AF436" s="148" t="n">
        <f aca="false">VALUE(IF($D436="vra",$C436,0))+VALUE(IF($H436="vra",$G436,0))</f>
        <v>0</v>
      </c>
      <c r="AG436" s="148" t="n">
        <f aca="false">VALUE(IF($D436="zho",$C436,0))+VALUE(IF($H436="zho",$G436,0))</f>
        <v>0</v>
      </c>
      <c r="AH436" s="148" t="n">
        <f aca="false">VALUE(IF($D436="zbú",$C436,0))+VALUE(IF($H436="zbú",$G436,0))</f>
        <v>0</v>
      </c>
      <c r="AI436" s="148" t="n">
        <f aca="false">VALUE(IF($D436="pří",$C436,0))+VALUE(IF($H436="pří",$G436,0))</f>
        <v>0</v>
      </c>
      <c r="AJ436" s="148" t="n">
        <f aca="false">VALUE(IF($D436="dot",$C436,0))+VALUE(IF($H436="dot",$G436,0))</f>
        <v>0</v>
      </c>
      <c r="AK436" s="148" t="n">
        <f aca="false">VALUE(IF($D436="opř",$C436,0))+VALUE(IF($H436="opř",$G436,0))</f>
        <v>0</v>
      </c>
      <c r="AL436" s="148" t="n">
        <f aca="false">SUM(P436:AK436)</f>
        <v>0</v>
      </c>
    </row>
    <row r="437" customFormat="false" ht="12.75" hidden="false" customHeight="false" outlineLevel="0" collapsed="false">
      <c r="P437" s="148" t="n">
        <f aca="false">VALUE(IF($D437="vyb",$C437,0))+VALUE(IF($H437="vyb",$G437,0))</f>
        <v>0</v>
      </c>
      <c r="Q437" s="148" t="n">
        <f aca="false">VALUE(IF($D437="mtv",$C437,0))+VALUE(IF($H437="mtv",$G437,0))</f>
        <v>0</v>
      </c>
      <c r="R437" s="148" t="n">
        <f aca="false">VALUE(IF($D437="mat",$C437,0))+VALUE(IF($H437="mat",$G437,0))</f>
        <v>0</v>
      </c>
      <c r="S437" s="148" t="n">
        <f aca="false">VALUE(IF($D437="pot",$C437,0))+VALUE(IF($H437="pot",$G437,0))</f>
        <v>0</v>
      </c>
      <c r="T437" s="148" t="n">
        <f aca="false">VALUE(IF($D437="táb",$C437,0))+VALUE(IF($H437="táb",$G437,0))</f>
        <v>0</v>
      </c>
      <c r="U437" s="148" t="n">
        <f aca="false">VALUE(IF($D437="oma",$C437,0))+VALUE(IF($H437="oma",$G437,0))</f>
        <v>0</v>
      </c>
      <c r="V437" s="148" t="n">
        <f aca="false">VALUE(IF($D437="ces",$C437,0))+VALUE(IF($H437="ces",$G437,0))</f>
        <v>0</v>
      </c>
      <c r="W437" s="148" t="n">
        <f aca="false">VALUE(IF($D437="poš",$C437,0))+VALUE(IF($H437="poš",$G437,0))</f>
        <v>0</v>
      </c>
      <c r="X437" s="148" t="n">
        <f aca="false">VALUE(IF($D437="tel",$C437,0))+VALUE(IF($H437="tel",$G437,0))</f>
        <v>0</v>
      </c>
      <c r="Y437" s="148" t="n">
        <f aca="false">VALUE(IF($D437="dop",$C437,0))+VALUE(IF($H437="dop",$G437,0))</f>
        <v>0</v>
      </c>
      <c r="Z437" s="148" t="n">
        <f aca="false">VALUE(IF($D437="nák",$C437,0))+VALUE(IF($H437="nák",$G437,0))</f>
        <v>0</v>
      </c>
      <c r="AA437" s="148" t="n">
        <f aca="false">VALUE(IF($D437="náj",$C437,0))+VALUE(IF($H437="náj",$G437,0))</f>
        <v>0</v>
      </c>
      <c r="AB437" s="148" t="n">
        <f aca="false">VALUE(IF($D437="půj",$C437,0))+VALUE(IF($H437="půj",$G437,0))</f>
        <v>0</v>
      </c>
      <c r="AC437" s="148" t="n">
        <f aca="false">VALUE(IF($D437="vst",$C437,0))+VALUE(IF($H437="vst",$G437,0))</f>
        <v>0</v>
      </c>
      <c r="AD437" s="148" t="n">
        <f aca="false">VALUE(IF($D437="kop",$C437,0))+VALUE(IF($H437="kop",$G437,0))</f>
        <v>0</v>
      </c>
      <c r="AE437" s="148" t="n">
        <f aca="false">VALUE(IF($D437="osl",$C437,0))+VALUE(IF($H437="osl",$G437,0))</f>
        <v>0</v>
      </c>
      <c r="AF437" s="148" t="n">
        <f aca="false">VALUE(IF($D437="vra",$C437,0))+VALUE(IF($H437="vra",$G437,0))</f>
        <v>0</v>
      </c>
      <c r="AG437" s="148" t="n">
        <f aca="false">VALUE(IF($D437="zho",$C437,0))+VALUE(IF($H437="zho",$G437,0))</f>
        <v>0</v>
      </c>
      <c r="AH437" s="148" t="n">
        <f aca="false">VALUE(IF($D437="zbú",$C437,0))+VALUE(IF($H437="zbú",$G437,0))</f>
        <v>0</v>
      </c>
      <c r="AI437" s="148" t="n">
        <f aca="false">VALUE(IF($D437="pří",$C437,0))+VALUE(IF($H437="pří",$G437,0))</f>
        <v>0</v>
      </c>
      <c r="AJ437" s="148" t="n">
        <f aca="false">VALUE(IF($D437="dot",$C437,0))+VALUE(IF($H437="dot",$G437,0))</f>
        <v>0</v>
      </c>
      <c r="AK437" s="148" t="n">
        <f aca="false">VALUE(IF($D437="opř",$C437,0))+VALUE(IF($H437="opř",$G437,0))</f>
        <v>0</v>
      </c>
      <c r="AL437" s="148" t="n">
        <f aca="false">SUM(P437:AK437)</f>
        <v>0</v>
      </c>
    </row>
    <row r="438" customFormat="false" ht="12.75" hidden="false" customHeight="false" outlineLevel="0" collapsed="false">
      <c r="P438" s="148" t="n">
        <f aca="false">VALUE(IF($D438="vyb",$C438,0))+VALUE(IF($H438="vyb",$G438,0))</f>
        <v>0</v>
      </c>
      <c r="Q438" s="148" t="n">
        <f aca="false">VALUE(IF($D438="mtv",$C438,0))+VALUE(IF($H438="mtv",$G438,0))</f>
        <v>0</v>
      </c>
      <c r="R438" s="148" t="n">
        <f aca="false">VALUE(IF($D438="mat",$C438,0))+VALUE(IF($H438="mat",$G438,0))</f>
        <v>0</v>
      </c>
      <c r="S438" s="148" t="n">
        <f aca="false">VALUE(IF($D438="pot",$C438,0))+VALUE(IF($H438="pot",$G438,0))</f>
        <v>0</v>
      </c>
      <c r="T438" s="148" t="n">
        <f aca="false">VALUE(IF($D438="táb",$C438,0))+VALUE(IF($H438="táb",$G438,0))</f>
        <v>0</v>
      </c>
      <c r="U438" s="148" t="n">
        <f aca="false">VALUE(IF($D438="oma",$C438,0))+VALUE(IF($H438="oma",$G438,0))</f>
        <v>0</v>
      </c>
      <c r="V438" s="148" t="n">
        <f aca="false">VALUE(IF($D438="ces",$C438,0))+VALUE(IF($H438="ces",$G438,0))</f>
        <v>0</v>
      </c>
      <c r="W438" s="148" t="n">
        <f aca="false">VALUE(IF($D438="poš",$C438,0))+VALUE(IF($H438="poš",$G438,0))</f>
        <v>0</v>
      </c>
      <c r="X438" s="148" t="n">
        <f aca="false">VALUE(IF($D438="tel",$C438,0))+VALUE(IF($H438="tel",$G438,0))</f>
        <v>0</v>
      </c>
      <c r="Y438" s="148" t="n">
        <f aca="false">VALUE(IF($D438="dop",$C438,0))+VALUE(IF($H438="dop",$G438,0))</f>
        <v>0</v>
      </c>
      <c r="Z438" s="148" t="n">
        <f aca="false">VALUE(IF($D438="nák",$C438,0))+VALUE(IF($H438="nák",$G438,0))</f>
        <v>0</v>
      </c>
      <c r="AA438" s="148" t="n">
        <f aca="false">VALUE(IF($D438="náj",$C438,0))+VALUE(IF($H438="náj",$G438,0))</f>
        <v>0</v>
      </c>
      <c r="AB438" s="148" t="n">
        <f aca="false">VALUE(IF($D438="půj",$C438,0))+VALUE(IF($H438="půj",$G438,0))</f>
        <v>0</v>
      </c>
      <c r="AC438" s="148" t="n">
        <f aca="false">VALUE(IF($D438="vst",$C438,0))+VALUE(IF($H438="vst",$G438,0))</f>
        <v>0</v>
      </c>
      <c r="AD438" s="148" t="n">
        <f aca="false">VALUE(IF($D438="kop",$C438,0))+VALUE(IF($H438="kop",$G438,0))</f>
        <v>0</v>
      </c>
      <c r="AE438" s="148" t="n">
        <f aca="false">VALUE(IF($D438="osl",$C438,0))+VALUE(IF($H438="osl",$G438,0))</f>
        <v>0</v>
      </c>
      <c r="AF438" s="148" t="n">
        <f aca="false">VALUE(IF($D438="vra",$C438,0))+VALUE(IF($H438="vra",$G438,0))</f>
        <v>0</v>
      </c>
      <c r="AG438" s="148" t="n">
        <f aca="false">VALUE(IF($D438="zho",$C438,0))+VALUE(IF($H438="zho",$G438,0))</f>
        <v>0</v>
      </c>
      <c r="AH438" s="148" t="n">
        <f aca="false">VALUE(IF($D438="zbú",$C438,0))+VALUE(IF($H438="zbú",$G438,0))</f>
        <v>0</v>
      </c>
      <c r="AI438" s="148" t="n">
        <f aca="false">VALUE(IF($D438="pří",$C438,0))+VALUE(IF($H438="pří",$G438,0))</f>
        <v>0</v>
      </c>
      <c r="AJ438" s="148" t="n">
        <f aca="false">VALUE(IF($D438="dot",$C438,0))+VALUE(IF($H438="dot",$G438,0))</f>
        <v>0</v>
      </c>
      <c r="AK438" s="148" t="n">
        <f aca="false">VALUE(IF($D438="opř",$C438,0))+VALUE(IF($H438="opř",$G438,0))</f>
        <v>0</v>
      </c>
      <c r="AL438" s="148" t="n">
        <f aca="false">SUM(P438:AK438)</f>
        <v>0</v>
      </c>
    </row>
    <row r="439" customFormat="false" ht="12.75" hidden="false" customHeight="false" outlineLevel="0" collapsed="false">
      <c r="P439" s="148" t="n">
        <f aca="false">VALUE(IF($D439="vyb",$C439,0))+VALUE(IF($H439="vyb",$G439,0))</f>
        <v>0</v>
      </c>
      <c r="Q439" s="148" t="n">
        <f aca="false">VALUE(IF($D439="mtv",$C439,0))+VALUE(IF($H439="mtv",$G439,0))</f>
        <v>0</v>
      </c>
      <c r="R439" s="148" t="n">
        <f aca="false">VALUE(IF($D439="mat",$C439,0))+VALUE(IF($H439="mat",$G439,0))</f>
        <v>0</v>
      </c>
      <c r="S439" s="148" t="n">
        <f aca="false">VALUE(IF($D439="pot",$C439,0))+VALUE(IF($H439="pot",$G439,0))</f>
        <v>0</v>
      </c>
      <c r="T439" s="148" t="n">
        <f aca="false">VALUE(IF($D439="táb",$C439,0))+VALUE(IF($H439="táb",$G439,0))</f>
        <v>0</v>
      </c>
      <c r="U439" s="148" t="n">
        <f aca="false">VALUE(IF($D439="oma",$C439,0))+VALUE(IF($H439="oma",$G439,0))</f>
        <v>0</v>
      </c>
      <c r="V439" s="148" t="n">
        <f aca="false">VALUE(IF($D439="ces",$C439,0))+VALUE(IF($H439="ces",$G439,0))</f>
        <v>0</v>
      </c>
      <c r="W439" s="148" t="n">
        <f aca="false">VALUE(IF($D439="poš",$C439,0))+VALUE(IF($H439="poš",$G439,0))</f>
        <v>0</v>
      </c>
      <c r="X439" s="148" t="n">
        <f aca="false">VALUE(IF($D439="tel",$C439,0))+VALUE(IF($H439="tel",$G439,0))</f>
        <v>0</v>
      </c>
      <c r="Y439" s="148" t="n">
        <f aca="false">VALUE(IF($D439="dop",$C439,0))+VALUE(IF($H439="dop",$G439,0))</f>
        <v>0</v>
      </c>
      <c r="Z439" s="148" t="n">
        <f aca="false">VALUE(IF($D439="nák",$C439,0))+VALUE(IF($H439="nák",$G439,0))</f>
        <v>0</v>
      </c>
      <c r="AA439" s="148" t="n">
        <f aca="false">VALUE(IF($D439="náj",$C439,0))+VALUE(IF($H439="náj",$G439,0))</f>
        <v>0</v>
      </c>
      <c r="AB439" s="148" t="n">
        <f aca="false">VALUE(IF($D439="půj",$C439,0))+VALUE(IF($H439="půj",$G439,0))</f>
        <v>0</v>
      </c>
      <c r="AC439" s="148" t="n">
        <f aca="false">VALUE(IF($D439="vst",$C439,0))+VALUE(IF($H439="vst",$G439,0))</f>
        <v>0</v>
      </c>
      <c r="AD439" s="148" t="n">
        <f aca="false">VALUE(IF($D439="kop",$C439,0))+VALUE(IF($H439="kop",$G439,0))</f>
        <v>0</v>
      </c>
      <c r="AE439" s="148" t="n">
        <f aca="false">VALUE(IF($D439="osl",$C439,0))+VALUE(IF($H439="osl",$G439,0))</f>
        <v>0</v>
      </c>
      <c r="AF439" s="148" t="n">
        <f aca="false">VALUE(IF($D439="vra",$C439,0))+VALUE(IF($H439="vra",$G439,0))</f>
        <v>0</v>
      </c>
      <c r="AG439" s="148" t="n">
        <f aca="false">VALUE(IF($D439="zho",$C439,0))+VALUE(IF($H439="zho",$G439,0))</f>
        <v>0</v>
      </c>
      <c r="AH439" s="148" t="n">
        <f aca="false">VALUE(IF($D439="zbú",$C439,0))+VALUE(IF($H439="zbú",$G439,0))</f>
        <v>0</v>
      </c>
      <c r="AI439" s="148" t="n">
        <f aca="false">VALUE(IF($D439="pří",$C439,0))+VALUE(IF($H439="pří",$G439,0))</f>
        <v>0</v>
      </c>
      <c r="AJ439" s="148" t="n">
        <f aca="false">VALUE(IF($D439="dot",$C439,0))+VALUE(IF($H439="dot",$G439,0))</f>
        <v>0</v>
      </c>
      <c r="AK439" s="148" t="n">
        <f aca="false">VALUE(IF($D439="opř",$C439,0))+VALUE(IF($H439="opř",$G439,0))</f>
        <v>0</v>
      </c>
      <c r="AL439" s="148" t="n">
        <f aca="false">SUM(P439:AK439)</f>
        <v>0</v>
      </c>
    </row>
    <row r="440" customFormat="false" ht="12.75" hidden="false" customHeight="false" outlineLevel="0" collapsed="false">
      <c r="P440" s="148" t="n">
        <f aca="false">VALUE(IF($D440="vyb",$C440,0))+VALUE(IF($H440="vyb",$G440,0))</f>
        <v>0</v>
      </c>
      <c r="Q440" s="148" t="n">
        <f aca="false">VALUE(IF($D440="mtv",$C440,0))+VALUE(IF($H440="mtv",$G440,0))</f>
        <v>0</v>
      </c>
      <c r="R440" s="148" t="n">
        <f aca="false">VALUE(IF($D440="mat",$C440,0))+VALUE(IF($H440="mat",$G440,0))</f>
        <v>0</v>
      </c>
      <c r="S440" s="148" t="n">
        <f aca="false">VALUE(IF($D440="pot",$C440,0))+VALUE(IF($H440="pot",$G440,0))</f>
        <v>0</v>
      </c>
      <c r="T440" s="148" t="n">
        <f aca="false">VALUE(IF($D440="táb",$C440,0))+VALUE(IF($H440="táb",$G440,0))</f>
        <v>0</v>
      </c>
      <c r="U440" s="148" t="n">
        <f aca="false">VALUE(IF($D440="oma",$C440,0))+VALUE(IF($H440="oma",$G440,0))</f>
        <v>0</v>
      </c>
      <c r="V440" s="148" t="n">
        <f aca="false">VALUE(IF($D440="ces",$C440,0))+VALUE(IF($H440="ces",$G440,0))</f>
        <v>0</v>
      </c>
      <c r="W440" s="148" t="n">
        <f aca="false">VALUE(IF($D440="poš",$C440,0))+VALUE(IF($H440="poš",$G440,0))</f>
        <v>0</v>
      </c>
      <c r="X440" s="148" t="n">
        <f aca="false">VALUE(IF($D440="tel",$C440,0))+VALUE(IF($H440="tel",$G440,0))</f>
        <v>0</v>
      </c>
      <c r="Y440" s="148" t="n">
        <f aca="false">VALUE(IF($D440="dop",$C440,0))+VALUE(IF($H440="dop",$G440,0))</f>
        <v>0</v>
      </c>
      <c r="Z440" s="148" t="n">
        <f aca="false">VALUE(IF($D440="nák",$C440,0))+VALUE(IF($H440="nák",$G440,0))</f>
        <v>0</v>
      </c>
      <c r="AA440" s="148" t="n">
        <f aca="false">VALUE(IF($D440="náj",$C440,0))+VALUE(IF($H440="náj",$G440,0))</f>
        <v>0</v>
      </c>
      <c r="AB440" s="148" t="n">
        <f aca="false">VALUE(IF($D440="půj",$C440,0))+VALUE(IF($H440="půj",$G440,0))</f>
        <v>0</v>
      </c>
      <c r="AC440" s="148" t="n">
        <f aca="false">VALUE(IF($D440="vst",$C440,0))+VALUE(IF($H440="vst",$G440,0))</f>
        <v>0</v>
      </c>
      <c r="AD440" s="148" t="n">
        <f aca="false">VALUE(IF($D440="kop",$C440,0))+VALUE(IF($H440="kop",$G440,0))</f>
        <v>0</v>
      </c>
      <c r="AE440" s="148" t="n">
        <f aca="false">VALUE(IF($D440="osl",$C440,0))+VALUE(IF($H440="osl",$G440,0))</f>
        <v>0</v>
      </c>
      <c r="AF440" s="148" t="n">
        <f aca="false">VALUE(IF($D440="vra",$C440,0))+VALUE(IF($H440="vra",$G440,0))</f>
        <v>0</v>
      </c>
      <c r="AG440" s="148" t="n">
        <f aca="false">VALUE(IF($D440="zho",$C440,0))+VALUE(IF($H440="zho",$G440,0))</f>
        <v>0</v>
      </c>
      <c r="AH440" s="148" t="n">
        <f aca="false">VALUE(IF($D440="zbú",$C440,0))+VALUE(IF($H440="zbú",$G440,0))</f>
        <v>0</v>
      </c>
      <c r="AI440" s="148" t="n">
        <f aca="false">VALUE(IF($D440="pří",$C440,0))+VALUE(IF($H440="pří",$G440,0))</f>
        <v>0</v>
      </c>
      <c r="AJ440" s="148" t="n">
        <f aca="false">VALUE(IF($D440="dot",$C440,0))+VALUE(IF($H440="dot",$G440,0))</f>
        <v>0</v>
      </c>
      <c r="AK440" s="148" t="n">
        <f aca="false">VALUE(IF($D440="opř",$C440,0))+VALUE(IF($H440="opř",$G440,0))</f>
        <v>0</v>
      </c>
      <c r="AL440" s="148" t="n">
        <f aca="false">SUM(P440:AK440)</f>
        <v>0</v>
      </c>
    </row>
    <row r="441" customFormat="false" ht="12.75" hidden="false" customHeight="false" outlineLevel="0" collapsed="false">
      <c r="P441" s="148" t="n">
        <f aca="false">VALUE(IF($D441="vyb",$C441,0))+VALUE(IF($H441="vyb",$G441,0))</f>
        <v>0</v>
      </c>
      <c r="Q441" s="148" t="n">
        <f aca="false">VALUE(IF($D441="mtv",$C441,0))+VALUE(IF($H441="mtv",$G441,0))</f>
        <v>0</v>
      </c>
      <c r="R441" s="148" t="n">
        <f aca="false">VALUE(IF($D441="mat",$C441,0))+VALUE(IF($H441="mat",$G441,0))</f>
        <v>0</v>
      </c>
      <c r="S441" s="148" t="n">
        <f aca="false">VALUE(IF($D441="pot",$C441,0))+VALUE(IF($H441="pot",$G441,0))</f>
        <v>0</v>
      </c>
      <c r="T441" s="148" t="n">
        <f aca="false">VALUE(IF($D441="táb",$C441,0))+VALUE(IF($H441="táb",$G441,0))</f>
        <v>0</v>
      </c>
      <c r="U441" s="148" t="n">
        <f aca="false">VALUE(IF($D441="oma",$C441,0))+VALUE(IF($H441="oma",$G441,0))</f>
        <v>0</v>
      </c>
      <c r="V441" s="148" t="n">
        <f aca="false">VALUE(IF($D441="ces",$C441,0))+VALUE(IF($H441="ces",$G441,0))</f>
        <v>0</v>
      </c>
      <c r="W441" s="148" t="n">
        <f aca="false">VALUE(IF($D441="poš",$C441,0))+VALUE(IF($H441="poš",$G441,0))</f>
        <v>0</v>
      </c>
      <c r="X441" s="148" t="n">
        <f aca="false">VALUE(IF($D441="tel",$C441,0))+VALUE(IF($H441="tel",$G441,0))</f>
        <v>0</v>
      </c>
      <c r="Y441" s="148" t="n">
        <f aca="false">VALUE(IF($D441="dop",$C441,0))+VALUE(IF($H441="dop",$G441,0))</f>
        <v>0</v>
      </c>
      <c r="Z441" s="148" t="n">
        <f aca="false">VALUE(IF($D441="nák",$C441,0))+VALUE(IF($H441="nák",$G441,0))</f>
        <v>0</v>
      </c>
      <c r="AA441" s="148" t="n">
        <f aca="false">VALUE(IF($D441="náj",$C441,0))+VALUE(IF($H441="náj",$G441,0))</f>
        <v>0</v>
      </c>
      <c r="AB441" s="148" t="n">
        <f aca="false">VALUE(IF($D441="půj",$C441,0))+VALUE(IF($H441="půj",$G441,0))</f>
        <v>0</v>
      </c>
      <c r="AC441" s="148" t="n">
        <f aca="false">VALUE(IF($D441="vst",$C441,0))+VALUE(IF($H441="vst",$G441,0))</f>
        <v>0</v>
      </c>
      <c r="AD441" s="148" t="n">
        <f aca="false">VALUE(IF($D441="kop",$C441,0))+VALUE(IF($H441="kop",$G441,0))</f>
        <v>0</v>
      </c>
      <c r="AE441" s="148" t="n">
        <f aca="false">VALUE(IF($D441="osl",$C441,0))+VALUE(IF($H441="osl",$G441,0))</f>
        <v>0</v>
      </c>
      <c r="AF441" s="148" t="n">
        <f aca="false">VALUE(IF($D441="vra",$C441,0))+VALUE(IF($H441="vra",$G441,0))</f>
        <v>0</v>
      </c>
      <c r="AG441" s="148" t="n">
        <f aca="false">VALUE(IF($D441="zho",$C441,0))+VALUE(IF($H441="zho",$G441,0))</f>
        <v>0</v>
      </c>
      <c r="AH441" s="148" t="n">
        <f aca="false">VALUE(IF($D441="zbú",$C441,0))+VALUE(IF($H441="zbú",$G441,0))</f>
        <v>0</v>
      </c>
      <c r="AI441" s="148" t="n">
        <f aca="false">VALUE(IF($D441="pří",$C441,0))+VALUE(IF($H441="pří",$G441,0))</f>
        <v>0</v>
      </c>
      <c r="AJ441" s="148" t="n">
        <f aca="false">VALUE(IF($D441="dot",$C441,0))+VALUE(IF($H441="dot",$G441,0))</f>
        <v>0</v>
      </c>
      <c r="AK441" s="148" t="n">
        <f aca="false">VALUE(IF($D441="opř",$C441,0))+VALUE(IF($H441="opř",$G441,0))</f>
        <v>0</v>
      </c>
      <c r="AL441" s="148" t="n">
        <f aca="false">SUM(P441:AK441)</f>
        <v>0</v>
      </c>
    </row>
    <row r="442" customFormat="false" ht="12.75" hidden="false" customHeight="false" outlineLevel="0" collapsed="false">
      <c r="P442" s="148" t="n">
        <f aca="false">VALUE(IF($D442="vyb",$C442,0))+VALUE(IF($H442="vyb",$G442,0))</f>
        <v>0</v>
      </c>
      <c r="Q442" s="148" t="n">
        <f aca="false">VALUE(IF($D442="mtv",$C442,0))+VALUE(IF($H442="mtv",$G442,0))</f>
        <v>0</v>
      </c>
      <c r="R442" s="148" t="n">
        <f aca="false">VALUE(IF($D442="mat",$C442,0))+VALUE(IF($H442="mat",$G442,0))</f>
        <v>0</v>
      </c>
      <c r="S442" s="148" t="n">
        <f aca="false">VALUE(IF($D442="pot",$C442,0))+VALUE(IF($H442="pot",$G442,0))</f>
        <v>0</v>
      </c>
      <c r="T442" s="148" t="n">
        <f aca="false">VALUE(IF($D442="táb",$C442,0))+VALUE(IF($H442="táb",$G442,0))</f>
        <v>0</v>
      </c>
      <c r="U442" s="148" t="n">
        <f aca="false">VALUE(IF($D442="oma",$C442,0))+VALUE(IF($H442="oma",$G442,0))</f>
        <v>0</v>
      </c>
      <c r="V442" s="148" t="n">
        <f aca="false">VALUE(IF($D442="ces",$C442,0))+VALUE(IF($H442="ces",$G442,0))</f>
        <v>0</v>
      </c>
      <c r="W442" s="148" t="n">
        <f aca="false">VALUE(IF($D442="poš",$C442,0))+VALUE(IF($H442="poš",$G442,0))</f>
        <v>0</v>
      </c>
      <c r="X442" s="148" t="n">
        <f aca="false">VALUE(IF($D442="tel",$C442,0))+VALUE(IF($H442="tel",$G442,0))</f>
        <v>0</v>
      </c>
      <c r="Y442" s="148" t="n">
        <f aca="false">VALUE(IF($D442="dop",$C442,0))+VALUE(IF($H442="dop",$G442,0))</f>
        <v>0</v>
      </c>
      <c r="Z442" s="148" t="n">
        <f aca="false">VALUE(IF($D442="nák",$C442,0))+VALUE(IF($H442="nák",$G442,0))</f>
        <v>0</v>
      </c>
      <c r="AA442" s="148" t="n">
        <f aca="false">VALUE(IF($D442="náj",$C442,0))+VALUE(IF($H442="náj",$G442,0))</f>
        <v>0</v>
      </c>
      <c r="AB442" s="148" t="n">
        <f aca="false">VALUE(IF($D442="půj",$C442,0))+VALUE(IF($H442="půj",$G442,0))</f>
        <v>0</v>
      </c>
      <c r="AC442" s="148" t="n">
        <f aca="false">VALUE(IF($D442="vst",$C442,0))+VALUE(IF($H442="vst",$G442,0))</f>
        <v>0</v>
      </c>
      <c r="AD442" s="148" t="n">
        <f aca="false">VALUE(IF($D442="kop",$C442,0))+VALUE(IF($H442="kop",$G442,0))</f>
        <v>0</v>
      </c>
      <c r="AE442" s="148" t="n">
        <f aca="false">VALUE(IF($D442="osl",$C442,0))+VALUE(IF($H442="osl",$G442,0))</f>
        <v>0</v>
      </c>
      <c r="AF442" s="148" t="n">
        <f aca="false">VALUE(IF($D442="vra",$C442,0))+VALUE(IF($H442="vra",$G442,0))</f>
        <v>0</v>
      </c>
      <c r="AG442" s="148" t="n">
        <f aca="false">VALUE(IF($D442="zho",$C442,0))+VALUE(IF($H442="zho",$G442,0))</f>
        <v>0</v>
      </c>
      <c r="AH442" s="148" t="n">
        <f aca="false">VALUE(IF($D442="zbú",$C442,0))+VALUE(IF($H442="zbú",$G442,0))</f>
        <v>0</v>
      </c>
      <c r="AI442" s="148" t="n">
        <f aca="false">VALUE(IF($D442="pří",$C442,0))+VALUE(IF($H442="pří",$G442,0))</f>
        <v>0</v>
      </c>
      <c r="AJ442" s="148" t="n">
        <f aca="false">VALUE(IF($D442="dot",$C442,0))+VALUE(IF($H442="dot",$G442,0))</f>
        <v>0</v>
      </c>
      <c r="AK442" s="148" t="n">
        <f aca="false">VALUE(IF($D442="opř",$C442,0))+VALUE(IF($H442="opř",$G442,0))</f>
        <v>0</v>
      </c>
      <c r="AL442" s="148" t="n">
        <f aca="false">SUM(P442:AK442)</f>
        <v>0</v>
      </c>
    </row>
    <row r="443" customFormat="false" ht="12.75" hidden="false" customHeight="false" outlineLevel="0" collapsed="false">
      <c r="P443" s="148" t="n">
        <f aca="false">VALUE(IF($D443="vyb",$C443,0))+VALUE(IF($H443="vyb",$G443,0))</f>
        <v>0</v>
      </c>
      <c r="Q443" s="148" t="n">
        <f aca="false">VALUE(IF($D443="mtv",$C443,0))+VALUE(IF($H443="mtv",$G443,0))</f>
        <v>0</v>
      </c>
      <c r="R443" s="148" t="n">
        <f aca="false">VALUE(IF($D443="mat",$C443,0))+VALUE(IF($H443="mat",$G443,0))</f>
        <v>0</v>
      </c>
      <c r="S443" s="148" t="n">
        <f aca="false">VALUE(IF($D443="pot",$C443,0))+VALUE(IF($H443="pot",$G443,0))</f>
        <v>0</v>
      </c>
      <c r="T443" s="148" t="n">
        <f aca="false">VALUE(IF($D443="táb",$C443,0))+VALUE(IF($H443="táb",$G443,0))</f>
        <v>0</v>
      </c>
      <c r="U443" s="148" t="n">
        <f aca="false">VALUE(IF($D443="oma",$C443,0))+VALUE(IF($H443="oma",$G443,0))</f>
        <v>0</v>
      </c>
      <c r="V443" s="148" t="n">
        <f aca="false">VALUE(IF($D443="ces",$C443,0))+VALUE(IF($H443="ces",$G443,0))</f>
        <v>0</v>
      </c>
      <c r="W443" s="148" t="n">
        <f aca="false">VALUE(IF($D443="poš",$C443,0))+VALUE(IF($H443="poš",$G443,0))</f>
        <v>0</v>
      </c>
      <c r="X443" s="148" t="n">
        <f aca="false">VALUE(IF($D443="tel",$C443,0))+VALUE(IF($H443="tel",$G443,0))</f>
        <v>0</v>
      </c>
      <c r="Y443" s="148" t="n">
        <f aca="false">VALUE(IF($D443="dop",$C443,0))+VALUE(IF($H443="dop",$G443,0))</f>
        <v>0</v>
      </c>
      <c r="Z443" s="148" t="n">
        <f aca="false">VALUE(IF($D443="nák",$C443,0))+VALUE(IF($H443="nák",$G443,0))</f>
        <v>0</v>
      </c>
      <c r="AA443" s="148" t="n">
        <f aca="false">VALUE(IF($D443="náj",$C443,0))+VALUE(IF($H443="náj",$G443,0))</f>
        <v>0</v>
      </c>
      <c r="AB443" s="148" t="n">
        <f aca="false">VALUE(IF($D443="půj",$C443,0))+VALUE(IF($H443="půj",$G443,0))</f>
        <v>0</v>
      </c>
      <c r="AC443" s="148" t="n">
        <f aca="false">VALUE(IF($D443="vst",$C443,0))+VALUE(IF($H443="vst",$G443,0))</f>
        <v>0</v>
      </c>
      <c r="AD443" s="148" t="n">
        <f aca="false">VALUE(IF($D443="kop",$C443,0))+VALUE(IF($H443="kop",$G443,0))</f>
        <v>0</v>
      </c>
      <c r="AE443" s="148" t="n">
        <f aca="false">VALUE(IF($D443="osl",$C443,0))+VALUE(IF($H443="osl",$G443,0))</f>
        <v>0</v>
      </c>
      <c r="AF443" s="148" t="n">
        <f aca="false">VALUE(IF($D443="vra",$C443,0))+VALUE(IF($H443="vra",$G443,0))</f>
        <v>0</v>
      </c>
      <c r="AG443" s="148" t="n">
        <f aca="false">VALUE(IF($D443="zho",$C443,0))+VALUE(IF($H443="zho",$G443,0))</f>
        <v>0</v>
      </c>
      <c r="AH443" s="148" t="n">
        <f aca="false">VALUE(IF($D443="zbú",$C443,0))+VALUE(IF($H443="zbú",$G443,0))</f>
        <v>0</v>
      </c>
      <c r="AI443" s="148" t="n">
        <f aca="false">VALUE(IF($D443="pří",$C443,0))+VALUE(IF($H443="pří",$G443,0))</f>
        <v>0</v>
      </c>
      <c r="AJ443" s="148" t="n">
        <f aca="false">VALUE(IF($D443="dot",$C443,0))+VALUE(IF($H443="dot",$G443,0))</f>
        <v>0</v>
      </c>
      <c r="AK443" s="148" t="n">
        <f aca="false">VALUE(IF($D443="opř",$C443,0))+VALUE(IF($H443="opř",$G443,0))</f>
        <v>0</v>
      </c>
      <c r="AL443" s="148" t="n">
        <f aca="false">SUM(P443:AK443)</f>
        <v>0</v>
      </c>
    </row>
    <row r="444" customFormat="false" ht="12.75" hidden="false" customHeight="false" outlineLevel="0" collapsed="false">
      <c r="P444" s="148" t="n">
        <f aca="false">VALUE(IF($D444="vyb",$C444,0))+VALUE(IF($H444="vyb",$G444,0))</f>
        <v>0</v>
      </c>
      <c r="Q444" s="148" t="n">
        <f aca="false">VALUE(IF($D444="mtv",$C444,0))+VALUE(IF($H444="mtv",$G444,0))</f>
        <v>0</v>
      </c>
      <c r="R444" s="148" t="n">
        <f aca="false">VALUE(IF($D444="mat",$C444,0))+VALUE(IF($H444="mat",$G444,0))</f>
        <v>0</v>
      </c>
      <c r="S444" s="148" t="n">
        <f aca="false">VALUE(IF($D444="pot",$C444,0))+VALUE(IF($H444="pot",$G444,0))</f>
        <v>0</v>
      </c>
      <c r="T444" s="148" t="n">
        <f aca="false">VALUE(IF($D444="táb",$C444,0))+VALUE(IF($H444="táb",$G444,0))</f>
        <v>0</v>
      </c>
      <c r="U444" s="148" t="n">
        <f aca="false">VALUE(IF($D444="oma",$C444,0))+VALUE(IF($H444="oma",$G444,0))</f>
        <v>0</v>
      </c>
      <c r="V444" s="148" t="n">
        <f aca="false">VALUE(IF($D444="ces",$C444,0))+VALUE(IF($H444="ces",$G444,0))</f>
        <v>0</v>
      </c>
      <c r="W444" s="148" t="n">
        <f aca="false">VALUE(IF($D444="poš",$C444,0))+VALUE(IF($H444="poš",$G444,0))</f>
        <v>0</v>
      </c>
      <c r="X444" s="148" t="n">
        <f aca="false">VALUE(IF($D444="tel",$C444,0))+VALUE(IF($H444="tel",$G444,0))</f>
        <v>0</v>
      </c>
      <c r="Y444" s="148" t="n">
        <f aca="false">VALUE(IF($D444="dop",$C444,0))+VALUE(IF($H444="dop",$G444,0))</f>
        <v>0</v>
      </c>
      <c r="Z444" s="148" t="n">
        <f aca="false">VALUE(IF($D444="nák",$C444,0))+VALUE(IF($H444="nák",$G444,0))</f>
        <v>0</v>
      </c>
      <c r="AA444" s="148" t="n">
        <f aca="false">VALUE(IF($D444="náj",$C444,0))+VALUE(IF($H444="náj",$G444,0))</f>
        <v>0</v>
      </c>
      <c r="AB444" s="148" t="n">
        <f aca="false">VALUE(IF($D444="půj",$C444,0))+VALUE(IF($H444="půj",$G444,0))</f>
        <v>0</v>
      </c>
      <c r="AC444" s="148" t="n">
        <f aca="false">VALUE(IF($D444="vst",$C444,0))+VALUE(IF($H444="vst",$G444,0))</f>
        <v>0</v>
      </c>
      <c r="AD444" s="148" t="n">
        <f aca="false">VALUE(IF($D444="kop",$C444,0))+VALUE(IF($H444="kop",$G444,0))</f>
        <v>0</v>
      </c>
      <c r="AE444" s="148" t="n">
        <f aca="false">VALUE(IF($D444="osl",$C444,0))+VALUE(IF($H444="osl",$G444,0))</f>
        <v>0</v>
      </c>
      <c r="AF444" s="148" t="n">
        <f aca="false">VALUE(IF($D444="vra",$C444,0))+VALUE(IF($H444="vra",$G444,0))</f>
        <v>0</v>
      </c>
      <c r="AG444" s="148" t="n">
        <f aca="false">VALUE(IF($D444="zho",$C444,0))+VALUE(IF($H444="zho",$G444,0))</f>
        <v>0</v>
      </c>
      <c r="AH444" s="148" t="n">
        <f aca="false">VALUE(IF($D444="zbú",$C444,0))+VALUE(IF($H444="zbú",$G444,0))</f>
        <v>0</v>
      </c>
      <c r="AI444" s="148" t="n">
        <f aca="false">VALUE(IF($D444="pří",$C444,0))+VALUE(IF($H444="pří",$G444,0))</f>
        <v>0</v>
      </c>
      <c r="AJ444" s="148" t="n">
        <f aca="false">VALUE(IF($D444="dot",$C444,0))+VALUE(IF($H444="dot",$G444,0))</f>
        <v>0</v>
      </c>
      <c r="AK444" s="148" t="n">
        <f aca="false">VALUE(IF($D444="opř",$C444,0))+VALUE(IF($H444="opř",$G444,0))</f>
        <v>0</v>
      </c>
      <c r="AL444" s="148" t="n">
        <f aca="false">SUM(P444:AK444)</f>
        <v>0</v>
      </c>
    </row>
    <row r="445" customFormat="false" ht="12.75" hidden="false" customHeight="false" outlineLevel="0" collapsed="false">
      <c r="A445" s="277"/>
      <c r="B445" s="278"/>
      <c r="D445" s="278"/>
      <c r="E445" s="278"/>
      <c r="F445" s="278"/>
      <c r="G445" s="278"/>
      <c r="H445" s="278"/>
      <c r="I445" s="279"/>
      <c r="J445" s="279"/>
      <c r="K445" s="279"/>
      <c r="L445" s="279"/>
      <c r="M445" s="279"/>
      <c r="N445" s="279"/>
      <c r="O445" s="280"/>
      <c r="P445" s="281" t="n">
        <f aca="false">SUM(P30:P444)</f>
        <v>0</v>
      </c>
      <c r="Q445" s="281" t="n">
        <f aca="false">SUM(Q30:Q444)</f>
        <v>0</v>
      </c>
      <c r="R445" s="281" t="n">
        <f aca="false">SUM(R30:R444)</f>
        <v>0</v>
      </c>
      <c r="S445" s="281" t="n">
        <f aca="false">SUM(S30:S444)</f>
        <v>0</v>
      </c>
      <c r="T445" s="281" t="n">
        <f aca="false">SUM(T30:T444)</f>
        <v>0</v>
      </c>
      <c r="U445" s="281" t="n">
        <f aca="false">SUM(U30:U444)</f>
        <v>0</v>
      </c>
      <c r="V445" s="281" t="n">
        <f aca="false">SUM(V30:V444)</f>
        <v>0</v>
      </c>
      <c r="W445" s="281" t="n">
        <f aca="false">SUM(W30:W444)</f>
        <v>0</v>
      </c>
      <c r="X445" s="281" t="n">
        <f aca="false">SUM(X30:X444)</f>
        <v>0</v>
      </c>
      <c r="Y445" s="281" t="n">
        <f aca="false">SUM(Y30:Y444)</f>
        <v>0</v>
      </c>
      <c r="Z445" s="281" t="n">
        <f aca="false">SUM(Z30:Z444)</f>
        <v>0</v>
      </c>
      <c r="AA445" s="281" t="n">
        <f aca="false">SUM(AA30:AA444)</f>
        <v>0</v>
      </c>
      <c r="AB445" s="281" t="n">
        <f aca="false">SUM(AB30:AB444)</f>
        <v>0</v>
      </c>
      <c r="AC445" s="281" t="n">
        <f aca="false">SUM(AC30:AC444)</f>
        <v>0</v>
      </c>
      <c r="AD445" s="281" t="n">
        <f aca="false">SUM(AD30:AD444)</f>
        <v>0</v>
      </c>
      <c r="AE445" s="281" t="n">
        <f aca="false">SUM(AE30:AE444)</f>
        <v>0</v>
      </c>
      <c r="AF445" s="281" t="n">
        <f aca="false">SUM(AF30:AF444)</f>
        <v>0</v>
      </c>
      <c r="AG445" s="281" t="n">
        <f aca="false">SUM(AG30:AG444)</f>
        <v>0</v>
      </c>
      <c r="AH445" s="281" t="n">
        <f aca="false">SUM(AH30:AH444)</f>
        <v>0</v>
      </c>
      <c r="AI445" s="281" t="n">
        <f aca="false">SUM(AI30:AI444)</f>
        <v>0</v>
      </c>
      <c r="AJ445" s="281" t="n">
        <f aca="false">SUM(AJ30:AJ444)</f>
        <v>0</v>
      </c>
      <c r="AK445" s="281" t="n">
        <f aca="false">SUM(AK30:AK444)</f>
        <v>0</v>
      </c>
      <c r="AL445" s="279"/>
      <c r="AM445" s="279"/>
      <c r="AN445" s="279"/>
      <c r="AO445" s="282"/>
      <c r="AR445" s="279"/>
      <c r="AS445" s="279"/>
      <c r="AT445" s="279"/>
      <c r="AU445" s="279"/>
      <c r="AV445" s="279"/>
      <c r="AW445" s="279"/>
      <c r="AX445" s="279"/>
      <c r="AY445" s="279"/>
      <c r="AZ445" s="279"/>
      <c r="BA445" s="279"/>
      <c r="BB445" s="279"/>
      <c r="BC445" s="279"/>
      <c r="BD445" s="279"/>
    </row>
    <row r="446" customFormat="false" ht="12.75" hidden="false" customHeight="false" outlineLevel="0" collapsed="false">
      <c r="P446" s="168" t="s">
        <v>52</v>
      </c>
      <c r="Q446" s="168" t="s">
        <v>55</v>
      </c>
      <c r="R446" s="168" t="s">
        <v>49</v>
      </c>
      <c r="S446" s="168" t="s">
        <v>36</v>
      </c>
      <c r="T446" s="168" t="s">
        <v>58</v>
      </c>
      <c r="U446" s="168" t="s">
        <v>61</v>
      </c>
      <c r="V446" s="168" t="s">
        <v>45</v>
      </c>
      <c r="W446" s="168" t="s">
        <v>64</v>
      </c>
      <c r="X446" s="168" t="s">
        <v>70</v>
      </c>
      <c r="Y446" s="168" t="s">
        <v>39</v>
      </c>
      <c r="Z446" s="168" t="s">
        <v>42</v>
      </c>
      <c r="AA446" s="168" t="s">
        <v>31</v>
      </c>
      <c r="AB446" s="168" t="s">
        <v>73</v>
      </c>
      <c r="AC446" s="168" t="s">
        <v>47</v>
      </c>
      <c r="AD446" s="168" t="s">
        <v>67</v>
      </c>
      <c r="AE446" s="168" t="s">
        <v>76</v>
      </c>
      <c r="AF446" s="168" t="s">
        <v>95</v>
      </c>
      <c r="AG446" s="168" t="s">
        <v>93</v>
      </c>
      <c r="AH446" s="168" t="s">
        <v>115</v>
      </c>
      <c r="AI446" s="168" t="s">
        <v>82</v>
      </c>
      <c r="AJ446" s="168" t="s">
        <v>85</v>
      </c>
      <c r="AK446" s="168" t="s">
        <v>88</v>
      </c>
    </row>
  </sheetData>
  <mergeCells count="7">
    <mergeCell ref="B1:H1"/>
    <mergeCell ref="B4:H4"/>
    <mergeCell ref="B28:H28"/>
    <mergeCell ref="B59:H59"/>
    <mergeCell ref="B77:H77"/>
    <mergeCell ref="B119:H119"/>
    <mergeCell ref="B180:H180"/>
  </mergeCells>
  <conditionalFormatting sqref="C2">
    <cfRule type="cellIs" priority="2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629861111111111" right="0.629861111111111" top="0.747916666666667" bottom="0.748611111111111" header="0.511811023622047" footer="0.315277777777778"/>
  <pageSetup paperSize="9" scale="92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&amp;R&amp;F - &amp;A</oddFooter>
  </headerFooter>
  <rowBreaks count="2" manualBreakCount="2">
    <brk id="58" man="true" max="16383" min="0"/>
    <brk id="118" man="true" max="16383" min="0"/>
  </rowBreaks>
  <colBreaks count="1" manualBreakCount="1">
    <brk id="10" man="true" max="65535" min="0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AZ11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D12" activeCellId="0" sqref="D12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148" width="10.13"/>
    <col collapsed="false" customWidth="true" hidden="false" outlineLevel="0" max="2" min="2" style="0" width="1.7"/>
    <col collapsed="false" customWidth="true" hidden="false" outlineLevel="0" max="3" min="3" style="0" width="4.28"/>
    <col collapsed="false" customWidth="true" hidden="false" outlineLevel="0" max="4" min="4" style="149" width="31.99"/>
    <col collapsed="false" customWidth="true" hidden="false" outlineLevel="0" max="5" min="5" style="0" width="14.85"/>
    <col collapsed="false" customWidth="true" hidden="true" outlineLevel="0" max="6" min="6" style="0" width="21.84"/>
    <col collapsed="false" customWidth="true" hidden="true" outlineLevel="0" max="7" min="7" style="0" width="6.56"/>
    <col collapsed="false" customWidth="true" hidden="false" outlineLevel="0" max="8" min="8" style="283" width="14.7"/>
    <col collapsed="false" customWidth="true" hidden="false" outlineLevel="0" max="9" min="9" style="284" width="13.99"/>
    <col collapsed="false" customWidth="true" hidden="false" outlineLevel="0" max="10" min="10" style="0" width="2.28"/>
    <col collapsed="false" customWidth="true" hidden="false" outlineLevel="0" max="13" min="13" style="0" width="33.14"/>
  </cols>
  <sheetData>
    <row r="1" customFormat="false" ht="37.5" hidden="false" customHeight="false" outlineLevel="0" collapsed="false">
      <c r="A1" s="285" t="s">
        <v>126</v>
      </c>
      <c r="B1" s="285"/>
      <c r="C1" s="285"/>
      <c r="D1" s="285"/>
      <c r="E1" s="285"/>
      <c r="F1" s="285"/>
      <c r="G1" s="285"/>
      <c r="H1" s="285"/>
      <c r="I1" s="285"/>
      <c r="J1" s="151"/>
      <c r="K1" s="151"/>
    </row>
    <row r="2" customFormat="false" ht="18.75" hidden="false" customHeight="true" outlineLevel="0" collapsed="false">
      <c r="A2" s="286" t="s">
        <v>127</v>
      </c>
      <c r="B2" s="286"/>
      <c r="C2" s="286"/>
      <c r="D2" s="286"/>
      <c r="E2" s="286"/>
      <c r="F2" s="286"/>
      <c r="G2" s="286"/>
      <c r="H2" s="286"/>
      <c r="I2" s="286"/>
      <c r="J2" s="151"/>
      <c r="K2" s="151"/>
    </row>
    <row r="3" customFormat="false" ht="9.75" hidden="false" customHeight="true" outlineLevel="0" collapsed="false">
      <c r="A3" s="151"/>
      <c r="B3" s="151"/>
      <c r="C3" s="151"/>
      <c r="D3" s="151"/>
      <c r="E3" s="151"/>
      <c r="F3" s="151"/>
      <c r="G3" s="151"/>
      <c r="H3" s="287"/>
      <c r="I3" s="288"/>
      <c r="J3" s="151"/>
      <c r="K3" s="151"/>
    </row>
    <row r="4" customFormat="false" ht="12.75" hidden="false" customHeight="true" outlineLevel="0" collapsed="false">
      <c r="A4" s="289"/>
      <c r="C4" s="152" t="s">
        <v>2</v>
      </c>
      <c r="D4" s="290" t="n">
        <f aca="false">'Přehled akce'!D4</f>
        <v>0</v>
      </c>
      <c r="E4" s="151"/>
      <c r="F4" s="145"/>
      <c r="G4" s="145"/>
      <c r="I4" s="291" t="str">
        <f aca="false">CONCATENATE("Datum: ",'Přehled akce'!D5)</f>
        <v>Datum: </v>
      </c>
      <c r="J4" s="146"/>
      <c r="K4" s="154"/>
      <c r="L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</row>
    <row r="5" customFormat="false" ht="12.75" hidden="false" customHeight="true" outlineLevel="0" collapsed="false">
      <c r="A5" s="289"/>
      <c r="C5" s="152"/>
      <c r="D5" s="292"/>
      <c r="E5" s="151"/>
      <c r="F5" s="145"/>
      <c r="G5" s="145"/>
      <c r="I5" s="293"/>
      <c r="J5" s="146"/>
      <c r="K5" s="154"/>
      <c r="L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H5" s="148"/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</row>
    <row r="6" customFormat="false" ht="13.5" hidden="false" customHeight="false" outlineLevel="0" collapsed="false">
      <c r="H6" s="294" t="n">
        <v>1</v>
      </c>
      <c r="I6" s="294" t="s">
        <v>128</v>
      </c>
    </row>
    <row r="7" customFormat="false" ht="45.75" hidden="false" customHeight="true" outlineLevel="0" collapsed="false">
      <c r="A7" s="295" t="s">
        <v>129</v>
      </c>
      <c r="B7" s="295"/>
      <c r="C7" s="295"/>
      <c r="D7" s="296" t="s">
        <v>130</v>
      </c>
      <c r="E7" s="297" t="s">
        <v>131</v>
      </c>
      <c r="F7" s="298" t="s">
        <v>132</v>
      </c>
      <c r="G7" s="298"/>
      <c r="H7" s="298" t="s">
        <v>133</v>
      </c>
      <c r="I7" s="299" t="s">
        <v>134</v>
      </c>
      <c r="J7" s="300"/>
      <c r="K7" s="300"/>
      <c r="L7" s="300"/>
      <c r="M7" s="301" t="s">
        <v>135</v>
      </c>
    </row>
    <row r="8" customFormat="false" ht="14.45" hidden="false" customHeight="true" outlineLevel="0" collapsed="false">
      <c r="A8" s="302" t="str">
        <f aca="false">CONCATENATE('Přehled akce'!$K$4," / ",'Přehled akce'!$K$5)</f>
        <v> / </v>
      </c>
      <c r="B8" s="303" t="s">
        <v>136</v>
      </c>
      <c r="C8" s="304" t="n">
        <v>1</v>
      </c>
      <c r="D8" s="305"/>
      <c r="E8" s="306"/>
      <c r="F8" s="307" t="n">
        <f aca="false">IF(D9&lt;&gt;D8,E8,(E8+F9))</f>
        <v>0</v>
      </c>
      <c r="G8" s="307" t="n">
        <f aca="false">IF(F8=H8,1,0)</f>
        <v>1</v>
      </c>
      <c r="H8" s="308" t="n">
        <f aca="false">IF(D8&lt;&gt;D7,F8,"-")</f>
        <v>0</v>
      </c>
      <c r="I8" s="309" t="e">
        <f aca="false">G8*VLOOKUP(D8,'Přehled akce'!$C$20:$K$36,6,FALSE())</f>
        <v>#N/A</v>
      </c>
      <c r="J8" s="0" t="e">
        <f aca="false">IF(H8-I8=0,1,0)</f>
        <v>#N/A</v>
      </c>
      <c r="M8" s="0" t="s">
        <v>54</v>
      </c>
    </row>
    <row r="9" customFormat="false" ht="14.45" hidden="false" customHeight="true" outlineLevel="0" collapsed="false">
      <c r="A9" s="310" t="str">
        <f aca="false">CONCATENATE('Přehled akce'!$K$4," / ",'Přehled akce'!$K$5)</f>
        <v> / </v>
      </c>
      <c r="B9" s="311" t="s">
        <v>136</v>
      </c>
      <c r="C9" s="304" t="n">
        <v>2</v>
      </c>
      <c r="D9" s="305"/>
      <c r="E9" s="312"/>
      <c r="F9" s="307" t="n">
        <f aca="false">IF(D10&lt;&gt;D9,E9,(E9+F10))</f>
        <v>0</v>
      </c>
      <c r="G9" s="307" t="n">
        <f aca="false">IF(F9=H9,1,0)</f>
        <v>0</v>
      </c>
      <c r="H9" s="308" t="str">
        <f aca="false">IF(D9&lt;&gt;D8,F9,"-")</f>
        <v>-</v>
      </c>
      <c r="I9" s="309" t="e">
        <f aca="false">G9*VLOOKUP(D9,'Přehled akce'!$C$20:$K$36,6,FALSE())</f>
        <v>#N/A</v>
      </c>
      <c r="J9" s="0" t="e">
        <f aca="false">IF(H9-I9=0,1,0)</f>
        <v>#N/A</v>
      </c>
      <c r="M9" s="0" t="s">
        <v>57</v>
      </c>
    </row>
    <row r="10" customFormat="false" ht="14.45" hidden="false" customHeight="true" outlineLevel="0" collapsed="false">
      <c r="A10" s="310" t="str">
        <f aca="false">CONCATENATE('Přehled akce'!$K$4," / ",'Přehled akce'!$K$5)</f>
        <v> / </v>
      </c>
      <c r="B10" s="311" t="s">
        <v>136</v>
      </c>
      <c r="C10" s="304" t="n">
        <v>3</v>
      </c>
      <c r="D10" s="305"/>
      <c r="E10" s="312"/>
      <c r="F10" s="307" t="n">
        <f aca="false">IF(D11&lt;&gt;D10,E10,(E10+F11))</f>
        <v>0</v>
      </c>
      <c r="G10" s="307" t="n">
        <f aca="false">IF(F10=H10,1,0)</f>
        <v>0</v>
      </c>
      <c r="H10" s="308" t="str">
        <f aca="false">IF(D10&lt;&gt;D9,F10,"-")</f>
        <v>-</v>
      </c>
      <c r="I10" s="309" t="e">
        <f aca="false">G10*VLOOKUP(D10,'Přehled akce'!$C$20:$K$36,6,FALSE())</f>
        <v>#N/A</v>
      </c>
      <c r="J10" s="0" t="e">
        <f aca="false">IF(H10-I10=0,1,0)</f>
        <v>#N/A</v>
      </c>
      <c r="M10" s="0" t="s">
        <v>51</v>
      </c>
    </row>
    <row r="11" customFormat="false" ht="14.45" hidden="false" customHeight="true" outlineLevel="0" collapsed="false">
      <c r="A11" s="310" t="str">
        <f aca="false">CONCATENATE('Přehled akce'!$K$4," / ",'Přehled akce'!$K$5)</f>
        <v> / </v>
      </c>
      <c r="B11" s="311" t="s">
        <v>136</v>
      </c>
      <c r="C11" s="304" t="n">
        <v>4</v>
      </c>
      <c r="D11" s="305"/>
      <c r="E11" s="312"/>
      <c r="F11" s="307" t="n">
        <f aca="false">IF(D12&lt;&gt;D11,E11,(E11+F12))</f>
        <v>0</v>
      </c>
      <c r="G11" s="307" t="n">
        <f aca="false">IF(F11=H11,1,0)</f>
        <v>0</v>
      </c>
      <c r="H11" s="308" t="str">
        <f aca="false">IF(D11&lt;&gt;D10,F11,"-")</f>
        <v>-</v>
      </c>
      <c r="I11" s="309" t="e">
        <f aca="false">G11*VLOOKUP(D11,'Přehled akce'!$C$20:$K$36,6,FALSE())</f>
        <v>#N/A</v>
      </c>
      <c r="J11" s="0" t="e">
        <f aca="false">IF(H11-I11=0,1,0)</f>
        <v>#N/A</v>
      </c>
      <c r="M11" s="0" t="s">
        <v>38</v>
      </c>
    </row>
    <row r="12" customFormat="false" ht="14.45" hidden="false" customHeight="true" outlineLevel="0" collapsed="false">
      <c r="A12" s="310" t="str">
        <f aca="false">CONCATENATE('Přehled akce'!$K$4," / ",'Přehled akce'!$K$5)</f>
        <v> / </v>
      </c>
      <c r="B12" s="311" t="s">
        <v>136</v>
      </c>
      <c r="C12" s="304" t="n">
        <v>5</v>
      </c>
      <c r="D12" s="305"/>
      <c r="E12" s="312"/>
      <c r="F12" s="307" t="n">
        <f aca="false">IF(D13&lt;&gt;D12,E12,(E12+F13))</f>
        <v>0</v>
      </c>
      <c r="G12" s="307" t="n">
        <f aca="false">IF(F12=H12,1,0)</f>
        <v>0</v>
      </c>
      <c r="H12" s="308" t="str">
        <f aca="false">IF(D12&lt;&gt;D11,F12,"-")</f>
        <v>-</v>
      </c>
      <c r="I12" s="309" t="e">
        <f aca="false">G12*VLOOKUP(D12,'Přehled akce'!$C$20:$K$36,6,FALSE())</f>
        <v>#N/A</v>
      </c>
      <c r="J12" s="0" t="e">
        <f aca="false">IF(H12-I12=0,1,0)</f>
        <v>#N/A</v>
      </c>
      <c r="M12" s="0" t="s">
        <v>60</v>
      </c>
    </row>
    <row r="13" customFormat="false" ht="14.45" hidden="false" customHeight="true" outlineLevel="0" collapsed="false">
      <c r="A13" s="310" t="str">
        <f aca="false">CONCATENATE('Přehled akce'!$K$4," / ",'Přehled akce'!$K$5)</f>
        <v> / </v>
      </c>
      <c r="B13" s="311" t="s">
        <v>136</v>
      </c>
      <c r="C13" s="304" t="n">
        <v>6</v>
      </c>
      <c r="D13" s="305"/>
      <c r="E13" s="312"/>
      <c r="F13" s="307" t="n">
        <f aca="false">IF(D14&lt;&gt;D13,E13,(E13+F14))</f>
        <v>0</v>
      </c>
      <c r="G13" s="307" t="n">
        <f aca="false">IF(F13=H13,1,0)</f>
        <v>0</v>
      </c>
      <c r="H13" s="308" t="str">
        <f aca="false">IF(D13&lt;&gt;D12,F13,"-")</f>
        <v>-</v>
      </c>
      <c r="I13" s="309" t="e">
        <f aca="false">G13*VLOOKUP(D13,'Přehled akce'!$C$20:$K$36,6,FALSE())</f>
        <v>#N/A</v>
      </c>
      <c r="J13" s="0" t="e">
        <f aca="false">IF(H13-I13=0,1,0)</f>
        <v>#N/A</v>
      </c>
      <c r="M13" s="0" t="s">
        <v>63</v>
      </c>
    </row>
    <row r="14" customFormat="false" ht="14.45" hidden="false" customHeight="true" outlineLevel="0" collapsed="false">
      <c r="A14" s="310" t="str">
        <f aca="false">CONCATENATE('Přehled akce'!$K$4," / ",'Přehled akce'!$K$5)</f>
        <v> / </v>
      </c>
      <c r="B14" s="311" t="s">
        <v>136</v>
      </c>
      <c r="C14" s="304" t="n">
        <v>7</v>
      </c>
      <c r="D14" s="305"/>
      <c r="E14" s="312"/>
      <c r="F14" s="307" t="n">
        <f aca="false">IF(D15&lt;&gt;D14,E14,(E14+F15))</f>
        <v>0</v>
      </c>
      <c r="G14" s="307" t="n">
        <f aca="false">IF(F14=H14,1,0)</f>
        <v>0</v>
      </c>
      <c r="H14" s="308" t="str">
        <f aca="false">IF(D14&lt;&gt;D13,F14,"-")</f>
        <v>-</v>
      </c>
      <c r="I14" s="309" t="e">
        <f aca="false">G14*VLOOKUP(D14,'Přehled akce'!$C$20:$K$36,6,FALSE())</f>
        <v>#N/A</v>
      </c>
      <c r="J14" s="0" t="e">
        <f aca="false">IF(H14-I14=0,1,0)</f>
        <v>#N/A</v>
      </c>
      <c r="M14" s="0" t="s">
        <v>46</v>
      </c>
    </row>
    <row r="15" customFormat="false" ht="14.45" hidden="false" customHeight="true" outlineLevel="0" collapsed="false">
      <c r="A15" s="310" t="str">
        <f aca="false">CONCATENATE('Přehled akce'!$K$4," / ",'Přehled akce'!$K$5)</f>
        <v> / </v>
      </c>
      <c r="B15" s="311" t="s">
        <v>136</v>
      </c>
      <c r="C15" s="304" t="n">
        <v>8</v>
      </c>
      <c r="D15" s="305"/>
      <c r="E15" s="312"/>
      <c r="F15" s="307" t="n">
        <f aca="false">IF(D16&lt;&gt;D15,E15,(E15+F16))</f>
        <v>0</v>
      </c>
      <c r="G15" s="307" t="n">
        <f aca="false">IF(F15=H15,1,0)</f>
        <v>0</v>
      </c>
      <c r="H15" s="308" t="str">
        <f aca="false">IF(D15&lt;&gt;D14,F15,"-")</f>
        <v>-</v>
      </c>
      <c r="I15" s="309" t="e">
        <f aca="false">G15*VLOOKUP(D15,'Přehled akce'!$C$20:$K$36,6,FALSE())</f>
        <v>#N/A</v>
      </c>
      <c r="J15" s="0" t="e">
        <f aca="false">IF(H15-I15=0,1,0)</f>
        <v>#N/A</v>
      </c>
      <c r="M15" s="0" t="s">
        <v>66</v>
      </c>
    </row>
    <row r="16" customFormat="false" ht="14.45" hidden="false" customHeight="true" outlineLevel="0" collapsed="false">
      <c r="A16" s="310" t="str">
        <f aca="false">CONCATENATE('Přehled akce'!$K$4," / ",'Přehled akce'!$K$5)</f>
        <v> / </v>
      </c>
      <c r="B16" s="311" t="s">
        <v>136</v>
      </c>
      <c r="C16" s="304" t="n">
        <v>9</v>
      </c>
      <c r="D16" s="305"/>
      <c r="E16" s="312"/>
      <c r="F16" s="307" t="n">
        <f aca="false">IF(D17&lt;&gt;D16,E16,(E16+F17))</f>
        <v>0</v>
      </c>
      <c r="G16" s="307" t="n">
        <f aca="false">IF(F16=H16,1,0)</f>
        <v>0</v>
      </c>
      <c r="H16" s="308" t="str">
        <f aca="false">IF(D16&lt;&gt;D15,F16,"-")</f>
        <v>-</v>
      </c>
      <c r="I16" s="309" t="e">
        <f aca="false">G16*VLOOKUP(D16,'Přehled akce'!$C$20:$K$36,6,FALSE())</f>
        <v>#N/A</v>
      </c>
      <c r="J16" s="0" t="e">
        <f aca="false">IF(H16-I16=0,1,0)</f>
        <v>#N/A</v>
      </c>
      <c r="M16" s="0" t="s">
        <v>72</v>
      </c>
    </row>
    <row r="17" customFormat="false" ht="14.45" hidden="false" customHeight="true" outlineLevel="0" collapsed="false">
      <c r="A17" s="310" t="str">
        <f aca="false">CONCATENATE('Přehled akce'!$K$4," / ",'Přehled akce'!$K$5)</f>
        <v> / </v>
      </c>
      <c r="B17" s="311" t="s">
        <v>136</v>
      </c>
      <c r="C17" s="304" t="n">
        <v>10</v>
      </c>
      <c r="D17" s="305"/>
      <c r="E17" s="313"/>
      <c r="F17" s="307" t="n">
        <f aca="false">IF(D18&lt;&gt;D17,E17,(E17+F18))</f>
        <v>0</v>
      </c>
      <c r="G17" s="307" t="n">
        <f aca="false">IF(F17=H17,1,0)</f>
        <v>0</v>
      </c>
      <c r="H17" s="308" t="str">
        <f aca="false">IF(D17&lt;&gt;D16,F17,"-")</f>
        <v>-</v>
      </c>
      <c r="I17" s="309" t="e">
        <f aca="false">G17*VLOOKUP(D17,'Přehled akce'!$C$20:$K$36,6,FALSE())</f>
        <v>#N/A</v>
      </c>
      <c r="J17" s="0" t="e">
        <f aca="false">IF(H17-I17=0,1,0)</f>
        <v>#N/A</v>
      </c>
      <c r="M17" s="0" t="s">
        <v>41</v>
      </c>
    </row>
    <row r="18" customFormat="false" ht="14.45" hidden="false" customHeight="true" outlineLevel="0" collapsed="false">
      <c r="A18" s="310" t="str">
        <f aca="false">CONCATENATE('Přehled akce'!$K$4," / ",'Přehled akce'!$K$5)</f>
        <v> / </v>
      </c>
      <c r="B18" s="311" t="s">
        <v>136</v>
      </c>
      <c r="C18" s="304" t="n">
        <v>11</v>
      </c>
      <c r="D18" s="305"/>
      <c r="E18" s="312"/>
      <c r="F18" s="307" t="n">
        <f aca="false">IF(D19&lt;&gt;D18,E18,(E18+F19))</f>
        <v>0</v>
      </c>
      <c r="G18" s="307" t="n">
        <f aca="false">IF(F18=H18,1,0)</f>
        <v>0</v>
      </c>
      <c r="H18" s="308" t="str">
        <f aca="false">IF(D18&lt;&gt;D17,F18,"-")</f>
        <v>-</v>
      </c>
      <c r="I18" s="309" t="e">
        <f aca="false">G18*VLOOKUP(D18,'Přehled akce'!$C$20:$K$36,6,FALSE())</f>
        <v>#N/A</v>
      </c>
      <c r="J18" s="0" t="e">
        <f aca="false">IF(H18-I18=0,1,0)</f>
        <v>#N/A</v>
      </c>
      <c r="M18" s="0" t="s">
        <v>44</v>
      </c>
    </row>
    <row r="19" customFormat="false" ht="14.45" hidden="false" customHeight="true" outlineLevel="0" collapsed="false">
      <c r="A19" s="310" t="str">
        <f aca="false">CONCATENATE('Přehled akce'!$K$4," / ",'Přehled akce'!$K$5)</f>
        <v> / </v>
      </c>
      <c r="B19" s="311" t="s">
        <v>136</v>
      </c>
      <c r="C19" s="304" t="n">
        <v>12</v>
      </c>
      <c r="D19" s="314"/>
      <c r="E19" s="313"/>
      <c r="F19" s="307" t="n">
        <f aca="false">IF(D20&lt;&gt;D19,E19,(E19+F20))</f>
        <v>0</v>
      </c>
      <c r="G19" s="307" t="n">
        <f aca="false">IF(F19=H19,1,0)</f>
        <v>0</v>
      </c>
      <c r="H19" s="308" t="str">
        <f aca="false">IF(D19&lt;&gt;D18,F19,"-")</f>
        <v>-</v>
      </c>
      <c r="I19" s="309" t="e">
        <f aca="false">G19*VLOOKUP(D19,'Přehled akce'!$C$20:$K$36,6,FALSE())</f>
        <v>#N/A</v>
      </c>
      <c r="J19" s="0" t="e">
        <f aca="false">IF(H19-I19=0,1,0)</f>
        <v>#N/A</v>
      </c>
      <c r="M19" s="0" t="s">
        <v>33</v>
      </c>
    </row>
    <row r="20" customFormat="false" ht="14.45" hidden="false" customHeight="true" outlineLevel="0" collapsed="false">
      <c r="A20" s="310" t="str">
        <f aca="false">CONCATENATE('Přehled akce'!$K$4," / ",'Přehled akce'!$K$5)</f>
        <v> / </v>
      </c>
      <c r="B20" s="311" t="s">
        <v>136</v>
      </c>
      <c r="C20" s="304" t="n">
        <v>13</v>
      </c>
      <c r="D20" s="314"/>
      <c r="E20" s="313"/>
      <c r="F20" s="307" t="n">
        <f aca="false">IF(D21&lt;&gt;D20,E20,(E20+F21))</f>
        <v>0</v>
      </c>
      <c r="G20" s="307" t="n">
        <f aca="false">IF(F20=H20,1,0)</f>
        <v>0</v>
      </c>
      <c r="H20" s="308" t="str">
        <f aca="false">IF(D20&lt;&gt;D19,F20,"-")</f>
        <v>-</v>
      </c>
      <c r="I20" s="309" t="e">
        <f aca="false">G20*VLOOKUP(D20,'Přehled akce'!$C$20:$K$36,6,FALSE())</f>
        <v>#N/A</v>
      </c>
      <c r="J20" s="0" t="e">
        <f aca="false">IF(H20-I20=0,1,0)</f>
        <v>#N/A</v>
      </c>
      <c r="M20" s="0" t="s">
        <v>75</v>
      </c>
    </row>
    <row r="21" customFormat="false" ht="14.45" hidden="false" customHeight="true" outlineLevel="0" collapsed="false">
      <c r="A21" s="310" t="str">
        <f aca="false">CONCATENATE('Přehled akce'!$K$4," / ",'Přehled akce'!$K$5)</f>
        <v> / </v>
      </c>
      <c r="B21" s="311" t="s">
        <v>136</v>
      </c>
      <c r="C21" s="304" t="n">
        <v>14</v>
      </c>
      <c r="D21" s="314"/>
      <c r="E21" s="313"/>
      <c r="F21" s="307" t="n">
        <f aca="false">IF(D22&lt;&gt;D21,E21,(E21+F22))</f>
        <v>0</v>
      </c>
      <c r="G21" s="307" t="n">
        <f aca="false">IF(F21=H21,1,0)</f>
        <v>0</v>
      </c>
      <c r="H21" s="308" t="str">
        <f aca="false">IF(D21&lt;&gt;D20,F21,"-")</f>
        <v>-</v>
      </c>
      <c r="I21" s="309" t="e">
        <f aca="false">G21*VLOOKUP(D21,'Přehled akce'!$C$20:$K$36,6,FALSE())</f>
        <v>#N/A</v>
      </c>
      <c r="J21" s="0" t="e">
        <f aca="false">IF(H21-I21=0,1,0)</f>
        <v>#N/A</v>
      </c>
      <c r="M21" s="0" t="s">
        <v>48</v>
      </c>
    </row>
    <row r="22" customFormat="false" ht="14.45" hidden="false" customHeight="true" outlineLevel="0" collapsed="false">
      <c r="A22" s="310" t="str">
        <f aca="false">CONCATENATE('Přehled akce'!$K$4," / ",'Přehled akce'!$K$5)</f>
        <v> / </v>
      </c>
      <c r="B22" s="311" t="s">
        <v>136</v>
      </c>
      <c r="C22" s="304" t="n">
        <v>15</v>
      </c>
      <c r="D22" s="314"/>
      <c r="E22" s="313"/>
      <c r="F22" s="307" t="n">
        <f aca="false">IF(D23&lt;&gt;D22,E22,(E22+F23))</f>
        <v>0</v>
      </c>
      <c r="G22" s="307" t="n">
        <f aca="false">IF(F22=H22,1,0)</f>
        <v>0</v>
      </c>
      <c r="H22" s="308" t="str">
        <f aca="false">IF(D22&lt;&gt;D21,F22,"-")</f>
        <v>-</v>
      </c>
      <c r="I22" s="309" t="e">
        <f aca="false">G22*VLOOKUP(D22,'Přehled akce'!$C$20:$K$36,6,FALSE())</f>
        <v>#N/A</v>
      </c>
      <c r="J22" s="0" t="e">
        <f aca="false">IF(H22-I22=0,1,0)</f>
        <v>#N/A</v>
      </c>
      <c r="M22" s="0" t="s">
        <v>69</v>
      </c>
    </row>
    <row r="23" customFormat="false" ht="14.45" hidden="false" customHeight="true" outlineLevel="0" collapsed="false">
      <c r="A23" s="310" t="str">
        <f aca="false">CONCATENATE('Přehled akce'!$K$4," / ",'Přehled akce'!$K$5)</f>
        <v> / </v>
      </c>
      <c r="B23" s="311" t="s">
        <v>136</v>
      </c>
      <c r="C23" s="304" t="n">
        <v>16</v>
      </c>
      <c r="D23" s="314"/>
      <c r="E23" s="313"/>
      <c r="F23" s="307" t="n">
        <f aca="false">IF(D24&lt;&gt;D23,E23,(E23+F24))</f>
        <v>0</v>
      </c>
      <c r="G23" s="307" t="n">
        <f aca="false">IF(F23=H23,1,0)</f>
        <v>0</v>
      </c>
      <c r="H23" s="308" t="str">
        <f aca="false">IF(D23&lt;&gt;D22,F23,"-")</f>
        <v>-</v>
      </c>
      <c r="I23" s="309" t="e">
        <f aca="false">G23*VLOOKUP(D23,'Přehled akce'!$C$20:$K$36,6,FALSE())</f>
        <v>#N/A</v>
      </c>
      <c r="J23" s="0" t="e">
        <f aca="false">IF(H23-I23=0,1,0)</f>
        <v>#N/A</v>
      </c>
      <c r="M23" s="0" t="s">
        <v>78</v>
      </c>
    </row>
    <row r="24" customFormat="false" ht="14.45" hidden="false" customHeight="true" outlineLevel="0" collapsed="false">
      <c r="A24" s="310" t="str">
        <f aca="false">CONCATENATE('Přehled akce'!$K$4," / ",'Přehled akce'!$K$5)</f>
        <v> / </v>
      </c>
      <c r="B24" s="311" t="s">
        <v>136</v>
      </c>
      <c r="C24" s="304" t="n">
        <v>17</v>
      </c>
      <c r="D24" s="314"/>
      <c r="E24" s="313"/>
      <c r="F24" s="307" t="n">
        <f aca="false">IF(D25&lt;&gt;D24,E24,(E24+F25))</f>
        <v>0</v>
      </c>
      <c r="G24" s="307" t="n">
        <f aca="false">IF(F24=H24,1,0)</f>
        <v>0</v>
      </c>
      <c r="H24" s="308" t="str">
        <f aca="false">IF(D24&lt;&gt;D23,F24,"-")</f>
        <v>-</v>
      </c>
      <c r="I24" s="309" t="e">
        <f aca="false">G24*VLOOKUP(D24,'Přehled akce'!$C$20:$K$36,6,FALSE())</f>
        <v>#N/A</v>
      </c>
      <c r="J24" s="0" t="e">
        <f aca="false">IF(H24-I24=0,1,0)</f>
        <v>#N/A</v>
      </c>
      <c r="M24" s="0" t="s">
        <v>137</v>
      </c>
    </row>
    <row r="25" customFormat="false" ht="14.45" hidden="false" customHeight="true" outlineLevel="0" collapsed="false">
      <c r="A25" s="310" t="str">
        <f aca="false">CONCATENATE('Přehled akce'!$K$4," / ",'Přehled akce'!$K$5)</f>
        <v> / </v>
      </c>
      <c r="B25" s="311" t="s">
        <v>136</v>
      </c>
      <c r="C25" s="304" t="n">
        <v>18</v>
      </c>
      <c r="D25" s="314"/>
      <c r="E25" s="313"/>
      <c r="F25" s="307" t="n">
        <f aca="false">IF(D26&lt;&gt;D25,E25,(E25+F26))</f>
        <v>0</v>
      </c>
      <c r="G25" s="307" t="n">
        <f aca="false">IF(F25=H25,1,0)</f>
        <v>0</v>
      </c>
      <c r="H25" s="308" t="str">
        <f aca="false">IF(D25&lt;&gt;D24,F25,"-")</f>
        <v>-</v>
      </c>
      <c r="I25" s="309" t="e">
        <f aca="false">G25*VLOOKUP(D25,'Přehled akce'!$C$20:$K$36,6,FALSE())</f>
        <v>#N/A</v>
      </c>
      <c r="J25" s="0" t="e">
        <f aca="false">IF(H25-I25=0,1,0)</f>
        <v>#N/A</v>
      </c>
      <c r="M25" s="0" t="s">
        <v>84</v>
      </c>
    </row>
    <row r="26" customFormat="false" ht="14.45" hidden="false" customHeight="true" outlineLevel="0" collapsed="false">
      <c r="A26" s="310" t="str">
        <f aca="false">CONCATENATE('Přehled akce'!$K$4," / ",'Přehled akce'!$K$5)</f>
        <v> / </v>
      </c>
      <c r="B26" s="311" t="s">
        <v>136</v>
      </c>
      <c r="C26" s="304" t="n">
        <v>19</v>
      </c>
      <c r="D26" s="314"/>
      <c r="E26" s="313"/>
      <c r="F26" s="307" t="n">
        <f aca="false">IF(D27&lt;&gt;D26,E26,(E26+F27))</f>
        <v>0</v>
      </c>
      <c r="G26" s="307" t="n">
        <f aca="false">IF(F26=H26,1,0)</f>
        <v>0</v>
      </c>
      <c r="H26" s="308" t="str">
        <f aca="false">IF(D26&lt;&gt;D25,F26,"-")</f>
        <v>-</v>
      </c>
      <c r="I26" s="309" t="e">
        <f aca="false">G26*VLOOKUP(D26,'Přehled akce'!$C$20:$K$36,6,FALSE())</f>
        <v>#N/A</v>
      </c>
      <c r="J26" s="0" t="e">
        <f aca="false">IF(H26-I26=0,1,0)</f>
        <v>#N/A</v>
      </c>
      <c r="M26" s="0" t="s">
        <v>87</v>
      </c>
    </row>
    <row r="27" customFormat="false" ht="14.45" hidden="false" customHeight="true" outlineLevel="0" collapsed="false">
      <c r="A27" s="310" t="str">
        <f aca="false">CONCATENATE('Přehled akce'!$K$4," / ",'Přehled akce'!$K$5)</f>
        <v> / </v>
      </c>
      <c r="B27" s="311" t="s">
        <v>136</v>
      </c>
      <c r="C27" s="304" t="n">
        <v>20</v>
      </c>
      <c r="D27" s="314"/>
      <c r="E27" s="313"/>
      <c r="F27" s="307" t="n">
        <f aca="false">IF(D28&lt;&gt;D27,E27,(E27+F28))</f>
        <v>0</v>
      </c>
      <c r="G27" s="307" t="n">
        <f aca="false">IF(F27=H27,1,0)</f>
        <v>0</v>
      </c>
      <c r="H27" s="308" t="str">
        <f aca="false">IF(D27&lt;&gt;D26,F27,"-")</f>
        <v>-</v>
      </c>
      <c r="I27" s="309" t="e">
        <f aca="false">G27*VLOOKUP(D27,'Přehled akce'!$C$20:$K$36,6,FALSE())</f>
        <v>#N/A</v>
      </c>
      <c r="J27" s="0" t="e">
        <f aca="false">IF(H27-I27=0,1,0)</f>
        <v>#N/A</v>
      </c>
      <c r="M27" s="0" t="s">
        <v>89</v>
      </c>
    </row>
    <row r="28" customFormat="false" ht="14.45" hidden="false" customHeight="true" outlineLevel="0" collapsed="false">
      <c r="A28" s="310" t="str">
        <f aca="false">CONCATENATE('Přehled akce'!$K$4," / ",'Přehled akce'!$K$5)</f>
        <v> / </v>
      </c>
      <c r="B28" s="311" t="s">
        <v>136</v>
      </c>
      <c r="C28" s="304" t="n">
        <v>21</v>
      </c>
      <c r="D28" s="314"/>
      <c r="E28" s="313"/>
      <c r="F28" s="307" t="n">
        <f aca="false">IF(D29&lt;&gt;D28,E28,(E28+F29))</f>
        <v>0</v>
      </c>
      <c r="G28" s="307" t="n">
        <f aca="false">IF(F28=H28,1,0)</f>
        <v>0</v>
      </c>
      <c r="H28" s="308" t="str">
        <f aca="false">IF(D28&lt;&gt;D27,F28,"-")</f>
        <v>-</v>
      </c>
      <c r="I28" s="309" t="e">
        <f aca="false">G28*VLOOKUP(D28,'Přehled akce'!$C$20:$K$36,6,FALSE())</f>
        <v>#N/A</v>
      </c>
      <c r="J28" s="0" t="e">
        <f aca="false">IF(H28-I28=0,1,0)</f>
        <v>#N/A</v>
      </c>
    </row>
    <row r="29" customFormat="false" ht="14.45" hidden="false" customHeight="true" outlineLevel="0" collapsed="false">
      <c r="A29" s="310" t="str">
        <f aca="false">CONCATENATE('Přehled akce'!$K$4," / ",'Přehled akce'!$K$5)</f>
        <v> / </v>
      </c>
      <c r="B29" s="311" t="s">
        <v>136</v>
      </c>
      <c r="C29" s="304" t="n">
        <v>22</v>
      </c>
      <c r="D29" s="314"/>
      <c r="E29" s="313"/>
      <c r="F29" s="307" t="n">
        <f aca="false">IF(D30&lt;&gt;D29,E29,(E29+F30))</f>
        <v>0</v>
      </c>
      <c r="G29" s="307" t="n">
        <f aca="false">IF(F29=H29,1,0)</f>
        <v>0</v>
      </c>
      <c r="H29" s="308" t="str">
        <f aca="false">IF(D29&lt;&gt;D28,F29,"-")</f>
        <v>-</v>
      </c>
      <c r="I29" s="309" t="e">
        <f aca="false">G29*VLOOKUP(D29,'Přehled akce'!$C$20:$K$36,6,FALSE())</f>
        <v>#N/A</v>
      </c>
      <c r="J29" s="0" t="e">
        <f aca="false">IF(H29-I29=0,1,0)</f>
        <v>#N/A</v>
      </c>
    </row>
    <row r="30" customFormat="false" ht="14.45" hidden="false" customHeight="true" outlineLevel="0" collapsed="false">
      <c r="A30" s="310" t="str">
        <f aca="false">CONCATENATE('Přehled akce'!$K$4," / ",'Přehled akce'!$K$5)</f>
        <v> / </v>
      </c>
      <c r="B30" s="311" t="s">
        <v>136</v>
      </c>
      <c r="C30" s="304" t="n">
        <v>23</v>
      </c>
      <c r="D30" s="314"/>
      <c r="E30" s="313"/>
      <c r="F30" s="307" t="n">
        <f aca="false">IF(D31&lt;&gt;D30,E30,(E30+F31))</f>
        <v>0</v>
      </c>
      <c r="G30" s="307" t="n">
        <f aca="false">IF(F30=H30,1,0)</f>
        <v>0</v>
      </c>
      <c r="H30" s="308" t="str">
        <f aca="false">IF(D30&lt;&gt;D29,F30,"-")</f>
        <v>-</v>
      </c>
      <c r="I30" s="309" t="e">
        <f aca="false">G30*VLOOKUP(D30,'Přehled akce'!$C$20:$K$36,6,FALSE())</f>
        <v>#N/A</v>
      </c>
      <c r="J30" s="0" t="e">
        <f aca="false">IF(H30-I30=0,1,0)</f>
        <v>#N/A</v>
      </c>
    </row>
    <row r="31" customFormat="false" ht="14.45" hidden="false" customHeight="true" outlineLevel="0" collapsed="false">
      <c r="A31" s="310" t="str">
        <f aca="false">CONCATENATE('Přehled akce'!$K$4," / ",'Přehled akce'!$K$5)</f>
        <v> / </v>
      </c>
      <c r="B31" s="311" t="s">
        <v>136</v>
      </c>
      <c r="C31" s="304" t="n">
        <v>24</v>
      </c>
      <c r="D31" s="314"/>
      <c r="E31" s="313"/>
      <c r="F31" s="307" t="n">
        <f aca="false">IF(D32&lt;&gt;D31,E31,(E31+F32))</f>
        <v>0</v>
      </c>
      <c r="G31" s="307" t="n">
        <f aca="false">IF(F31=H31,1,0)</f>
        <v>0</v>
      </c>
      <c r="H31" s="308" t="str">
        <f aca="false">IF(D31&lt;&gt;D30,F31,"-")</f>
        <v>-</v>
      </c>
      <c r="I31" s="309" t="e">
        <f aca="false">G31*VLOOKUP(D31,'Přehled akce'!$C$20:$K$36,6,FALSE())</f>
        <v>#N/A</v>
      </c>
      <c r="J31" s="0" t="e">
        <f aca="false">IF(H31-I31=0,1,0)</f>
        <v>#N/A</v>
      </c>
    </row>
    <row r="32" customFormat="false" ht="14.45" hidden="false" customHeight="true" outlineLevel="0" collapsed="false">
      <c r="A32" s="310" t="str">
        <f aca="false">CONCATENATE('Přehled akce'!$K$4," / ",'Přehled akce'!$K$5)</f>
        <v> / </v>
      </c>
      <c r="B32" s="311" t="s">
        <v>136</v>
      </c>
      <c r="C32" s="304" t="n">
        <v>25</v>
      </c>
      <c r="D32" s="314"/>
      <c r="E32" s="313"/>
      <c r="F32" s="307" t="n">
        <f aca="false">IF(D33&lt;&gt;D32,E32,(E32+F33))</f>
        <v>0</v>
      </c>
      <c r="G32" s="307" t="n">
        <f aca="false">IF(F32=H32,1,0)</f>
        <v>0</v>
      </c>
      <c r="H32" s="308" t="str">
        <f aca="false">IF(D32&lt;&gt;D31,F32,"-")</f>
        <v>-</v>
      </c>
      <c r="I32" s="309" t="e">
        <f aca="false">G32*VLOOKUP(D32,'Přehled akce'!$C$20:$K$36,6,FALSE())</f>
        <v>#N/A</v>
      </c>
      <c r="J32" s="0" t="e">
        <f aca="false">IF(H32-I32=0,1,0)</f>
        <v>#N/A</v>
      </c>
    </row>
    <row r="33" customFormat="false" ht="14.45" hidden="false" customHeight="true" outlineLevel="0" collapsed="false">
      <c r="A33" s="310" t="str">
        <f aca="false">CONCATENATE('Přehled akce'!$K$4," / ",'Přehled akce'!$K$5)</f>
        <v> / </v>
      </c>
      <c r="B33" s="311" t="s">
        <v>136</v>
      </c>
      <c r="C33" s="304" t="n">
        <v>26</v>
      </c>
      <c r="D33" s="314"/>
      <c r="E33" s="313"/>
      <c r="F33" s="307" t="n">
        <f aca="false">IF(D34&lt;&gt;D33,E33,(E33+F34))</f>
        <v>0</v>
      </c>
      <c r="G33" s="307" t="n">
        <f aca="false">IF(F33=H33,1,0)</f>
        <v>0</v>
      </c>
      <c r="H33" s="308" t="str">
        <f aca="false">IF(D33&lt;&gt;D32,F33,"-")</f>
        <v>-</v>
      </c>
      <c r="I33" s="309" t="e">
        <f aca="false">G33*VLOOKUP(D33,'Přehled akce'!$C$20:$K$36,6,FALSE())</f>
        <v>#N/A</v>
      </c>
      <c r="J33" s="0" t="e">
        <f aca="false">IF(H33-I33=0,1,0)</f>
        <v>#N/A</v>
      </c>
    </row>
    <row r="34" customFormat="false" ht="14.45" hidden="false" customHeight="true" outlineLevel="0" collapsed="false">
      <c r="A34" s="310" t="str">
        <f aca="false">CONCATENATE('Přehled akce'!$K$4," / ",'Přehled akce'!$K$5)</f>
        <v> / </v>
      </c>
      <c r="B34" s="311" t="s">
        <v>136</v>
      </c>
      <c r="C34" s="304" t="n">
        <v>27</v>
      </c>
      <c r="D34" s="314"/>
      <c r="E34" s="313"/>
      <c r="F34" s="307" t="n">
        <f aca="false">IF(D35&lt;&gt;D34,E34,(E34+F35))</f>
        <v>0</v>
      </c>
      <c r="G34" s="307" t="n">
        <f aca="false">IF(F34=H34,1,0)</f>
        <v>0</v>
      </c>
      <c r="H34" s="308" t="str">
        <f aca="false">IF(D34&lt;&gt;D33,F34,"-")</f>
        <v>-</v>
      </c>
      <c r="I34" s="309" t="e">
        <f aca="false">G34*VLOOKUP(D34,'Přehled akce'!$C$20:$K$36,6,FALSE())</f>
        <v>#N/A</v>
      </c>
      <c r="J34" s="0" t="e">
        <f aca="false">IF(H34-I34=0,1,0)</f>
        <v>#N/A</v>
      </c>
    </row>
    <row r="35" customFormat="false" ht="14.45" hidden="false" customHeight="true" outlineLevel="0" collapsed="false">
      <c r="A35" s="310" t="str">
        <f aca="false">CONCATENATE('Přehled akce'!$K$4," / ",'Přehled akce'!$K$5)</f>
        <v> / </v>
      </c>
      <c r="B35" s="311" t="s">
        <v>136</v>
      </c>
      <c r="C35" s="304" t="n">
        <v>28</v>
      </c>
      <c r="D35" s="314"/>
      <c r="E35" s="313"/>
      <c r="F35" s="307" t="n">
        <f aca="false">IF(D36&lt;&gt;D35,E35,(E35+F36))</f>
        <v>0</v>
      </c>
      <c r="G35" s="307" t="n">
        <f aca="false">IF(F35=H35,1,0)</f>
        <v>0</v>
      </c>
      <c r="H35" s="308" t="str">
        <f aca="false">IF(D35&lt;&gt;D34,F35,"-")</f>
        <v>-</v>
      </c>
      <c r="I35" s="309" t="e">
        <f aca="false">G35*VLOOKUP(D35,'Přehled akce'!$C$20:$K$36,6,FALSE())</f>
        <v>#N/A</v>
      </c>
      <c r="J35" s="0" t="e">
        <f aca="false">IF(H35-I35=0,1,0)</f>
        <v>#N/A</v>
      </c>
    </row>
    <row r="36" customFormat="false" ht="14.45" hidden="false" customHeight="true" outlineLevel="0" collapsed="false">
      <c r="A36" s="310" t="str">
        <f aca="false">CONCATENATE('Přehled akce'!$K$4," / ",'Přehled akce'!$K$5)</f>
        <v> / </v>
      </c>
      <c r="B36" s="311" t="s">
        <v>136</v>
      </c>
      <c r="C36" s="304" t="n">
        <v>29</v>
      </c>
      <c r="D36" s="314"/>
      <c r="E36" s="313"/>
      <c r="F36" s="307" t="n">
        <f aca="false">IF(D37&lt;&gt;D36,E36,(E36+F37))</f>
        <v>0</v>
      </c>
      <c r="G36" s="307" t="n">
        <f aca="false">IF(F36=H36,1,0)</f>
        <v>0</v>
      </c>
      <c r="H36" s="308" t="str">
        <f aca="false">IF(D36&lt;&gt;D35,F36,"-")</f>
        <v>-</v>
      </c>
      <c r="I36" s="309" t="e">
        <f aca="false">G36*VLOOKUP(D36,'Přehled akce'!$C$20:$K$36,6,FALSE())</f>
        <v>#N/A</v>
      </c>
      <c r="J36" s="0" t="e">
        <f aca="false">IF(H36-I36=0,1,0)</f>
        <v>#N/A</v>
      </c>
    </row>
    <row r="37" customFormat="false" ht="14.45" hidden="false" customHeight="true" outlineLevel="0" collapsed="false">
      <c r="A37" s="310" t="str">
        <f aca="false">CONCATENATE('Přehled akce'!$K$4," / ",'Přehled akce'!$K$5)</f>
        <v> / </v>
      </c>
      <c r="B37" s="311" t="s">
        <v>136</v>
      </c>
      <c r="C37" s="304" t="n">
        <v>30</v>
      </c>
      <c r="D37" s="314"/>
      <c r="E37" s="313"/>
      <c r="F37" s="307" t="n">
        <f aca="false">IF(D38&lt;&gt;D37,E37,(E37+F38))</f>
        <v>0</v>
      </c>
      <c r="G37" s="307" t="n">
        <f aca="false">IF(F37=H37,1,0)</f>
        <v>0</v>
      </c>
      <c r="H37" s="308" t="str">
        <f aca="false">IF(D37&lt;&gt;D36,F37,"-")</f>
        <v>-</v>
      </c>
      <c r="I37" s="309" t="e">
        <f aca="false">G37*VLOOKUP(D37,'Přehled akce'!$C$20:$K$36,6,FALSE())</f>
        <v>#N/A</v>
      </c>
      <c r="J37" s="0" t="e">
        <f aca="false">IF(H37-I37=0,1,0)</f>
        <v>#N/A</v>
      </c>
    </row>
    <row r="38" customFormat="false" ht="14.45" hidden="false" customHeight="true" outlineLevel="0" collapsed="false">
      <c r="A38" s="310" t="str">
        <f aca="false">CONCATENATE('Přehled akce'!$K$4," / ",'Přehled akce'!$K$5)</f>
        <v> / </v>
      </c>
      <c r="B38" s="311" t="s">
        <v>136</v>
      </c>
      <c r="C38" s="304" t="n">
        <v>31</v>
      </c>
      <c r="D38" s="314"/>
      <c r="E38" s="313"/>
      <c r="F38" s="307" t="n">
        <f aca="false">IF(D39&lt;&gt;D38,E38,(E38+F39))</f>
        <v>0</v>
      </c>
      <c r="G38" s="307" t="n">
        <f aca="false">IF(F38=H38,1,0)</f>
        <v>0</v>
      </c>
      <c r="H38" s="308" t="str">
        <f aca="false">IF(D38&lt;&gt;D37,F38,"-")</f>
        <v>-</v>
      </c>
      <c r="I38" s="309" t="e">
        <f aca="false">G38*VLOOKUP(D38,'Přehled akce'!$C$20:$K$36,6,FALSE())</f>
        <v>#N/A</v>
      </c>
      <c r="J38" s="0" t="e">
        <f aca="false">IF(H38-I38=0,1,0)</f>
        <v>#N/A</v>
      </c>
    </row>
    <row r="39" customFormat="false" ht="14.45" hidden="false" customHeight="true" outlineLevel="0" collapsed="false">
      <c r="A39" s="310" t="str">
        <f aca="false">CONCATENATE('Přehled akce'!$K$4," / ",'Přehled akce'!$K$5)</f>
        <v> / </v>
      </c>
      <c r="B39" s="311" t="s">
        <v>136</v>
      </c>
      <c r="C39" s="304" t="n">
        <v>32</v>
      </c>
      <c r="D39" s="314"/>
      <c r="E39" s="313"/>
      <c r="F39" s="307" t="n">
        <f aca="false">IF(D40&lt;&gt;D39,E39,(E39+F40))</f>
        <v>0</v>
      </c>
      <c r="G39" s="307" t="n">
        <f aca="false">IF(F39=H39,1,0)</f>
        <v>0</v>
      </c>
      <c r="H39" s="308" t="str">
        <f aca="false">IF(D39&lt;&gt;D38,F39,"-")</f>
        <v>-</v>
      </c>
      <c r="I39" s="309" t="e">
        <f aca="false">G39*VLOOKUP(D39,'Přehled akce'!$C$20:$K$36,6,FALSE())</f>
        <v>#N/A</v>
      </c>
      <c r="J39" s="0" t="e">
        <f aca="false">IF(H39-I39=0,1,0)</f>
        <v>#N/A</v>
      </c>
    </row>
    <row r="40" customFormat="false" ht="14.45" hidden="false" customHeight="true" outlineLevel="0" collapsed="false">
      <c r="A40" s="310" t="str">
        <f aca="false">CONCATENATE('Přehled akce'!$K$4," / ",'Přehled akce'!$K$5)</f>
        <v> / </v>
      </c>
      <c r="B40" s="311" t="s">
        <v>136</v>
      </c>
      <c r="C40" s="304" t="n">
        <v>33</v>
      </c>
      <c r="D40" s="314"/>
      <c r="E40" s="313"/>
      <c r="F40" s="307" t="n">
        <f aca="false">IF(D41&lt;&gt;D40,E40,(E40+F41))</f>
        <v>0</v>
      </c>
      <c r="G40" s="307" t="n">
        <f aca="false">IF(F40=H40,1,0)</f>
        <v>0</v>
      </c>
      <c r="H40" s="308" t="str">
        <f aca="false">IF(D40&lt;&gt;D39,F40,"-")</f>
        <v>-</v>
      </c>
      <c r="I40" s="309" t="e">
        <f aca="false">G40*VLOOKUP(D40,'Přehled akce'!$C$20:$K$36,6,FALSE())</f>
        <v>#N/A</v>
      </c>
      <c r="J40" s="0" t="e">
        <f aca="false">IF(H40-I40=0,1,0)</f>
        <v>#N/A</v>
      </c>
    </row>
    <row r="41" customFormat="false" ht="14.45" hidden="false" customHeight="true" outlineLevel="0" collapsed="false">
      <c r="A41" s="310" t="str">
        <f aca="false">CONCATENATE('Přehled akce'!$K$4," / ",'Přehled akce'!$K$5)</f>
        <v> / </v>
      </c>
      <c r="B41" s="311" t="s">
        <v>136</v>
      </c>
      <c r="C41" s="304" t="n">
        <v>34</v>
      </c>
      <c r="D41" s="314"/>
      <c r="E41" s="313"/>
      <c r="F41" s="307" t="n">
        <f aca="false">IF(D42&lt;&gt;D41,E41,(E41+F42))</f>
        <v>0</v>
      </c>
      <c r="G41" s="307" t="n">
        <f aca="false">IF(F41=H41,1,0)</f>
        <v>0</v>
      </c>
      <c r="H41" s="308" t="str">
        <f aca="false">IF(D41&lt;&gt;D40,F41,"-")</f>
        <v>-</v>
      </c>
      <c r="I41" s="309" t="e">
        <f aca="false">G41*VLOOKUP(D41,'Přehled akce'!$C$20:$K$36,6,FALSE())</f>
        <v>#N/A</v>
      </c>
      <c r="J41" s="0" t="e">
        <f aca="false">IF(H41-I41=0,1,0)</f>
        <v>#N/A</v>
      </c>
    </row>
    <row r="42" customFormat="false" ht="14.45" hidden="false" customHeight="true" outlineLevel="0" collapsed="false">
      <c r="A42" s="310" t="str">
        <f aca="false">CONCATENATE('Přehled akce'!$K$4," / ",'Přehled akce'!$K$5)</f>
        <v> / </v>
      </c>
      <c r="B42" s="311" t="s">
        <v>136</v>
      </c>
      <c r="C42" s="304" t="n">
        <v>35</v>
      </c>
      <c r="D42" s="315"/>
      <c r="E42" s="313"/>
      <c r="F42" s="307" t="n">
        <f aca="false">IF(D43&lt;&gt;D42,E42,(E42+F43))</f>
        <v>0</v>
      </c>
      <c r="G42" s="307" t="n">
        <f aca="false">IF(F42=H42,1,0)</f>
        <v>0</v>
      </c>
      <c r="H42" s="308" t="str">
        <f aca="false">IF(D42&lt;&gt;D41,F42,"-")</f>
        <v>-</v>
      </c>
      <c r="I42" s="309" t="e">
        <f aca="false">G42*VLOOKUP(D42,'Přehled akce'!$C$20:$K$36,6,FALSE())</f>
        <v>#N/A</v>
      </c>
      <c r="J42" s="0" t="e">
        <f aca="false">IF(H42-I42=0,1,0)</f>
        <v>#N/A</v>
      </c>
    </row>
    <row r="43" customFormat="false" ht="14.45" hidden="false" customHeight="true" outlineLevel="0" collapsed="false">
      <c r="A43" s="310" t="str">
        <f aca="false">CONCATENATE('Přehled akce'!$K$4," / ",'Přehled akce'!$K$5)</f>
        <v> / </v>
      </c>
      <c r="B43" s="311" t="s">
        <v>136</v>
      </c>
      <c r="C43" s="304" t="n">
        <v>36</v>
      </c>
      <c r="D43" s="314"/>
      <c r="E43" s="313"/>
      <c r="F43" s="307" t="n">
        <f aca="false">IF(D44&lt;&gt;D43,E43,(E43+F44))</f>
        <v>0</v>
      </c>
      <c r="G43" s="307" t="n">
        <f aca="false">IF(F43=H43,1,0)</f>
        <v>0</v>
      </c>
      <c r="H43" s="308" t="str">
        <f aca="false">IF(D43&lt;&gt;D42,F43,"-")</f>
        <v>-</v>
      </c>
      <c r="I43" s="309" t="e">
        <f aca="false">G43*VLOOKUP(D43,'Přehled akce'!$C$20:$K$36,6,FALSE())</f>
        <v>#N/A</v>
      </c>
      <c r="J43" s="0" t="e">
        <f aca="false">IF(H43-I43=0,1,0)</f>
        <v>#N/A</v>
      </c>
    </row>
    <row r="44" customFormat="false" ht="14.45" hidden="false" customHeight="true" outlineLevel="0" collapsed="false">
      <c r="A44" s="310" t="str">
        <f aca="false">CONCATENATE('Přehled akce'!$K$4," / ",'Přehled akce'!$K$5)</f>
        <v> / </v>
      </c>
      <c r="B44" s="311" t="s">
        <v>136</v>
      </c>
      <c r="C44" s="304" t="n">
        <v>37</v>
      </c>
      <c r="D44" s="314"/>
      <c r="E44" s="313"/>
      <c r="F44" s="307" t="n">
        <f aca="false">IF(D45&lt;&gt;D44,E44,(E44+F45))</f>
        <v>0</v>
      </c>
      <c r="G44" s="307" t="n">
        <f aca="false">IF(F44=H44,1,0)</f>
        <v>0</v>
      </c>
      <c r="H44" s="308" t="str">
        <f aca="false">IF(D44&lt;&gt;D43,F44,"-")</f>
        <v>-</v>
      </c>
      <c r="I44" s="309" t="e">
        <f aca="false">G44*VLOOKUP(D44,'Přehled akce'!$C$20:$K$36,6,FALSE())</f>
        <v>#N/A</v>
      </c>
      <c r="J44" s="0" t="e">
        <f aca="false">IF(H44-I44=0,1,0)</f>
        <v>#N/A</v>
      </c>
    </row>
    <row r="45" customFormat="false" ht="14.45" hidden="false" customHeight="true" outlineLevel="0" collapsed="false">
      <c r="A45" s="310" t="str">
        <f aca="false">CONCATENATE('Přehled akce'!$K$4," / ",'Přehled akce'!$K$5)</f>
        <v> / </v>
      </c>
      <c r="B45" s="311" t="s">
        <v>136</v>
      </c>
      <c r="C45" s="304" t="n">
        <v>38</v>
      </c>
      <c r="D45" s="314"/>
      <c r="E45" s="313"/>
      <c r="F45" s="307" t="n">
        <f aca="false">IF(D46&lt;&gt;D45,E45,(E45+F46))</f>
        <v>0</v>
      </c>
      <c r="G45" s="307" t="n">
        <f aca="false">IF(F45=H45,1,0)</f>
        <v>0</v>
      </c>
      <c r="H45" s="308" t="str">
        <f aca="false">IF(D45&lt;&gt;D44,F45,"-")</f>
        <v>-</v>
      </c>
      <c r="I45" s="309" t="e">
        <f aca="false">G45*VLOOKUP(D45,'Přehled akce'!$C$20:$K$36,6,FALSE())</f>
        <v>#N/A</v>
      </c>
      <c r="J45" s="0" t="e">
        <f aca="false">IF(H45-I45=0,1,0)</f>
        <v>#N/A</v>
      </c>
    </row>
    <row r="46" customFormat="false" ht="14.45" hidden="false" customHeight="true" outlineLevel="0" collapsed="false">
      <c r="A46" s="310" t="str">
        <f aca="false">CONCATENATE('Přehled akce'!$K$4," / ",'Přehled akce'!$K$5)</f>
        <v> / </v>
      </c>
      <c r="B46" s="311" t="s">
        <v>136</v>
      </c>
      <c r="C46" s="304" t="n">
        <v>39</v>
      </c>
      <c r="D46" s="314"/>
      <c r="E46" s="313"/>
      <c r="F46" s="307" t="n">
        <f aca="false">IF(D47&lt;&gt;D46,E46,(E46+F47))</f>
        <v>0</v>
      </c>
      <c r="G46" s="307" t="n">
        <f aca="false">IF(F46=H46,1,0)</f>
        <v>0</v>
      </c>
      <c r="H46" s="308" t="str">
        <f aca="false">IF(D46&lt;&gt;D45,F46,"-")</f>
        <v>-</v>
      </c>
      <c r="I46" s="309" t="e">
        <f aca="false">G46*VLOOKUP(D46,'Přehled akce'!$C$20:$K$36,6,FALSE())</f>
        <v>#N/A</v>
      </c>
      <c r="J46" s="0" t="e">
        <f aca="false">IF(H46-I46=0,1,0)</f>
        <v>#N/A</v>
      </c>
    </row>
    <row r="47" customFormat="false" ht="14.45" hidden="false" customHeight="true" outlineLevel="0" collapsed="false">
      <c r="A47" s="310" t="str">
        <f aca="false">CONCATENATE('Přehled akce'!$K$4," / ",'Přehled akce'!$K$5)</f>
        <v> / </v>
      </c>
      <c r="B47" s="311" t="s">
        <v>136</v>
      </c>
      <c r="C47" s="304" t="n">
        <v>40</v>
      </c>
      <c r="D47" s="314"/>
      <c r="E47" s="313"/>
      <c r="F47" s="307" t="n">
        <f aca="false">IF(D48&lt;&gt;D47,E47,(E47+F48))</f>
        <v>0</v>
      </c>
      <c r="G47" s="307" t="n">
        <f aca="false">IF(F47=H47,1,0)</f>
        <v>0</v>
      </c>
      <c r="H47" s="308" t="str">
        <f aca="false">IF(D47&lt;&gt;D46,F47,"-")</f>
        <v>-</v>
      </c>
      <c r="I47" s="309" t="e">
        <f aca="false">G47*VLOOKUP(D47,'Přehled akce'!$C$20:$K$36,6,FALSE())</f>
        <v>#N/A</v>
      </c>
      <c r="J47" s="0" t="e">
        <f aca="false">IF(H47-I47=0,1,0)</f>
        <v>#N/A</v>
      </c>
    </row>
    <row r="48" customFormat="false" ht="14.45" hidden="false" customHeight="true" outlineLevel="0" collapsed="false">
      <c r="A48" s="310" t="str">
        <f aca="false">CONCATENATE('Přehled akce'!$K$4," / ",'Přehled akce'!$K$5)</f>
        <v> / </v>
      </c>
      <c r="B48" s="311" t="s">
        <v>136</v>
      </c>
      <c r="C48" s="304" t="n">
        <v>41</v>
      </c>
      <c r="D48" s="314"/>
      <c r="E48" s="313"/>
      <c r="F48" s="307" t="n">
        <f aca="false">IF(D49&lt;&gt;D48,E48,(E48+F49))</f>
        <v>0</v>
      </c>
      <c r="G48" s="307" t="n">
        <f aca="false">IF(F48=H48,1,0)</f>
        <v>0</v>
      </c>
      <c r="H48" s="308" t="str">
        <f aca="false">IF(D48&lt;&gt;D47,F48,"-")</f>
        <v>-</v>
      </c>
      <c r="I48" s="309" t="e">
        <f aca="false">G48*VLOOKUP(D48,'Přehled akce'!$C$20:$K$36,6,FALSE())</f>
        <v>#N/A</v>
      </c>
      <c r="J48" s="0" t="e">
        <f aca="false">IF(H48-I48=0,1,0)</f>
        <v>#N/A</v>
      </c>
    </row>
    <row r="49" customFormat="false" ht="14.45" hidden="false" customHeight="true" outlineLevel="0" collapsed="false">
      <c r="A49" s="310" t="str">
        <f aca="false">CONCATENATE('Přehled akce'!$K$4," / ",'Přehled akce'!$K$5)</f>
        <v> / </v>
      </c>
      <c r="B49" s="311" t="s">
        <v>136</v>
      </c>
      <c r="C49" s="304" t="n">
        <v>42</v>
      </c>
      <c r="D49" s="314"/>
      <c r="E49" s="313"/>
      <c r="F49" s="307" t="n">
        <f aca="false">IF(D50&lt;&gt;D49,E49,(E49+F50))</f>
        <v>0</v>
      </c>
      <c r="G49" s="307" t="n">
        <f aca="false">IF(F49=H49,1,0)</f>
        <v>0</v>
      </c>
      <c r="H49" s="308" t="str">
        <f aca="false">IF(D49&lt;&gt;D48,F49,"-")</f>
        <v>-</v>
      </c>
      <c r="I49" s="309" t="e">
        <f aca="false">G49*VLOOKUP(D49,'Přehled akce'!$C$20:$K$36,6,FALSE())</f>
        <v>#N/A</v>
      </c>
      <c r="J49" s="0" t="e">
        <f aca="false">IF(H49-I49=0,1,0)</f>
        <v>#N/A</v>
      </c>
    </row>
    <row r="50" customFormat="false" ht="14.45" hidden="false" customHeight="true" outlineLevel="0" collapsed="false">
      <c r="A50" s="310" t="str">
        <f aca="false">CONCATENATE('Přehled akce'!$K$4," / ",'Přehled akce'!$K$5)</f>
        <v> / </v>
      </c>
      <c r="B50" s="311" t="s">
        <v>136</v>
      </c>
      <c r="C50" s="304" t="n">
        <v>43</v>
      </c>
      <c r="D50" s="314"/>
      <c r="E50" s="313"/>
      <c r="F50" s="307" t="n">
        <f aca="false">IF(D51&lt;&gt;D50,E50,(E50+F51))</f>
        <v>0</v>
      </c>
      <c r="G50" s="307" t="n">
        <f aca="false">IF(F50=H50,1,0)</f>
        <v>0</v>
      </c>
      <c r="H50" s="308" t="str">
        <f aca="false">IF(D50&lt;&gt;D49,F50,"-")</f>
        <v>-</v>
      </c>
      <c r="I50" s="309" t="e">
        <f aca="false">G50*VLOOKUP(D50,'Přehled akce'!$C$20:$K$36,6,FALSE())</f>
        <v>#N/A</v>
      </c>
      <c r="J50" s="0" t="e">
        <f aca="false">IF(H50-I50=0,1,0)</f>
        <v>#N/A</v>
      </c>
    </row>
    <row r="51" customFormat="false" ht="14.45" hidden="false" customHeight="true" outlineLevel="0" collapsed="false">
      <c r="A51" s="310" t="str">
        <f aca="false">CONCATENATE('Přehled akce'!$K$4," / ",'Přehled akce'!$K$5)</f>
        <v> / </v>
      </c>
      <c r="B51" s="311" t="s">
        <v>136</v>
      </c>
      <c r="C51" s="304" t="n">
        <v>44</v>
      </c>
      <c r="D51" s="314"/>
      <c r="E51" s="313"/>
      <c r="F51" s="307" t="n">
        <f aca="false">IF(D52&lt;&gt;D51,E51,(E51+F52))</f>
        <v>0</v>
      </c>
      <c r="G51" s="307" t="n">
        <f aca="false">IF(F51=H51,1,0)</f>
        <v>0</v>
      </c>
      <c r="H51" s="308" t="str">
        <f aca="false">IF(D51&lt;&gt;D50,F51,"-")</f>
        <v>-</v>
      </c>
      <c r="I51" s="309" t="e">
        <f aca="false">G51*VLOOKUP(D51,'Přehled akce'!$C$20:$K$36,6,FALSE())</f>
        <v>#N/A</v>
      </c>
      <c r="J51" s="0" t="e">
        <f aca="false">IF(H51-I51=0,1,0)</f>
        <v>#N/A</v>
      </c>
    </row>
    <row r="52" customFormat="false" ht="14.45" hidden="false" customHeight="true" outlineLevel="0" collapsed="false">
      <c r="A52" s="310" t="str">
        <f aca="false">CONCATENATE('Přehled akce'!$K$4," / ",'Přehled akce'!$K$5)</f>
        <v> / </v>
      </c>
      <c r="B52" s="311" t="s">
        <v>136</v>
      </c>
      <c r="C52" s="304" t="n">
        <v>45</v>
      </c>
      <c r="D52" s="314"/>
      <c r="E52" s="313"/>
      <c r="F52" s="307" t="n">
        <f aca="false">IF(D53&lt;&gt;D52,E52,(E52+F53))</f>
        <v>0</v>
      </c>
      <c r="G52" s="307" t="n">
        <f aca="false">IF(F52=H52,1,0)</f>
        <v>0</v>
      </c>
      <c r="H52" s="308" t="str">
        <f aca="false">IF(D52&lt;&gt;D51,F52,"-")</f>
        <v>-</v>
      </c>
      <c r="I52" s="309" t="e">
        <f aca="false">G52*VLOOKUP(D52,'Přehled akce'!$C$20:$K$36,6,FALSE())</f>
        <v>#N/A</v>
      </c>
      <c r="J52" s="0" t="e">
        <f aca="false">IF(H52-I52=0,1,0)</f>
        <v>#N/A</v>
      </c>
    </row>
    <row r="53" customFormat="false" ht="14.45" hidden="false" customHeight="true" outlineLevel="0" collapsed="false">
      <c r="A53" s="310" t="str">
        <f aca="false">CONCATENATE('Přehled akce'!$K$4," / ",'Přehled akce'!$K$5)</f>
        <v> / </v>
      </c>
      <c r="B53" s="311" t="s">
        <v>136</v>
      </c>
      <c r="C53" s="304" t="n">
        <v>46</v>
      </c>
      <c r="D53" s="314"/>
      <c r="E53" s="313"/>
      <c r="F53" s="307" t="n">
        <f aca="false">IF(D54&lt;&gt;D53,E53,(E53+F54))</f>
        <v>0</v>
      </c>
      <c r="G53" s="307" t="n">
        <f aca="false">IF(F53=H53,1,0)</f>
        <v>0</v>
      </c>
      <c r="H53" s="308" t="str">
        <f aca="false">IF(D53&lt;&gt;D52,F53,"-")</f>
        <v>-</v>
      </c>
      <c r="I53" s="309" t="e">
        <f aca="false">G53*VLOOKUP(D53,'Přehled akce'!$C$20:$K$36,6,FALSE())</f>
        <v>#N/A</v>
      </c>
      <c r="J53" s="0" t="e">
        <f aca="false">IF(H53-I53=0,1,0)</f>
        <v>#N/A</v>
      </c>
    </row>
    <row r="54" customFormat="false" ht="14.45" hidden="false" customHeight="true" outlineLevel="0" collapsed="false">
      <c r="A54" s="310" t="str">
        <f aca="false">CONCATENATE('Přehled akce'!$K$4," / ",'Přehled akce'!$K$5)</f>
        <v> / </v>
      </c>
      <c r="B54" s="311" t="s">
        <v>136</v>
      </c>
      <c r="C54" s="304" t="n">
        <v>47</v>
      </c>
      <c r="D54" s="314"/>
      <c r="E54" s="313"/>
      <c r="F54" s="307" t="n">
        <f aca="false">IF(D55&lt;&gt;D54,E54,(E54+F55))</f>
        <v>0</v>
      </c>
      <c r="G54" s="307" t="n">
        <f aca="false">IF(F54=H54,1,0)</f>
        <v>0</v>
      </c>
      <c r="H54" s="308" t="str">
        <f aca="false">IF(D54&lt;&gt;D53,F54,"-")</f>
        <v>-</v>
      </c>
      <c r="I54" s="309" t="e">
        <f aca="false">G54*VLOOKUP(D54,'Přehled akce'!$C$20:$K$36,6,FALSE())</f>
        <v>#N/A</v>
      </c>
      <c r="J54" s="0" t="e">
        <f aca="false">IF(H54-I54=0,1,0)</f>
        <v>#N/A</v>
      </c>
    </row>
    <row r="55" customFormat="false" ht="14.45" hidden="false" customHeight="true" outlineLevel="0" collapsed="false">
      <c r="A55" s="310" t="str">
        <f aca="false">CONCATENATE('Přehled akce'!$K$4," / ",'Přehled akce'!$K$5)</f>
        <v> / </v>
      </c>
      <c r="B55" s="311" t="s">
        <v>136</v>
      </c>
      <c r="C55" s="304" t="n">
        <v>48</v>
      </c>
      <c r="D55" s="314"/>
      <c r="E55" s="313"/>
      <c r="F55" s="307" t="n">
        <f aca="false">IF(D56&lt;&gt;D55,E55,(E55+F56))</f>
        <v>0</v>
      </c>
      <c r="G55" s="307" t="n">
        <f aca="false">IF(F55=H55,1,0)</f>
        <v>0</v>
      </c>
      <c r="H55" s="308" t="str">
        <f aca="false">IF(D55&lt;&gt;D54,F55,"-")</f>
        <v>-</v>
      </c>
      <c r="I55" s="309" t="e">
        <f aca="false">G55*VLOOKUP(D55,'Přehled akce'!$C$20:$K$36,6,FALSE())</f>
        <v>#N/A</v>
      </c>
      <c r="J55" s="0" t="e">
        <f aca="false">IF(H55-I55=0,1,0)</f>
        <v>#N/A</v>
      </c>
    </row>
    <row r="56" customFormat="false" ht="14.45" hidden="false" customHeight="true" outlineLevel="0" collapsed="false">
      <c r="A56" s="310" t="str">
        <f aca="false">CONCATENATE('Přehled akce'!$K$4," / ",'Přehled akce'!$K$5)</f>
        <v> / </v>
      </c>
      <c r="B56" s="311" t="s">
        <v>136</v>
      </c>
      <c r="C56" s="304" t="n">
        <v>49</v>
      </c>
      <c r="D56" s="314"/>
      <c r="E56" s="313"/>
      <c r="F56" s="307" t="n">
        <f aca="false">IF(D57&lt;&gt;D56,E56,(E56+F57))</f>
        <v>0</v>
      </c>
      <c r="G56" s="307" t="n">
        <f aca="false">IF(F56=H56,1,0)</f>
        <v>0</v>
      </c>
      <c r="H56" s="308" t="str">
        <f aca="false">IF(D56&lt;&gt;D55,F56,"-")</f>
        <v>-</v>
      </c>
      <c r="I56" s="309" t="e">
        <f aca="false">G56*VLOOKUP(D56,'Přehled akce'!$C$20:$K$36,6,FALSE())</f>
        <v>#N/A</v>
      </c>
      <c r="J56" s="0" t="e">
        <f aca="false">IF(H56-I56=0,1,0)</f>
        <v>#N/A</v>
      </c>
    </row>
    <row r="57" customFormat="false" ht="14.45" hidden="false" customHeight="true" outlineLevel="0" collapsed="false">
      <c r="A57" s="310" t="str">
        <f aca="false">CONCATENATE('Přehled akce'!$K$4," / ",'Přehled akce'!$K$5)</f>
        <v> / </v>
      </c>
      <c r="B57" s="311" t="s">
        <v>136</v>
      </c>
      <c r="C57" s="304" t="n">
        <v>50</v>
      </c>
      <c r="D57" s="314"/>
      <c r="E57" s="313"/>
      <c r="F57" s="307" t="n">
        <f aca="false">IF(D58&lt;&gt;D57,E57,(E57+F58))</f>
        <v>0</v>
      </c>
      <c r="G57" s="307" t="n">
        <f aca="false">IF(F57=H57,1,0)</f>
        <v>0</v>
      </c>
      <c r="H57" s="308" t="str">
        <f aca="false">IF(D57&lt;&gt;D56,F57,"-")</f>
        <v>-</v>
      </c>
      <c r="I57" s="309" t="e">
        <f aca="false">G57*VLOOKUP(D57,'Přehled akce'!$C$20:$K$36,6,FALSE())</f>
        <v>#N/A</v>
      </c>
      <c r="J57" s="0" t="e">
        <f aca="false">IF(H57-I57=0,1,0)</f>
        <v>#N/A</v>
      </c>
    </row>
    <row r="58" customFormat="false" ht="14.45" hidden="false" customHeight="true" outlineLevel="0" collapsed="false">
      <c r="A58" s="310" t="str">
        <f aca="false">CONCATENATE('Přehled akce'!$K$4," / ",'Přehled akce'!$K$5)</f>
        <v> / </v>
      </c>
      <c r="B58" s="311" t="s">
        <v>136</v>
      </c>
      <c r="C58" s="304" t="n">
        <v>51</v>
      </c>
      <c r="D58" s="315"/>
      <c r="E58" s="313"/>
      <c r="F58" s="307" t="n">
        <f aca="false">IF(D59&lt;&gt;D58,E58,(E58+F59))</f>
        <v>0</v>
      </c>
      <c r="G58" s="307" t="n">
        <f aca="false">IF(F58=H58,1,0)</f>
        <v>0</v>
      </c>
      <c r="H58" s="308" t="str">
        <f aca="false">IF(D58&lt;&gt;D57,F58,"-")</f>
        <v>-</v>
      </c>
      <c r="I58" s="309" t="e">
        <f aca="false">G58*VLOOKUP(D58,'Přehled akce'!$C$20:$K$36,6,FALSE())</f>
        <v>#N/A</v>
      </c>
      <c r="J58" s="0" t="e">
        <f aca="false">IF(H58-I58=0,1,0)</f>
        <v>#N/A</v>
      </c>
    </row>
    <row r="59" customFormat="false" ht="14.45" hidden="false" customHeight="true" outlineLevel="0" collapsed="false">
      <c r="A59" s="310" t="str">
        <f aca="false">CONCATENATE('Přehled akce'!$K$4," / ",'Přehled akce'!$K$5)</f>
        <v> / </v>
      </c>
      <c r="B59" s="311" t="s">
        <v>136</v>
      </c>
      <c r="C59" s="304" t="n">
        <v>52</v>
      </c>
      <c r="D59" s="314"/>
      <c r="E59" s="313"/>
      <c r="F59" s="307" t="n">
        <f aca="false">IF(D60&lt;&gt;D59,E59,(E59+F60))</f>
        <v>0</v>
      </c>
      <c r="G59" s="307" t="n">
        <f aca="false">IF(F59=H59,1,0)</f>
        <v>0</v>
      </c>
      <c r="H59" s="308" t="str">
        <f aca="false">IF(D59&lt;&gt;D58,F59,"-")</f>
        <v>-</v>
      </c>
      <c r="I59" s="309" t="e">
        <f aca="false">G59*VLOOKUP(D59,'Přehled akce'!$C$20:$K$36,6,FALSE())</f>
        <v>#N/A</v>
      </c>
      <c r="J59" s="0" t="e">
        <f aca="false">IF(H59-I59=0,1,0)</f>
        <v>#N/A</v>
      </c>
    </row>
    <row r="60" customFormat="false" ht="14.45" hidden="false" customHeight="true" outlineLevel="0" collapsed="false">
      <c r="A60" s="310" t="str">
        <f aca="false">CONCATENATE('Přehled akce'!$K$4," / ",'Přehled akce'!$K$5)</f>
        <v> / </v>
      </c>
      <c r="B60" s="311" t="s">
        <v>136</v>
      </c>
      <c r="C60" s="304" t="n">
        <v>53</v>
      </c>
      <c r="D60" s="314"/>
      <c r="E60" s="313"/>
      <c r="F60" s="307" t="n">
        <f aca="false">IF(D61&lt;&gt;D60,E60,(E60+F61))</f>
        <v>0</v>
      </c>
      <c r="G60" s="307" t="n">
        <f aca="false">IF(F60=H60,1,0)</f>
        <v>0</v>
      </c>
      <c r="H60" s="308" t="str">
        <f aca="false">IF(D60&lt;&gt;D59,F60,"-")</f>
        <v>-</v>
      </c>
      <c r="I60" s="309" t="e">
        <f aca="false">G60*VLOOKUP(D60,'Přehled akce'!$C$20:$K$36,6,FALSE())</f>
        <v>#N/A</v>
      </c>
      <c r="J60" s="0" t="e">
        <f aca="false">IF(H60-I60=0,1,0)</f>
        <v>#N/A</v>
      </c>
    </row>
    <row r="61" customFormat="false" ht="14.45" hidden="false" customHeight="true" outlineLevel="0" collapsed="false">
      <c r="A61" s="310" t="str">
        <f aca="false">CONCATENATE('Přehled akce'!$K$4," / ",'Přehled akce'!$K$5)</f>
        <v> / </v>
      </c>
      <c r="B61" s="311" t="s">
        <v>136</v>
      </c>
      <c r="C61" s="304" t="n">
        <v>54</v>
      </c>
      <c r="D61" s="314"/>
      <c r="E61" s="313"/>
      <c r="F61" s="307" t="n">
        <f aca="false">IF(D62&lt;&gt;D61,E61,(E61+F62))</f>
        <v>0</v>
      </c>
      <c r="G61" s="307" t="n">
        <f aca="false">IF(F61=H61,1,0)</f>
        <v>0</v>
      </c>
      <c r="H61" s="308" t="str">
        <f aca="false">IF(D61&lt;&gt;D60,F61,"-")</f>
        <v>-</v>
      </c>
      <c r="I61" s="309" t="e">
        <f aca="false">G61*VLOOKUP(D61,'Přehled akce'!$C$20:$K$36,6,FALSE())</f>
        <v>#N/A</v>
      </c>
      <c r="J61" s="0" t="e">
        <f aca="false">IF(H61-I61=0,1,0)</f>
        <v>#N/A</v>
      </c>
    </row>
    <row r="62" customFormat="false" ht="14.45" hidden="false" customHeight="true" outlineLevel="0" collapsed="false">
      <c r="A62" s="310" t="str">
        <f aca="false">CONCATENATE('Přehled akce'!$K$4," / ",'Přehled akce'!$K$5)</f>
        <v> / </v>
      </c>
      <c r="B62" s="311" t="s">
        <v>136</v>
      </c>
      <c r="C62" s="304" t="n">
        <v>55</v>
      </c>
      <c r="D62" s="314"/>
      <c r="E62" s="313"/>
      <c r="F62" s="307" t="n">
        <f aca="false">IF(D63&lt;&gt;D62,E62,(E62+F63))</f>
        <v>0</v>
      </c>
      <c r="G62" s="307" t="n">
        <f aca="false">IF(F62=H62,1,0)</f>
        <v>0</v>
      </c>
      <c r="H62" s="308" t="str">
        <f aca="false">IF(D62&lt;&gt;D61,F62,"-")</f>
        <v>-</v>
      </c>
      <c r="I62" s="309" t="e">
        <f aca="false">G62*VLOOKUP(D62,'Přehled akce'!$C$20:$K$36,6,FALSE())</f>
        <v>#N/A</v>
      </c>
      <c r="J62" s="0" t="e">
        <f aca="false">IF(H62-I62=0,1,0)</f>
        <v>#N/A</v>
      </c>
    </row>
    <row r="63" customFormat="false" ht="14.45" hidden="false" customHeight="true" outlineLevel="0" collapsed="false">
      <c r="A63" s="310" t="str">
        <f aca="false">CONCATENATE('Přehled akce'!$K$4," / ",'Přehled akce'!$K$5)</f>
        <v> / </v>
      </c>
      <c r="B63" s="311" t="s">
        <v>136</v>
      </c>
      <c r="C63" s="304" t="n">
        <v>56</v>
      </c>
      <c r="D63" s="314"/>
      <c r="E63" s="313"/>
      <c r="F63" s="307" t="n">
        <f aca="false">IF(D64&lt;&gt;D63,E63,(E63+F64))</f>
        <v>0</v>
      </c>
      <c r="G63" s="307" t="n">
        <f aca="false">IF(F63=H63,1,0)</f>
        <v>0</v>
      </c>
      <c r="H63" s="308" t="str">
        <f aca="false">IF(D63&lt;&gt;D62,F63,"-")</f>
        <v>-</v>
      </c>
      <c r="I63" s="309" t="e">
        <f aca="false">G63*VLOOKUP(D63,'Přehled akce'!$C$20:$K$36,6,FALSE())</f>
        <v>#N/A</v>
      </c>
      <c r="J63" s="0" t="e">
        <f aca="false">IF(H63-I63=0,1,0)</f>
        <v>#N/A</v>
      </c>
    </row>
    <row r="64" customFormat="false" ht="14.45" hidden="false" customHeight="true" outlineLevel="0" collapsed="false">
      <c r="A64" s="310" t="str">
        <f aca="false">CONCATENATE('Přehled akce'!$K$4," / ",'Přehled akce'!$K$5)</f>
        <v> / </v>
      </c>
      <c r="B64" s="311" t="s">
        <v>136</v>
      </c>
      <c r="C64" s="304" t="n">
        <v>57</v>
      </c>
      <c r="D64" s="314"/>
      <c r="E64" s="313"/>
      <c r="F64" s="307" t="n">
        <f aca="false">IF(D65&lt;&gt;D64,E64,(E64+F65))</f>
        <v>0</v>
      </c>
      <c r="G64" s="307" t="n">
        <f aca="false">IF(F64=H64,1,0)</f>
        <v>0</v>
      </c>
      <c r="H64" s="308" t="str">
        <f aca="false">IF(D64&lt;&gt;D63,F64,"-")</f>
        <v>-</v>
      </c>
      <c r="I64" s="309" t="e">
        <f aca="false">G64*VLOOKUP(D64,'Přehled akce'!$C$20:$K$36,6,FALSE())</f>
        <v>#N/A</v>
      </c>
      <c r="J64" s="0" t="e">
        <f aca="false">IF(H64-I64=0,1,0)</f>
        <v>#N/A</v>
      </c>
    </row>
    <row r="65" customFormat="false" ht="14.45" hidden="false" customHeight="true" outlineLevel="0" collapsed="false">
      <c r="A65" s="310" t="str">
        <f aca="false">CONCATENATE('Přehled akce'!$K$4," / ",'Přehled akce'!$K$5)</f>
        <v> / </v>
      </c>
      <c r="B65" s="311" t="s">
        <v>136</v>
      </c>
      <c r="C65" s="304" t="n">
        <v>58</v>
      </c>
      <c r="D65" s="314"/>
      <c r="E65" s="313"/>
      <c r="F65" s="307" t="n">
        <f aca="false">IF(D66&lt;&gt;D65,E65,(E65+F66))</f>
        <v>0</v>
      </c>
      <c r="G65" s="307" t="n">
        <f aca="false">IF(F65=H65,1,0)</f>
        <v>0</v>
      </c>
      <c r="H65" s="308" t="str">
        <f aca="false">IF(D65&lt;&gt;D64,F65,"-")</f>
        <v>-</v>
      </c>
      <c r="I65" s="309" t="e">
        <f aca="false">G65*VLOOKUP(D65,'Přehled akce'!$C$20:$K$36,6,FALSE())</f>
        <v>#N/A</v>
      </c>
      <c r="J65" s="0" t="e">
        <f aca="false">IF(H65-I65=0,1,0)</f>
        <v>#N/A</v>
      </c>
    </row>
    <row r="66" customFormat="false" ht="14.45" hidden="false" customHeight="true" outlineLevel="0" collapsed="false">
      <c r="A66" s="310" t="str">
        <f aca="false">CONCATENATE('Přehled akce'!$K$4," / ",'Přehled akce'!$K$5)</f>
        <v> / </v>
      </c>
      <c r="B66" s="311" t="s">
        <v>136</v>
      </c>
      <c r="C66" s="304" t="n">
        <v>59</v>
      </c>
      <c r="D66" s="314"/>
      <c r="E66" s="313"/>
      <c r="F66" s="307" t="n">
        <f aca="false">IF(D67&lt;&gt;D66,E66,(E66+F67))</f>
        <v>0</v>
      </c>
      <c r="G66" s="307" t="n">
        <f aca="false">IF(F66=H66,1,0)</f>
        <v>0</v>
      </c>
      <c r="H66" s="308" t="str">
        <f aca="false">IF(D66&lt;&gt;D65,F66,"-")</f>
        <v>-</v>
      </c>
      <c r="I66" s="309" t="e">
        <f aca="false">G66*VLOOKUP(D66,'Přehled akce'!$C$20:$K$36,6,FALSE())</f>
        <v>#N/A</v>
      </c>
      <c r="J66" s="0" t="e">
        <f aca="false">IF(H66-I66=0,1,0)</f>
        <v>#N/A</v>
      </c>
    </row>
    <row r="67" customFormat="false" ht="14.45" hidden="false" customHeight="true" outlineLevel="0" collapsed="false">
      <c r="A67" s="310" t="str">
        <f aca="false">CONCATENATE('Přehled akce'!$K$4," / ",'Přehled akce'!$K$5)</f>
        <v> / </v>
      </c>
      <c r="B67" s="311" t="s">
        <v>136</v>
      </c>
      <c r="C67" s="304" t="n">
        <v>60</v>
      </c>
      <c r="D67" s="314"/>
      <c r="E67" s="313"/>
      <c r="F67" s="307" t="n">
        <f aca="false">IF(D68&lt;&gt;D67,E67,(E67+F68))</f>
        <v>0</v>
      </c>
      <c r="G67" s="307" t="n">
        <f aca="false">IF(F67=H67,1,0)</f>
        <v>0</v>
      </c>
      <c r="H67" s="308" t="str">
        <f aca="false">IF(D67&lt;&gt;D66,F67,"-")</f>
        <v>-</v>
      </c>
      <c r="I67" s="309" t="e">
        <f aca="false">G67*VLOOKUP(D67,'Přehled akce'!$C$20:$K$36,6,FALSE())</f>
        <v>#N/A</v>
      </c>
      <c r="J67" s="0" t="e">
        <f aca="false">IF(H67-I67=0,1,0)</f>
        <v>#N/A</v>
      </c>
    </row>
    <row r="68" customFormat="false" ht="14.45" hidden="false" customHeight="true" outlineLevel="0" collapsed="false">
      <c r="A68" s="310" t="str">
        <f aca="false">CONCATENATE('Přehled akce'!$K$4," / ",'Přehled akce'!$K$5)</f>
        <v> / </v>
      </c>
      <c r="B68" s="311" t="s">
        <v>136</v>
      </c>
      <c r="C68" s="304" t="n">
        <v>61</v>
      </c>
      <c r="D68" s="314"/>
      <c r="E68" s="313"/>
      <c r="F68" s="307" t="n">
        <f aca="false">IF(D69&lt;&gt;D68,E68,(E68+F69))</f>
        <v>0</v>
      </c>
      <c r="G68" s="307" t="n">
        <f aca="false">IF(F68=H68,1,0)</f>
        <v>0</v>
      </c>
      <c r="H68" s="308" t="str">
        <f aca="false">IF(D68&lt;&gt;D67,F68,"-")</f>
        <v>-</v>
      </c>
      <c r="I68" s="309" t="e">
        <f aca="false">G68*VLOOKUP(D68,'Přehled akce'!$C$20:$K$36,6,FALSE())</f>
        <v>#N/A</v>
      </c>
      <c r="J68" s="0" t="e">
        <f aca="false">IF(H68-I68=0,1,0)</f>
        <v>#N/A</v>
      </c>
    </row>
    <row r="69" customFormat="false" ht="14.45" hidden="false" customHeight="true" outlineLevel="0" collapsed="false">
      <c r="A69" s="310" t="str">
        <f aca="false">CONCATENATE('Přehled akce'!$K$4," / ",'Přehled akce'!$K$5)</f>
        <v> / </v>
      </c>
      <c r="B69" s="311" t="s">
        <v>136</v>
      </c>
      <c r="C69" s="304" t="n">
        <v>62</v>
      </c>
      <c r="D69" s="314"/>
      <c r="E69" s="313"/>
      <c r="F69" s="307" t="n">
        <f aca="false">IF(D70&lt;&gt;D69,E69,(E69+F70))</f>
        <v>0</v>
      </c>
      <c r="G69" s="307" t="n">
        <f aca="false">IF(F69=H69,1,0)</f>
        <v>0</v>
      </c>
      <c r="H69" s="308" t="str">
        <f aca="false">IF(D69&lt;&gt;D68,F69,"-")</f>
        <v>-</v>
      </c>
      <c r="I69" s="309" t="e">
        <f aca="false">G69*VLOOKUP(D69,'Přehled akce'!$C$20:$K$36,6,FALSE())</f>
        <v>#N/A</v>
      </c>
      <c r="J69" s="0" t="e">
        <f aca="false">IF(H69-I69=0,1,0)</f>
        <v>#N/A</v>
      </c>
    </row>
    <row r="70" customFormat="false" ht="14.45" hidden="false" customHeight="true" outlineLevel="0" collapsed="false">
      <c r="A70" s="310" t="str">
        <f aca="false">CONCATENATE('Přehled akce'!$K$4," / ",'Přehled akce'!$K$5)</f>
        <v> / </v>
      </c>
      <c r="B70" s="311" t="s">
        <v>136</v>
      </c>
      <c r="C70" s="304" t="n">
        <v>63</v>
      </c>
      <c r="D70" s="315"/>
      <c r="E70" s="313"/>
      <c r="F70" s="307" t="n">
        <f aca="false">IF(D71&lt;&gt;D70,E70,(E70+F71))</f>
        <v>0</v>
      </c>
      <c r="G70" s="307" t="n">
        <f aca="false">IF(F70=H70,1,0)</f>
        <v>0</v>
      </c>
      <c r="H70" s="308" t="str">
        <f aca="false">IF(D70&lt;&gt;D69,F70,"-")</f>
        <v>-</v>
      </c>
      <c r="I70" s="309" t="e">
        <f aca="false">G70*VLOOKUP(D70,'Přehled akce'!$C$20:$K$36,6,FALSE())</f>
        <v>#N/A</v>
      </c>
      <c r="J70" s="0" t="e">
        <f aca="false">IF(H70-I70=0,1,0)</f>
        <v>#N/A</v>
      </c>
    </row>
    <row r="71" customFormat="false" ht="14.45" hidden="false" customHeight="true" outlineLevel="0" collapsed="false">
      <c r="A71" s="310" t="str">
        <f aca="false">CONCATENATE('Přehled akce'!$K$4," / ",'Přehled akce'!$K$5)</f>
        <v> / </v>
      </c>
      <c r="B71" s="311" t="s">
        <v>136</v>
      </c>
      <c r="C71" s="304" t="n">
        <v>64</v>
      </c>
      <c r="D71" s="314"/>
      <c r="E71" s="313"/>
      <c r="F71" s="307" t="n">
        <f aca="false">IF(D72&lt;&gt;D71,E71,(E71+F72))</f>
        <v>0</v>
      </c>
      <c r="G71" s="307" t="n">
        <f aca="false">IF(F71=H71,1,0)</f>
        <v>0</v>
      </c>
      <c r="H71" s="308" t="str">
        <f aca="false">IF(D71&lt;&gt;D70,F71,"-")</f>
        <v>-</v>
      </c>
      <c r="I71" s="309" t="e">
        <f aca="false">G71*VLOOKUP(D71,'Přehled akce'!$C$20:$K$36,6,FALSE())</f>
        <v>#N/A</v>
      </c>
      <c r="J71" s="0" t="e">
        <f aca="false">IF(H71-I71=0,1,0)</f>
        <v>#N/A</v>
      </c>
    </row>
    <row r="72" customFormat="false" ht="14.45" hidden="false" customHeight="true" outlineLevel="0" collapsed="false">
      <c r="A72" s="310" t="str">
        <f aca="false">CONCATENATE('Přehled akce'!$K$4," / ",'Přehled akce'!$K$5)</f>
        <v> / </v>
      </c>
      <c r="B72" s="311" t="s">
        <v>136</v>
      </c>
      <c r="C72" s="304" t="n">
        <v>65</v>
      </c>
      <c r="D72" s="314"/>
      <c r="E72" s="313"/>
      <c r="F72" s="307" t="n">
        <f aca="false">IF(D73&lt;&gt;D72,E72,(E72+F73))</f>
        <v>0</v>
      </c>
      <c r="G72" s="307" t="n">
        <f aca="false">IF(F72=H72,1,0)</f>
        <v>0</v>
      </c>
      <c r="H72" s="308" t="str">
        <f aca="false">IF(D72&lt;&gt;D71,F72,"-")</f>
        <v>-</v>
      </c>
      <c r="I72" s="309" t="e">
        <f aca="false">G72*VLOOKUP(D72,'Přehled akce'!$C$20:$K$36,6,FALSE())</f>
        <v>#N/A</v>
      </c>
      <c r="J72" s="0" t="e">
        <f aca="false">IF(H72-I72=0,1,0)</f>
        <v>#N/A</v>
      </c>
    </row>
    <row r="73" customFormat="false" ht="14.45" hidden="false" customHeight="true" outlineLevel="0" collapsed="false">
      <c r="A73" s="310" t="str">
        <f aca="false">CONCATENATE('Přehled akce'!$K$4," / ",'Přehled akce'!$K$5)</f>
        <v> / </v>
      </c>
      <c r="B73" s="311" t="s">
        <v>136</v>
      </c>
      <c r="C73" s="304" t="n">
        <v>66</v>
      </c>
      <c r="D73" s="314"/>
      <c r="E73" s="313"/>
      <c r="F73" s="307" t="n">
        <f aca="false">IF(D74&lt;&gt;D73,E73,(E73+F74))</f>
        <v>0</v>
      </c>
      <c r="G73" s="307" t="n">
        <f aca="false">IF(F73=H73,1,0)</f>
        <v>0</v>
      </c>
      <c r="H73" s="308" t="str">
        <f aca="false">IF(D73&lt;&gt;D72,F73,"-")</f>
        <v>-</v>
      </c>
      <c r="I73" s="309" t="e">
        <f aca="false">G73*VLOOKUP(D73,'Přehled akce'!$C$20:$K$36,6,FALSE())</f>
        <v>#N/A</v>
      </c>
      <c r="J73" s="0" t="e">
        <f aca="false">IF(H73-I73=0,1,0)</f>
        <v>#N/A</v>
      </c>
    </row>
    <row r="74" customFormat="false" ht="14.45" hidden="false" customHeight="true" outlineLevel="0" collapsed="false">
      <c r="A74" s="310" t="str">
        <f aca="false">CONCATENATE('Přehled akce'!$K$4," / ",'Přehled akce'!$K$5)</f>
        <v> / </v>
      </c>
      <c r="B74" s="311" t="s">
        <v>136</v>
      </c>
      <c r="C74" s="304" t="n">
        <v>67</v>
      </c>
      <c r="D74" s="314"/>
      <c r="E74" s="313"/>
      <c r="F74" s="307" t="n">
        <f aca="false">IF(D75&lt;&gt;D74,E74,(E74+F75))</f>
        <v>0</v>
      </c>
      <c r="G74" s="307" t="n">
        <f aca="false">IF(F74=H74,1,0)</f>
        <v>0</v>
      </c>
      <c r="H74" s="308" t="str">
        <f aca="false">IF(D74&lt;&gt;D73,F74,"-")</f>
        <v>-</v>
      </c>
      <c r="I74" s="309" t="e">
        <f aca="false">G74*VLOOKUP(D74,'Přehled akce'!$C$20:$K$36,6,FALSE())</f>
        <v>#N/A</v>
      </c>
      <c r="J74" s="0" t="e">
        <f aca="false">IF(H74-I74=0,1,0)</f>
        <v>#N/A</v>
      </c>
    </row>
    <row r="75" customFormat="false" ht="14.45" hidden="false" customHeight="true" outlineLevel="0" collapsed="false">
      <c r="A75" s="310" t="str">
        <f aca="false">CONCATENATE('Přehled akce'!$K$4," / ",'Přehled akce'!$K$5)</f>
        <v> / </v>
      </c>
      <c r="B75" s="311" t="s">
        <v>136</v>
      </c>
      <c r="C75" s="304" t="n">
        <v>68</v>
      </c>
      <c r="D75" s="314"/>
      <c r="E75" s="313"/>
      <c r="F75" s="307" t="n">
        <f aca="false">IF(D76&lt;&gt;D75,E75,(E75+F76))</f>
        <v>0</v>
      </c>
      <c r="G75" s="307" t="n">
        <f aca="false">IF(F75=H75,1,0)</f>
        <v>0</v>
      </c>
      <c r="H75" s="308" t="str">
        <f aca="false">IF(D75&lt;&gt;D74,F75,"-")</f>
        <v>-</v>
      </c>
      <c r="I75" s="309" t="e">
        <f aca="false">G75*VLOOKUP(D75,'Přehled akce'!$C$20:$K$36,6,FALSE())</f>
        <v>#N/A</v>
      </c>
      <c r="J75" s="0" t="e">
        <f aca="false">IF(H75-I75=0,1,0)</f>
        <v>#N/A</v>
      </c>
    </row>
    <row r="76" customFormat="false" ht="14.45" hidden="false" customHeight="true" outlineLevel="0" collapsed="false">
      <c r="A76" s="310" t="str">
        <f aca="false">CONCATENATE('Přehled akce'!$K$4," / ",'Přehled akce'!$K$5)</f>
        <v> / </v>
      </c>
      <c r="B76" s="311" t="s">
        <v>136</v>
      </c>
      <c r="C76" s="304" t="n">
        <v>69</v>
      </c>
      <c r="D76" s="314"/>
      <c r="E76" s="313"/>
      <c r="F76" s="307" t="n">
        <f aca="false">IF(D77&lt;&gt;D76,E76,(E76+F77))</f>
        <v>0</v>
      </c>
      <c r="G76" s="307" t="n">
        <f aca="false">IF(F76=H76,1,0)</f>
        <v>0</v>
      </c>
      <c r="H76" s="308" t="str">
        <f aca="false">IF(D76&lt;&gt;D75,F76,"-")</f>
        <v>-</v>
      </c>
      <c r="I76" s="309" t="e">
        <f aca="false">G76*VLOOKUP(D76,'Přehled akce'!$C$20:$K$36,6,FALSE())</f>
        <v>#N/A</v>
      </c>
      <c r="J76" s="0" t="e">
        <f aca="false">IF(H76-I76=0,1,0)</f>
        <v>#N/A</v>
      </c>
    </row>
    <row r="77" customFormat="false" ht="14.45" hidden="false" customHeight="true" outlineLevel="0" collapsed="false">
      <c r="A77" s="310" t="str">
        <f aca="false">CONCATENATE('Přehled akce'!$K$4," / ",'Přehled akce'!$K$5)</f>
        <v> / </v>
      </c>
      <c r="B77" s="311" t="s">
        <v>136</v>
      </c>
      <c r="C77" s="304" t="n">
        <v>70</v>
      </c>
      <c r="D77" s="314"/>
      <c r="E77" s="313"/>
      <c r="F77" s="307" t="n">
        <f aca="false">IF(D78&lt;&gt;D77,E77,(E77+F78))</f>
        <v>0</v>
      </c>
      <c r="G77" s="307" t="n">
        <f aca="false">IF(F77=H77,1,0)</f>
        <v>0</v>
      </c>
      <c r="H77" s="308" t="str">
        <f aca="false">IF(D77&lt;&gt;D76,F77,"-")</f>
        <v>-</v>
      </c>
      <c r="I77" s="309" t="e">
        <f aca="false">G77*VLOOKUP(D77,'Přehled akce'!$C$20:$K$36,6,FALSE())</f>
        <v>#N/A</v>
      </c>
      <c r="J77" s="0" t="e">
        <f aca="false">IF(H77-I77=0,1,0)</f>
        <v>#N/A</v>
      </c>
    </row>
    <row r="78" customFormat="false" ht="14.45" hidden="false" customHeight="true" outlineLevel="0" collapsed="false">
      <c r="A78" s="310" t="str">
        <f aca="false">CONCATENATE('Přehled akce'!$K$4," / ",'Přehled akce'!$K$5)</f>
        <v> / </v>
      </c>
      <c r="B78" s="311" t="s">
        <v>136</v>
      </c>
      <c r="C78" s="304" t="n">
        <v>71</v>
      </c>
      <c r="D78" s="314"/>
      <c r="E78" s="313"/>
      <c r="F78" s="307" t="n">
        <f aca="false">IF(D79&lt;&gt;D78,E78,(E78+F79))</f>
        <v>0</v>
      </c>
      <c r="G78" s="307" t="n">
        <f aca="false">IF(F78=H78,1,0)</f>
        <v>0</v>
      </c>
      <c r="H78" s="308" t="str">
        <f aca="false">IF(D78&lt;&gt;D77,F78,"-")</f>
        <v>-</v>
      </c>
      <c r="I78" s="309" t="e">
        <f aca="false">G78*VLOOKUP(D78,'Přehled akce'!$C$20:$K$36,6,FALSE())</f>
        <v>#N/A</v>
      </c>
      <c r="J78" s="0" t="e">
        <f aca="false">IF(H78-I78=0,1,0)</f>
        <v>#N/A</v>
      </c>
    </row>
    <row r="79" customFormat="false" ht="14.45" hidden="false" customHeight="true" outlineLevel="0" collapsed="false">
      <c r="A79" s="310" t="str">
        <f aca="false">CONCATENATE('Přehled akce'!$K$4," / ",'Přehled akce'!$K$5)</f>
        <v> / </v>
      </c>
      <c r="B79" s="311" t="s">
        <v>136</v>
      </c>
      <c r="C79" s="304" t="n">
        <v>72</v>
      </c>
      <c r="D79" s="314"/>
      <c r="E79" s="313"/>
      <c r="F79" s="307" t="n">
        <f aca="false">IF(D80&lt;&gt;D79,E79,(E79+F80))</f>
        <v>0</v>
      </c>
      <c r="G79" s="307" t="n">
        <f aca="false">IF(F79=H79,1,0)</f>
        <v>0</v>
      </c>
      <c r="H79" s="308" t="str">
        <f aca="false">IF(D79&lt;&gt;D78,F79,"-")</f>
        <v>-</v>
      </c>
      <c r="I79" s="309" t="e">
        <f aca="false">G79*VLOOKUP(D79,'Přehled akce'!$C$20:$K$36,6,FALSE())</f>
        <v>#N/A</v>
      </c>
      <c r="J79" s="0" t="e">
        <f aca="false">IF(H79-I79=0,1,0)</f>
        <v>#N/A</v>
      </c>
    </row>
    <row r="80" customFormat="false" ht="14.45" hidden="false" customHeight="true" outlineLevel="0" collapsed="false">
      <c r="A80" s="310" t="str">
        <f aca="false">CONCATENATE('Přehled akce'!$K$4," / ",'Přehled akce'!$K$5)</f>
        <v> / </v>
      </c>
      <c r="B80" s="311" t="s">
        <v>136</v>
      </c>
      <c r="C80" s="304" t="n">
        <v>73</v>
      </c>
      <c r="D80" s="314"/>
      <c r="E80" s="313"/>
      <c r="F80" s="307" t="n">
        <f aca="false">IF(D81&lt;&gt;D80,E80,(E80+F81))</f>
        <v>0</v>
      </c>
      <c r="G80" s="307" t="n">
        <f aca="false">IF(F80=H80,1,0)</f>
        <v>0</v>
      </c>
      <c r="H80" s="308" t="str">
        <f aca="false">IF(D80&lt;&gt;D79,F80,"-")</f>
        <v>-</v>
      </c>
      <c r="I80" s="309" t="e">
        <f aca="false">G80*VLOOKUP(D80,'Přehled akce'!$C$20:$K$36,6,FALSE())</f>
        <v>#N/A</v>
      </c>
      <c r="J80" s="0" t="e">
        <f aca="false">IF(H80-I80=0,1,0)</f>
        <v>#N/A</v>
      </c>
    </row>
    <row r="81" customFormat="false" ht="14.45" hidden="false" customHeight="true" outlineLevel="0" collapsed="false">
      <c r="A81" s="310" t="str">
        <f aca="false">CONCATENATE('Přehled akce'!$K$4," / ",'Přehled akce'!$K$5)</f>
        <v> / </v>
      </c>
      <c r="B81" s="311" t="s">
        <v>136</v>
      </c>
      <c r="C81" s="304" t="n">
        <v>74</v>
      </c>
      <c r="D81" s="314"/>
      <c r="E81" s="313"/>
      <c r="F81" s="307" t="n">
        <f aca="false">IF(D82&lt;&gt;D81,E81,(E81+F82))</f>
        <v>0</v>
      </c>
      <c r="G81" s="307" t="n">
        <f aca="false">IF(F81=H81,1,0)</f>
        <v>0</v>
      </c>
      <c r="H81" s="308" t="str">
        <f aca="false">IF(D81&lt;&gt;D80,F81,"-")</f>
        <v>-</v>
      </c>
      <c r="I81" s="309" t="e">
        <f aca="false">G81*VLOOKUP(D81,'Přehled akce'!$C$20:$K$36,6,FALSE())</f>
        <v>#N/A</v>
      </c>
      <c r="J81" s="0" t="e">
        <f aca="false">IF(H81-I81=0,1,0)</f>
        <v>#N/A</v>
      </c>
    </row>
    <row r="82" customFormat="false" ht="14.45" hidden="false" customHeight="true" outlineLevel="0" collapsed="false">
      <c r="A82" s="310" t="str">
        <f aca="false">CONCATENATE('Přehled akce'!$K$4," / ",'Přehled akce'!$K$5)</f>
        <v> / </v>
      </c>
      <c r="B82" s="311" t="s">
        <v>136</v>
      </c>
      <c r="C82" s="304" t="n">
        <v>75</v>
      </c>
      <c r="D82" s="314"/>
      <c r="E82" s="313"/>
      <c r="F82" s="307" t="n">
        <f aca="false">IF(D83&lt;&gt;D82,E82,(E82+F83))</f>
        <v>0</v>
      </c>
      <c r="G82" s="307" t="n">
        <f aca="false">IF(F82=H82,1,0)</f>
        <v>0</v>
      </c>
      <c r="H82" s="308" t="str">
        <f aca="false">IF(D82&lt;&gt;D81,F82,"-")</f>
        <v>-</v>
      </c>
      <c r="I82" s="309" t="e">
        <f aca="false">G82*VLOOKUP(D82,'Přehled akce'!$C$20:$K$36,6,FALSE())</f>
        <v>#N/A</v>
      </c>
      <c r="J82" s="0" t="e">
        <f aca="false">IF(H82-I82=0,1,0)</f>
        <v>#N/A</v>
      </c>
    </row>
    <row r="83" customFormat="false" ht="14.45" hidden="false" customHeight="true" outlineLevel="0" collapsed="false">
      <c r="A83" s="310" t="str">
        <f aca="false">CONCATENATE('Přehled akce'!$K$4," / ",'Přehled akce'!$K$5)</f>
        <v> / </v>
      </c>
      <c r="B83" s="311" t="s">
        <v>136</v>
      </c>
      <c r="C83" s="304" t="n">
        <v>76</v>
      </c>
      <c r="D83" s="314"/>
      <c r="E83" s="313"/>
      <c r="F83" s="307" t="n">
        <f aca="false">IF(D84&lt;&gt;D83,E83,(E83+F84))</f>
        <v>0</v>
      </c>
      <c r="G83" s="307" t="n">
        <f aca="false">IF(F83=H83,1,0)</f>
        <v>0</v>
      </c>
      <c r="H83" s="308" t="str">
        <f aca="false">IF(D83&lt;&gt;D82,F83,"-")</f>
        <v>-</v>
      </c>
      <c r="I83" s="309" t="e">
        <f aca="false">G83*VLOOKUP(D83,'Přehled akce'!$C$20:$K$36,6,FALSE())</f>
        <v>#N/A</v>
      </c>
      <c r="J83" s="0" t="e">
        <f aca="false">IF(H83-I83=0,1,0)</f>
        <v>#N/A</v>
      </c>
    </row>
    <row r="84" customFormat="false" ht="14.45" hidden="false" customHeight="true" outlineLevel="0" collapsed="false">
      <c r="A84" s="310" t="str">
        <f aca="false">CONCATENATE('Přehled akce'!$K$4," / ",'Přehled akce'!$K$5)</f>
        <v> / </v>
      </c>
      <c r="B84" s="311" t="s">
        <v>136</v>
      </c>
      <c r="C84" s="304" t="n">
        <v>77</v>
      </c>
      <c r="D84" s="314"/>
      <c r="E84" s="313"/>
      <c r="F84" s="307" t="n">
        <f aca="false">IF(D85&lt;&gt;D84,E84,(E84+F85))</f>
        <v>0</v>
      </c>
      <c r="G84" s="307" t="n">
        <f aca="false">IF(F84=H84,1,0)</f>
        <v>0</v>
      </c>
      <c r="H84" s="308" t="str">
        <f aca="false">IF(D84&lt;&gt;D83,F84,"-")</f>
        <v>-</v>
      </c>
      <c r="I84" s="309" t="e">
        <f aca="false">G84*VLOOKUP(D84,'Přehled akce'!$C$20:$K$36,6,FALSE())</f>
        <v>#N/A</v>
      </c>
      <c r="J84" s="0" t="e">
        <f aca="false">IF(H84-I84=0,1,0)</f>
        <v>#N/A</v>
      </c>
    </row>
    <row r="85" customFormat="false" ht="14.45" hidden="false" customHeight="true" outlineLevel="0" collapsed="false">
      <c r="A85" s="310" t="str">
        <f aca="false">CONCATENATE('Přehled akce'!$K$4," / ",'Přehled akce'!$K$5)</f>
        <v> / </v>
      </c>
      <c r="B85" s="311" t="s">
        <v>136</v>
      </c>
      <c r="C85" s="304" t="n">
        <v>78</v>
      </c>
      <c r="D85" s="314"/>
      <c r="E85" s="313"/>
      <c r="F85" s="307" t="n">
        <f aca="false">IF(D86&lt;&gt;D85,E85,(E85+F86))</f>
        <v>0</v>
      </c>
      <c r="G85" s="307" t="n">
        <f aca="false">IF(F85=H85,1,0)</f>
        <v>0</v>
      </c>
      <c r="H85" s="308" t="str">
        <f aca="false">IF(D85&lt;&gt;D84,F85,"-")</f>
        <v>-</v>
      </c>
      <c r="I85" s="309" t="e">
        <f aca="false">G85*VLOOKUP(D85,'Přehled akce'!$C$20:$K$36,6,FALSE())</f>
        <v>#N/A</v>
      </c>
      <c r="J85" s="0" t="e">
        <f aca="false">IF(H85-I85=0,1,0)</f>
        <v>#N/A</v>
      </c>
    </row>
    <row r="86" customFormat="false" ht="14.45" hidden="false" customHeight="true" outlineLevel="0" collapsed="false">
      <c r="A86" s="310" t="str">
        <f aca="false">CONCATENATE('Přehled akce'!$K$4," / ",'Přehled akce'!$K$5)</f>
        <v> / </v>
      </c>
      <c r="B86" s="311" t="s">
        <v>136</v>
      </c>
      <c r="C86" s="304" t="n">
        <v>79</v>
      </c>
      <c r="D86" s="315"/>
      <c r="E86" s="313"/>
      <c r="F86" s="307" t="n">
        <f aca="false">IF(D87&lt;&gt;D86,E86,(E86+F87))</f>
        <v>0</v>
      </c>
      <c r="G86" s="307" t="n">
        <f aca="false">IF(F86=H86,1,0)</f>
        <v>0</v>
      </c>
      <c r="H86" s="308" t="str">
        <f aca="false">IF(D86&lt;&gt;D85,F86,"-")</f>
        <v>-</v>
      </c>
      <c r="I86" s="309" t="e">
        <f aca="false">G86*VLOOKUP(D86,'Přehled akce'!$C$20:$K$36,6,FALSE())</f>
        <v>#N/A</v>
      </c>
      <c r="J86" s="0" t="e">
        <f aca="false">IF(H86-I86=0,1,0)</f>
        <v>#N/A</v>
      </c>
    </row>
    <row r="87" customFormat="false" ht="14.45" hidden="false" customHeight="true" outlineLevel="0" collapsed="false">
      <c r="A87" s="310" t="str">
        <f aca="false">CONCATENATE('Přehled akce'!$K$4," / ",'Přehled akce'!$K$5)</f>
        <v> / </v>
      </c>
      <c r="B87" s="311" t="s">
        <v>136</v>
      </c>
      <c r="C87" s="304" t="n">
        <v>80</v>
      </c>
      <c r="D87" s="314"/>
      <c r="E87" s="313"/>
      <c r="F87" s="307" t="n">
        <f aca="false">IF(D88&lt;&gt;D87,E87,(E87+F88))</f>
        <v>0</v>
      </c>
      <c r="G87" s="307" t="n">
        <f aca="false">IF(F87=H87,1,0)</f>
        <v>0</v>
      </c>
      <c r="H87" s="308" t="str">
        <f aca="false">IF(D87&lt;&gt;D86,F87,"-")</f>
        <v>-</v>
      </c>
      <c r="I87" s="309" t="e">
        <f aca="false">G87*VLOOKUP(D87,'Přehled akce'!$C$20:$K$36,6,FALSE())</f>
        <v>#N/A</v>
      </c>
      <c r="J87" s="0" t="e">
        <f aca="false">IF(H87-I87=0,1,0)</f>
        <v>#N/A</v>
      </c>
    </row>
    <row r="88" customFormat="false" ht="14.45" hidden="false" customHeight="true" outlineLevel="0" collapsed="false">
      <c r="A88" s="310" t="str">
        <f aca="false">CONCATENATE('Přehled akce'!$K$4," / ",'Přehled akce'!$K$5)</f>
        <v> / </v>
      </c>
      <c r="B88" s="311" t="s">
        <v>136</v>
      </c>
      <c r="C88" s="304" t="n">
        <v>81</v>
      </c>
      <c r="D88" s="314"/>
      <c r="E88" s="313"/>
      <c r="F88" s="307" t="n">
        <f aca="false">IF(D89&lt;&gt;D88,E88,(E88+F89))</f>
        <v>0</v>
      </c>
      <c r="G88" s="307" t="n">
        <f aca="false">IF(F88=H88,1,0)</f>
        <v>0</v>
      </c>
      <c r="H88" s="308" t="str">
        <f aca="false">IF(D88&lt;&gt;D87,F88,"-")</f>
        <v>-</v>
      </c>
      <c r="I88" s="309" t="e">
        <f aca="false">G88*VLOOKUP(D88,'Přehled akce'!$C$20:$K$36,6,FALSE())</f>
        <v>#N/A</v>
      </c>
      <c r="J88" s="0" t="e">
        <f aca="false">IF(H88-I88=0,1,0)</f>
        <v>#N/A</v>
      </c>
    </row>
    <row r="89" customFormat="false" ht="14.45" hidden="false" customHeight="true" outlineLevel="0" collapsed="false">
      <c r="A89" s="310" t="str">
        <f aca="false">CONCATENATE('Přehled akce'!$K$4," / ",'Přehled akce'!$K$5)</f>
        <v> / </v>
      </c>
      <c r="B89" s="311" t="s">
        <v>136</v>
      </c>
      <c r="C89" s="304" t="n">
        <v>82</v>
      </c>
      <c r="D89" s="314"/>
      <c r="E89" s="313"/>
      <c r="F89" s="307" t="n">
        <f aca="false">IF(D90&lt;&gt;D89,E89,(E89+F90))</f>
        <v>0</v>
      </c>
      <c r="G89" s="307" t="n">
        <f aca="false">IF(F89=H89,1,0)</f>
        <v>0</v>
      </c>
      <c r="H89" s="308" t="str">
        <f aca="false">IF(D89&lt;&gt;D88,F89,"-")</f>
        <v>-</v>
      </c>
      <c r="I89" s="309" t="e">
        <f aca="false">G89*VLOOKUP(D89,'Přehled akce'!$C$20:$K$36,6,FALSE())</f>
        <v>#N/A</v>
      </c>
      <c r="J89" s="0" t="e">
        <f aca="false">IF(H89-I89=0,1,0)</f>
        <v>#N/A</v>
      </c>
    </row>
    <row r="90" customFormat="false" ht="14.45" hidden="false" customHeight="true" outlineLevel="0" collapsed="false">
      <c r="A90" s="310" t="str">
        <f aca="false">CONCATENATE('Přehled akce'!$K$4," / ",'Přehled akce'!$K$5)</f>
        <v> / </v>
      </c>
      <c r="B90" s="311" t="s">
        <v>136</v>
      </c>
      <c r="C90" s="304" t="n">
        <v>83</v>
      </c>
      <c r="D90" s="314"/>
      <c r="E90" s="313"/>
      <c r="F90" s="307" t="n">
        <f aca="false">IF(D91&lt;&gt;D90,E90,(E90+F91))</f>
        <v>0</v>
      </c>
      <c r="G90" s="307" t="n">
        <f aca="false">IF(F90=H90,1,0)</f>
        <v>0</v>
      </c>
      <c r="H90" s="308" t="str">
        <f aca="false">IF(D90&lt;&gt;D89,F90,"-")</f>
        <v>-</v>
      </c>
      <c r="I90" s="309" t="e">
        <f aca="false">G90*VLOOKUP(D90,'Přehled akce'!$C$20:$K$36,6,FALSE())</f>
        <v>#N/A</v>
      </c>
      <c r="J90" s="0" t="e">
        <f aca="false">IF(H90-I90=0,1,0)</f>
        <v>#N/A</v>
      </c>
    </row>
    <row r="91" customFormat="false" ht="14.45" hidden="false" customHeight="true" outlineLevel="0" collapsed="false">
      <c r="A91" s="310" t="str">
        <f aca="false">CONCATENATE('Přehled akce'!$K$4," / ",'Přehled akce'!$K$5)</f>
        <v> / </v>
      </c>
      <c r="B91" s="311" t="s">
        <v>136</v>
      </c>
      <c r="C91" s="304" t="n">
        <v>84</v>
      </c>
      <c r="D91" s="314"/>
      <c r="E91" s="313"/>
      <c r="F91" s="307" t="n">
        <f aca="false">IF(D92&lt;&gt;D91,E91,(E91+F92))</f>
        <v>0</v>
      </c>
      <c r="G91" s="307" t="n">
        <f aca="false">IF(F91=H91,1,0)</f>
        <v>0</v>
      </c>
      <c r="H91" s="308" t="str">
        <f aca="false">IF(D91&lt;&gt;D90,F91,"-")</f>
        <v>-</v>
      </c>
      <c r="I91" s="309" t="e">
        <f aca="false">G91*VLOOKUP(D91,'Přehled akce'!$C$20:$K$36,6,FALSE())</f>
        <v>#N/A</v>
      </c>
      <c r="J91" s="0" t="e">
        <f aca="false">IF(H91-I91=0,1,0)</f>
        <v>#N/A</v>
      </c>
    </row>
    <row r="92" customFormat="false" ht="14.45" hidden="false" customHeight="true" outlineLevel="0" collapsed="false">
      <c r="A92" s="310" t="str">
        <f aca="false">CONCATENATE('Přehled akce'!$K$4," / ",'Přehled akce'!$K$5)</f>
        <v> / </v>
      </c>
      <c r="B92" s="311" t="s">
        <v>136</v>
      </c>
      <c r="C92" s="304" t="n">
        <v>85</v>
      </c>
      <c r="D92" s="315"/>
      <c r="E92" s="313"/>
      <c r="F92" s="307" t="n">
        <f aca="false">IF(D93&lt;&gt;D92,E92,(E92+F93))</f>
        <v>0</v>
      </c>
      <c r="G92" s="307" t="n">
        <f aca="false">IF(F92=H92,1,0)</f>
        <v>0</v>
      </c>
      <c r="H92" s="308" t="str">
        <f aca="false">IF(D92&lt;&gt;D91,F92,"-")</f>
        <v>-</v>
      </c>
      <c r="I92" s="309" t="e">
        <f aca="false">G92*VLOOKUP(D92,'Přehled akce'!$C$20:$K$36,6,FALSE())</f>
        <v>#N/A</v>
      </c>
      <c r="J92" s="0" t="e">
        <f aca="false">IF(H92-I92=0,1,0)</f>
        <v>#N/A</v>
      </c>
    </row>
    <row r="93" customFormat="false" ht="14.45" hidden="false" customHeight="true" outlineLevel="0" collapsed="false">
      <c r="A93" s="310" t="str">
        <f aca="false">CONCATENATE('Přehled akce'!$K$4," / ",'Přehled akce'!$K$5)</f>
        <v> / </v>
      </c>
      <c r="B93" s="311" t="s">
        <v>136</v>
      </c>
      <c r="C93" s="304" t="n">
        <v>86</v>
      </c>
      <c r="D93" s="314"/>
      <c r="E93" s="313"/>
      <c r="F93" s="307" t="n">
        <f aca="false">IF(D94&lt;&gt;D93,E93,(E93+F94))</f>
        <v>0</v>
      </c>
      <c r="G93" s="307" t="n">
        <f aca="false">IF(F93=H93,1,0)</f>
        <v>0</v>
      </c>
      <c r="H93" s="308" t="str">
        <f aca="false">IF(D93&lt;&gt;D92,F93,"-")</f>
        <v>-</v>
      </c>
      <c r="I93" s="309" t="e">
        <f aca="false">G93*VLOOKUP(D93,'Přehled akce'!$C$20:$K$36,6,FALSE())</f>
        <v>#N/A</v>
      </c>
      <c r="J93" s="0" t="e">
        <f aca="false">IF(H93-I93=0,1,0)</f>
        <v>#N/A</v>
      </c>
    </row>
    <row r="94" customFormat="false" ht="14.45" hidden="false" customHeight="true" outlineLevel="0" collapsed="false">
      <c r="A94" s="310" t="str">
        <f aca="false">CONCATENATE('Přehled akce'!$K$4," / ",'Přehled akce'!$K$5)</f>
        <v> / </v>
      </c>
      <c r="B94" s="311" t="s">
        <v>136</v>
      </c>
      <c r="C94" s="304" t="n">
        <v>87</v>
      </c>
      <c r="D94" s="314"/>
      <c r="E94" s="313"/>
      <c r="F94" s="307" t="n">
        <f aca="false">IF(D95&lt;&gt;D94,E94,(E94+F95))</f>
        <v>0</v>
      </c>
      <c r="G94" s="307" t="n">
        <f aca="false">IF(F94=H94,1,0)</f>
        <v>0</v>
      </c>
      <c r="H94" s="308" t="str">
        <f aca="false">IF(D94&lt;&gt;D93,F94,"-")</f>
        <v>-</v>
      </c>
      <c r="I94" s="309" t="e">
        <f aca="false">G94*VLOOKUP(D94,'Přehled akce'!$C$20:$K$36,6,FALSE())</f>
        <v>#N/A</v>
      </c>
      <c r="J94" s="0" t="e">
        <f aca="false">IF(H94-I94=0,1,0)</f>
        <v>#N/A</v>
      </c>
    </row>
    <row r="95" customFormat="false" ht="14.45" hidden="false" customHeight="true" outlineLevel="0" collapsed="false">
      <c r="A95" s="310" t="str">
        <f aca="false">CONCATENATE('Přehled akce'!$K$4," / ",'Přehled akce'!$K$5)</f>
        <v> / </v>
      </c>
      <c r="B95" s="311" t="s">
        <v>136</v>
      </c>
      <c r="C95" s="304" t="n">
        <v>88</v>
      </c>
      <c r="D95" s="314"/>
      <c r="E95" s="313"/>
      <c r="F95" s="307" t="n">
        <f aca="false">IF(D96&lt;&gt;D95,E95,(E95+F96))</f>
        <v>0</v>
      </c>
      <c r="G95" s="307" t="n">
        <f aca="false">IF(F95=H95,1,0)</f>
        <v>0</v>
      </c>
      <c r="H95" s="308" t="str">
        <f aca="false">IF(D95&lt;&gt;D94,F95,"-")</f>
        <v>-</v>
      </c>
      <c r="I95" s="309" t="e">
        <f aca="false">G95*VLOOKUP(D95,'Přehled akce'!$C$20:$K$36,6,FALSE())</f>
        <v>#N/A</v>
      </c>
      <c r="J95" s="0" t="e">
        <f aca="false">IF(H95-I95=0,1,0)</f>
        <v>#N/A</v>
      </c>
    </row>
    <row r="96" customFormat="false" ht="14.45" hidden="false" customHeight="true" outlineLevel="0" collapsed="false">
      <c r="A96" s="310" t="str">
        <f aca="false">CONCATENATE('Přehled akce'!$K$4," / ",'Přehled akce'!$K$5)</f>
        <v> / </v>
      </c>
      <c r="B96" s="311" t="s">
        <v>136</v>
      </c>
      <c r="C96" s="304" t="n">
        <v>89</v>
      </c>
      <c r="D96" s="314"/>
      <c r="E96" s="313"/>
      <c r="F96" s="307" t="n">
        <f aca="false">IF(D97&lt;&gt;D96,E96,(E96+F97))</f>
        <v>0</v>
      </c>
      <c r="G96" s="307" t="n">
        <f aca="false">IF(F96=H96,1,0)</f>
        <v>0</v>
      </c>
      <c r="H96" s="308" t="str">
        <f aca="false">IF(D96&lt;&gt;D95,F96,"-")</f>
        <v>-</v>
      </c>
      <c r="I96" s="309" t="e">
        <f aca="false">G96*VLOOKUP(D96,'Přehled akce'!$C$20:$K$36,6,FALSE())</f>
        <v>#N/A</v>
      </c>
      <c r="J96" s="0" t="e">
        <f aca="false">IF(H96-I96=0,1,0)</f>
        <v>#N/A</v>
      </c>
    </row>
    <row r="97" customFormat="false" ht="14.45" hidden="false" customHeight="true" outlineLevel="0" collapsed="false">
      <c r="A97" s="310" t="str">
        <f aca="false">CONCATENATE('Přehled akce'!$K$4," / ",'Přehled akce'!$K$5)</f>
        <v> / </v>
      </c>
      <c r="B97" s="311" t="s">
        <v>136</v>
      </c>
      <c r="C97" s="304" t="n">
        <v>90</v>
      </c>
      <c r="D97" s="314"/>
      <c r="E97" s="313"/>
      <c r="F97" s="307" t="n">
        <f aca="false">IF(D98&lt;&gt;D97,E97,(E97+F98))</f>
        <v>0</v>
      </c>
      <c r="G97" s="307" t="n">
        <f aca="false">IF(F97=H97,1,0)</f>
        <v>0</v>
      </c>
      <c r="H97" s="308" t="str">
        <f aca="false">IF(D97&lt;&gt;D96,F97,"-")</f>
        <v>-</v>
      </c>
      <c r="I97" s="309" t="e">
        <f aca="false">G97*VLOOKUP(D97,'Přehled akce'!$C$20:$K$36,6,FALSE())</f>
        <v>#N/A</v>
      </c>
      <c r="J97" s="0" t="e">
        <f aca="false">IF(H97-I97=0,1,0)</f>
        <v>#N/A</v>
      </c>
    </row>
    <row r="98" customFormat="false" ht="14.45" hidden="false" customHeight="true" outlineLevel="0" collapsed="false">
      <c r="A98" s="310" t="str">
        <f aca="false">CONCATENATE('Přehled akce'!$K$4," / ",'Přehled akce'!$K$5)</f>
        <v> / </v>
      </c>
      <c r="B98" s="311" t="s">
        <v>136</v>
      </c>
      <c r="C98" s="304" t="n">
        <v>91</v>
      </c>
      <c r="D98" s="314"/>
      <c r="E98" s="313"/>
      <c r="F98" s="307" t="n">
        <f aca="false">IF(D99&lt;&gt;D98,E98,(E98+F99))</f>
        <v>0</v>
      </c>
      <c r="G98" s="307" t="n">
        <f aca="false">IF(F98=H98,1,0)</f>
        <v>0</v>
      </c>
      <c r="H98" s="308" t="str">
        <f aca="false">IF(D98&lt;&gt;D97,F98,"-")</f>
        <v>-</v>
      </c>
      <c r="I98" s="309" t="e">
        <f aca="false">G98*VLOOKUP(D98,'Přehled akce'!$C$20:$K$36,6,FALSE())</f>
        <v>#N/A</v>
      </c>
      <c r="J98" s="0" t="e">
        <f aca="false">IF(H98-I98=0,1,0)</f>
        <v>#N/A</v>
      </c>
    </row>
    <row r="99" customFormat="false" ht="14.45" hidden="false" customHeight="true" outlineLevel="0" collapsed="false">
      <c r="A99" s="310" t="str">
        <f aca="false">CONCATENATE('Přehled akce'!$K$4," / ",'Přehled akce'!$K$5)</f>
        <v> / </v>
      </c>
      <c r="B99" s="311" t="s">
        <v>136</v>
      </c>
      <c r="C99" s="304" t="n">
        <v>92</v>
      </c>
      <c r="D99" s="314"/>
      <c r="E99" s="313"/>
      <c r="F99" s="307" t="n">
        <f aca="false">IF(D100&lt;&gt;D99,E99,(E99+F100))</f>
        <v>0</v>
      </c>
      <c r="G99" s="307" t="n">
        <f aca="false">IF(F99=H99,1,0)</f>
        <v>0</v>
      </c>
      <c r="H99" s="308" t="str">
        <f aca="false">IF(D99&lt;&gt;D98,F99,"-")</f>
        <v>-</v>
      </c>
      <c r="I99" s="309" t="e">
        <f aca="false">G99*VLOOKUP(D99,'Přehled akce'!$C$20:$K$36,6,FALSE())</f>
        <v>#N/A</v>
      </c>
      <c r="J99" s="0" t="e">
        <f aca="false">IF(H99-I99=0,1,0)</f>
        <v>#N/A</v>
      </c>
    </row>
    <row r="100" customFormat="false" ht="14.45" hidden="false" customHeight="true" outlineLevel="0" collapsed="false">
      <c r="A100" s="310" t="str">
        <f aca="false">CONCATENATE('Přehled akce'!$K$4," / ",'Přehled akce'!$K$5)</f>
        <v> / </v>
      </c>
      <c r="B100" s="311" t="s">
        <v>136</v>
      </c>
      <c r="C100" s="304" t="n">
        <v>93</v>
      </c>
      <c r="D100" s="315"/>
      <c r="E100" s="313"/>
      <c r="F100" s="307" t="n">
        <f aca="false">IF(D101&lt;&gt;D100,E100,(E100+F101))</f>
        <v>0</v>
      </c>
      <c r="G100" s="307" t="n">
        <f aca="false">IF(F100=H100,1,0)</f>
        <v>0</v>
      </c>
      <c r="H100" s="308" t="str">
        <f aca="false">IF(D100&lt;&gt;D99,F100,"-")</f>
        <v>-</v>
      </c>
      <c r="I100" s="309" t="e">
        <f aca="false">G100*VLOOKUP(D100,'Přehled akce'!$C$20:$K$36,6,FALSE())</f>
        <v>#N/A</v>
      </c>
      <c r="J100" s="0" t="e">
        <f aca="false">IF(H100-I100=0,1,0)</f>
        <v>#N/A</v>
      </c>
    </row>
    <row r="101" customFormat="false" ht="14.45" hidden="false" customHeight="true" outlineLevel="0" collapsed="false">
      <c r="A101" s="310" t="str">
        <f aca="false">CONCATENATE('Přehled akce'!$K$4," / ",'Přehled akce'!$K$5)</f>
        <v> / </v>
      </c>
      <c r="B101" s="311" t="s">
        <v>136</v>
      </c>
      <c r="C101" s="304" t="n">
        <v>94</v>
      </c>
      <c r="D101" s="314"/>
      <c r="E101" s="313"/>
      <c r="F101" s="307" t="n">
        <f aca="false">IF(D102&lt;&gt;D101,E101,(E101+F102))</f>
        <v>0</v>
      </c>
      <c r="G101" s="307" t="n">
        <f aca="false">IF(F101=H101,1,0)</f>
        <v>0</v>
      </c>
      <c r="H101" s="308" t="str">
        <f aca="false">IF(D101&lt;&gt;D100,F101,"-")</f>
        <v>-</v>
      </c>
      <c r="I101" s="316" t="e">
        <f aca="false">G101*VLOOKUP(D101,'Přehled akce'!$C$20:$K$36,6,FALSE())</f>
        <v>#N/A</v>
      </c>
      <c r="J101" s="0" t="e">
        <f aca="false">IF(H101-I101=0,1,0)</f>
        <v>#N/A</v>
      </c>
    </row>
    <row r="102" customFormat="false" ht="14.45" hidden="false" customHeight="true" outlineLevel="0" collapsed="false">
      <c r="A102" s="310" t="str">
        <f aca="false">CONCATENATE('Přehled akce'!$K$4," / ",'Přehled akce'!$K$5)</f>
        <v> / </v>
      </c>
      <c r="B102" s="311" t="s">
        <v>136</v>
      </c>
      <c r="C102" s="304" t="n">
        <v>95</v>
      </c>
      <c r="D102" s="314"/>
      <c r="E102" s="313"/>
      <c r="F102" s="307" t="n">
        <f aca="false">IF(D103&lt;&gt;D102,E102,(E102+F103))</f>
        <v>0</v>
      </c>
      <c r="G102" s="307" t="n">
        <f aca="false">IF(F102=H102,1,0)</f>
        <v>0</v>
      </c>
      <c r="H102" s="308" t="str">
        <f aca="false">IF(D102&lt;&gt;D101,F102,"-")</f>
        <v>-</v>
      </c>
      <c r="I102" s="309" t="e">
        <f aca="false">G102*VLOOKUP(D102,'Přehled akce'!$C$20:$K$36,6,FALSE())</f>
        <v>#N/A</v>
      </c>
      <c r="J102" s="0" t="e">
        <f aca="false">IF(H102-I102=0,1,0)</f>
        <v>#N/A</v>
      </c>
    </row>
    <row r="103" customFormat="false" ht="14.45" hidden="false" customHeight="true" outlineLevel="0" collapsed="false">
      <c r="A103" s="310" t="str">
        <f aca="false">CONCATENATE('Přehled akce'!$K$4," / ",'Přehled akce'!$K$5)</f>
        <v> / </v>
      </c>
      <c r="B103" s="311" t="s">
        <v>136</v>
      </c>
      <c r="C103" s="304" t="n">
        <v>96</v>
      </c>
      <c r="D103" s="314"/>
      <c r="E103" s="313"/>
      <c r="F103" s="307" t="n">
        <f aca="false">IF(D104&lt;&gt;D103,E103,(E103+F104))</f>
        <v>0</v>
      </c>
      <c r="G103" s="307" t="n">
        <f aca="false">IF(F103=H103,1,0)</f>
        <v>0</v>
      </c>
      <c r="H103" s="308" t="str">
        <f aca="false">IF(D103&lt;&gt;D102,F103,"-")</f>
        <v>-</v>
      </c>
      <c r="I103" s="309" t="e">
        <f aca="false">G103*VLOOKUP(D103,'Přehled akce'!$C$20:$K$36,6,FALSE())</f>
        <v>#N/A</v>
      </c>
      <c r="J103" s="0" t="e">
        <f aca="false">IF(H103-I103=0,1,0)</f>
        <v>#N/A</v>
      </c>
    </row>
    <row r="104" customFormat="false" ht="14.45" hidden="false" customHeight="true" outlineLevel="0" collapsed="false">
      <c r="A104" s="317" t="str">
        <f aca="false">CONCATENATE('Přehled akce'!$K$4," / ",'Přehled akce'!$K$5)</f>
        <v> / </v>
      </c>
      <c r="B104" s="318" t="s">
        <v>136</v>
      </c>
      <c r="C104" s="319" t="n">
        <v>97</v>
      </c>
      <c r="D104" s="320"/>
      <c r="E104" s="321"/>
      <c r="F104" s="322" t="n">
        <f aca="false">IF(D105&lt;&gt;D104,E104,(E104+F105))</f>
        <v>0</v>
      </c>
      <c r="G104" s="322" t="n">
        <f aca="false">IF(F104=H104,1,0)</f>
        <v>0</v>
      </c>
      <c r="H104" s="323" t="str">
        <f aca="false">IF(D104&lt;&gt;D103,F104,"-")</f>
        <v>-</v>
      </c>
      <c r="I104" s="324" t="e">
        <f aca="false">G104*VLOOKUP(D104,'Přehled akce'!$C$20:$K$36,6,FALSE())</f>
        <v>#N/A</v>
      </c>
      <c r="J104" s="0" t="e">
        <f aca="false">IF(H104-I104=0,1,0)</f>
        <v>#N/A</v>
      </c>
    </row>
    <row r="106" customFormat="false" ht="12.75" hidden="false" customHeight="false" outlineLevel="0" collapsed="false">
      <c r="D106" s="149" t="s">
        <v>138</v>
      </c>
      <c r="E106" s="284" t="n">
        <f aca="false">SUM(E8:E104)</f>
        <v>0</v>
      </c>
      <c r="I106" s="284" t="n">
        <f aca="false">'Přehled akce'!H37</f>
        <v>0</v>
      </c>
      <c r="J106" s="0" t="n">
        <f aca="false">IF(E106-I106=0,1,0)</f>
        <v>1</v>
      </c>
    </row>
    <row r="108" customFormat="false" ht="12.75" hidden="false" customHeight="false" outlineLevel="0" collapsed="false">
      <c r="E108" s="283"/>
      <c r="F108" s="283"/>
      <c r="G108" s="283"/>
    </row>
    <row r="109" customFormat="false" ht="12.75" hidden="false" customHeight="false" outlineLevel="0" collapsed="false">
      <c r="E109" s="283"/>
      <c r="F109" s="283"/>
      <c r="G109" s="283"/>
    </row>
    <row r="110" customFormat="false" ht="12.75" hidden="false" customHeight="false" outlineLevel="0" collapsed="false">
      <c r="E110" s="283"/>
      <c r="F110" s="283"/>
      <c r="G110" s="283"/>
    </row>
    <row r="111" customFormat="false" ht="12.75" hidden="false" customHeight="false" outlineLevel="0" collapsed="false">
      <c r="E111" s="283"/>
      <c r="F111" s="283"/>
      <c r="G111" s="283"/>
    </row>
    <row r="112" customFormat="false" ht="12.75" hidden="false" customHeight="false" outlineLevel="0" collapsed="false">
      <c r="E112" s="283"/>
      <c r="F112" s="283"/>
      <c r="G112" s="283"/>
    </row>
    <row r="113" customFormat="false" ht="12.75" hidden="false" customHeight="false" outlineLevel="0" collapsed="false">
      <c r="E113" s="283"/>
      <c r="F113" s="283"/>
      <c r="G113" s="283"/>
    </row>
    <row r="114" customFormat="false" ht="12.75" hidden="false" customHeight="false" outlineLevel="0" collapsed="false">
      <c r="E114" s="283"/>
      <c r="F114" s="283"/>
      <c r="G114" s="283"/>
    </row>
  </sheetData>
  <mergeCells count="3">
    <mergeCell ref="A1:I1"/>
    <mergeCell ref="A2:I2"/>
    <mergeCell ref="A7:C7"/>
  </mergeCells>
  <conditionalFormatting sqref="D4:D5">
    <cfRule type="cellIs" priority="2" operator="equal" aboveAverage="0" equalAverage="0" bottom="0" percent="0" rank="0" text="" dxfId="2">
      <formula>0</formula>
    </cfRule>
  </conditionalFormatting>
  <conditionalFormatting sqref="J106 J8:J104">
    <cfRule type="cellIs" priority="3" operator="equal" aboveAverage="0" equalAverage="0" bottom="0" percent="0" rank="0" text="" dxfId="3">
      <formula>1</formula>
    </cfRule>
    <cfRule type="cellIs" priority="4" operator="equal" aboveAverage="0" equalAverage="0" bottom="0" percent="0" rank="0" text="" dxfId="4">
      <formula>0</formula>
    </cfRule>
  </conditionalFormatting>
  <dataValidations count="1">
    <dataValidation allowBlank="true" errorStyle="stop" operator="between" showDropDown="false" showErrorMessage="true" showInputMessage="false" sqref="D8:D104" type="list">
      <formula1>$M$8:$M$27</formula1>
      <formula2>0</formula2>
    </dataValidation>
  </dataValidations>
  <printOptions headings="false" gridLines="false" gridLinesSet="true" horizontalCentered="false" verticalCentered="false"/>
  <pageMargins left="0.7875" right="0.7875" top="0.7875" bottom="0.7875" header="0.511811023622047" footer="0.511805555555556"/>
  <pageSetup paperSize="9" scale="9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&amp;R&amp;F -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true"/>
  </sheetPr>
  <dimension ref="A1:IW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325" width="4.85"/>
    <col collapsed="false" customWidth="true" hidden="false" outlineLevel="0" max="2" min="2" style="326" width="9.7"/>
    <col collapsed="false" customWidth="true" hidden="false" outlineLevel="0" max="3" min="3" style="326" width="14.28"/>
    <col collapsed="false" customWidth="true" hidden="false" outlineLevel="0" max="4" min="4" style="326" width="10.13"/>
    <col collapsed="false" customWidth="true" hidden="false" outlineLevel="0" max="5" min="5" style="326" width="20.28"/>
    <col collapsed="false" customWidth="true" hidden="false" outlineLevel="0" max="6" min="6" style="325" width="7.85"/>
    <col collapsed="false" customWidth="true" hidden="false" outlineLevel="0" max="7" min="7" style="326" width="11.7"/>
    <col collapsed="false" customWidth="true" hidden="false" outlineLevel="0" max="10" min="8" style="326" width="3.28"/>
    <col collapsed="false" customWidth="true" hidden="false" outlineLevel="0" max="11" min="11" style="326" width="10.85"/>
    <col collapsed="false" customWidth="true" hidden="false" outlineLevel="0" max="13" min="12" style="326" width="11.7"/>
    <col collapsed="false" customWidth="true" hidden="false" outlineLevel="0" max="14" min="14" style="325" width="11.7"/>
    <col collapsed="false" customWidth="true" hidden="false" outlineLevel="0" max="15" min="15" style="326" width="11.7"/>
    <col collapsed="false" customWidth="true" hidden="false" outlineLevel="0" max="16" min="16" style="326" width="10.71"/>
    <col collapsed="false" customWidth="false" hidden="false" outlineLevel="0" max="257" min="17" style="326" width="9.14"/>
  </cols>
  <sheetData>
    <row r="1" customFormat="false" ht="39.75" hidden="false" customHeight="true" outlineLevel="0" collapsed="false">
      <c r="A1" s="327" t="s">
        <v>139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</row>
    <row r="2" customFormat="false" ht="12.75" hidden="false" customHeight="true" outlineLevel="0" collapsed="false">
      <c r="A2" s="328"/>
      <c r="B2" s="329" t="s">
        <v>2</v>
      </c>
      <c r="C2" s="330" t="n">
        <f aca="false">'Přehled akce'!D4</f>
        <v>0</v>
      </c>
      <c r="D2" s="331"/>
      <c r="E2" s="329"/>
      <c r="F2" s="329" t="str">
        <f aca="false">CONCATENATE("Datum: ",'Přehled akce'!D5)</f>
        <v>Datum: </v>
      </c>
      <c r="G2" s="332"/>
      <c r="H2" s="333"/>
      <c r="I2" s="333"/>
      <c r="J2" s="333"/>
      <c r="K2" s="331"/>
      <c r="L2" s="334"/>
      <c r="M2" s="334"/>
      <c r="N2" s="334"/>
      <c r="O2" s="334"/>
      <c r="P2" s="0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2.75" hidden="false" customHeight="true" outlineLevel="0" collapsed="false">
      <c r="A3" s="335"/>
      <c r="B3" s="331"/>
      <c r="C3" s="331"/>
      <c r="D3" s="331"/>
      <c r="E3" s="331"/>
      <c r="F3" s="335"/>
      <c r="G3" s="331"/>
      <c r="H3" s="331"/>
      <c r="I3" s="331"/>
      <c r="J3" s="331"/>
      <c r="K3" s="331"/>
      <c r="L3" s="331"/>
      <c r="M3" s="331"/>
      <c r="N3" s="335"/>
      <c r="O3" s="331"/>
    </row>
    <row r="4" customFormat="false" ht="15" hidden="false" customHeight="true" outlineLevel="0" collapsed="false">
      <c r="A4" s="336" t="s">
        <v>140</v>
      </c>
      <c r="B4" s="337" t="s">
        <v>141</v>
      </c>
      <c r="C4" s="338" t="s">
        <v>142</v>
      </c>
      <c r="D4" s="338" t="s">
        <v>143</v>
      </c>
      <c r="E4" s="338" t="s">
        <v>144</v>
      </c>
      <c r="F4" s="338" t="s">
        <v>145</v>
      </c>
      <c r="G4" s="338" t="s">
        <v>146</v>
      </c>
      <c r="H4" s="338" t="s">
        <v>147</v>
      </c>
      <c r="I4" s="338"/>
      <c r="J4" s="338"/>
      <c r="K4" s="339" t="s">
        <v>111</v>
      </c>
      <c r="L4" s="340" t="s">
        <v>148</v>
      </c>
      <c r="M4" s="341" t="s">
        <v>149</v>
      </c>
      <c r="N4" s="342" t="s">
        <v>110</v>
      </c>
      <c r="O4" s="343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344"/>
      <c r="AH4" s="344"/>
      <c r="AI4" s="344"/>
      <c r="AJ4" s="344"/>
      <c r="AK4" s="344"/>
      <c r="AL4" s="344"/>
      <c r="AM4" s="344"/>
      <c r="AN4" s="344"/>
      <c r="AO4" s="344"/>
      <c r="AP4" s="344"/>
      <c r="AQ4" s="344"/>
      <c r="AR4" s="344"/>
      <c r="AS4" s="344"/>
      <c r="AT4" s="344"/>
      <c r="AU4" s="344"/>
      <c r="AV4" s="344"/>
      <c r="AW4" s="344"/>
      <c r="AX4" s="344"/>
      <c r="AY4" s="344"/>
      <c r="AZ4" s="344"/>
      <c r="BA4" s="344"/>
      <c r="BB4" s="344"/>
      <c r="BC4" s="344"/>
      <c r="BD4" s="344"/>
      <c r="BE4" s="344"/>
      <c r="BF4" s="344"/>
      <c r="BG4" s="344"/>
      <c r="BH4" s="344"/>
      <c r="BI4" s="344"/>
      <c r="BJ4" s="344"/>
      <c r="BK4" s="344"/>
      <c r="BL4" s="344"/>
      <c r="BM4" s="344"/>
      <c r="BN4" s="344"/>
      <c r="BO4" s="344"/>
      <c r="BP4" s="344"/>
      <c r="BQ4" s="344"/>
      <c r="BR4" s="344"/>
      <c r="BS4" s="344"/>
      <c r="BT4" s="344"/>
      <c r="BU4" s="344"/>
      <c r="BV4" s="344"/>
      <c r="BW4" s="344"/>
      <c r="BX4" s="344"/>
      <c r="BY4" s="344"/>
      <c r="BZ4" s="344"/>
      <c r="CA4" s="344"/>
      <c r="CB4" s="344"/>
      <c r="CC4" s="344"/>
      <c r="CD4" s="344"/>
      <c r="CE4" s="344"/>
      <c r="CF4" s="344"/>
      <c r="CG4" s="344"/>
      <c r="CH4" s="344"/>
      <c r="CI4" s="344"/>
      <c r="CJ4" s="344"/>
      <c r="CK4" s="344"/>
      <c r="CL4" s="344"/>
      <c r="CM4" s="344"/>
      <c r="CN4" s="344"/>
      <c r="CO4" s="344"/>
      <c r="CP4" s="344"/>
      <c r="CQ4" s="344"/>
      <c r="CR4" s="344"/>
      <c r="CS4" s="344"/>
      <c r="CT4" s="344"/>
      <c r="CU4" s="344"/>
      <c r="CV4" s="344"/>
      <c r="CW4" s="344"/>
      <c r="CX4" s="344"/>
      <c r="CY4" s="344"/>
      <c r="CZ4" s="344"/>
      <c r="DA4" s="344"/>
      <c r="DB4" s="344"/>
      <c r="DC4" s="344"/>
      <c r="DD4" s="344"/>
      <c r="DE4" s="344"/>
      <c r="DF4" s="344"/>
      <c r="DG4" s="344"/>
      <c r="DH4" s="344"/>
      <c r="DI4" s="344"/>
      <c r="DJ4" s="344"/>
      <c r="DK4" s="344"/>
      <c r="DL4" s="344"/>
      <c r="DM4" s="344"/>
      <c r="DN4" s="344"/>
      <c r="DO4" s="344"/>
      <c r="DP4" s="344"/>
      <c r="DQ4" s="344"/>
      <c r="DR4" s="344"/>
      <c r="DS4" s="344"/>
      <c r="DT4" s="344"/>
      <c r="DU4" s="344"/>
      <c r="DV4" s="344"/>
      <c r="DW4" s="344"/>
      <c r="DX4" s="344"/>
      <c r="DY4" s="344"/>
      <c r="DZ4" s="344"/>
      <c r="EA4" s="344"/>
      <c r="EB4" s="344"/>
      <c r="EC4" s="344"/>
      <c r="ED4" s="344"/>
      <c r="EE4" s="344"/>
      <c r="EF4" s="344"/>
      <c r="EG4" s="344"/>
      <c r="EH4" s="344"/>
      <c r="EI4" s="344"/>
      <c r="EJ4" s="344"/>
      <c r="EK4" s="344"/>
      <c r="EL4" s="344"/>
      <c r="EM4" s="344"/>
      <c r="EN4" s="344"/>
      <c r="EO4" s="344"/>
      <c r="EP4" s="344"/>
      <c r="EQ4" s="344"/>
      <c r="ER4" s="344"/>
      <c r="ES4" s="344"/>
      <c r="ET4" s="344"/>
      <c r="EU4" s="344"/>
      <c r="EV4" s="344"/>
      <c r="EW4" s="344"/>
      <c r="EX4" s="344"/>
      <c r="EY4" s="344"/>
      <c r="EZ4" s="344"/>
      <c r="FA4" s="344"/>
      <c r="FB4" s="344"/>
      <c r="FC4" s="344"/>
      <c r="FD4" s="344"/>
      <c r="FE4" s="344"/>
      <c r="FF4" s="344"/>
      <c r="FG4" s="344"/>
      <c r="FH4" s="344"/>
      <c r="FI4" s="344"/>
      <c r="FJ4" s="344"/>
      <c r="FK4" s="344"/>
      <c r="FL4" s="344"/>
      <c r="FM4" s="344"/>
      <c r="FN4" s="344"/>
      <c r="FO4" s="344"/>
      <c r="FP4" s="344"/>
      <c r="FQ4" s="344"/>
      <c r="FR4" s="344"/>
      <c r="FS4" s="344"/>
      <c r="FT4" s="344"/>
      <c r="FU4" s="344"/>
      <c r="FV4" s="344"/>
      <c r="FW4" s="344"/>
      <c r="FX4" s="344"/>
      <c r="FY4" s="344"/>
      <c r="FZ4" s="344"/>
      <c r="GA4" s="344"/>
      <c r="GB4" s="344"/>
      <c r="GC4" s="344"/>
      <c r="GD4" s="344"/>
      <c r="GE4" s="344"/>
      <c r="GF4" s="344"/>
      <c r="GG4" s="344"/>
      <c r="GH4" s="344"/>
      <c r="GI4" s="344"/>
      <c r="GJ4" s="344"/>
      <c r="GK4" s="344"/>
      <c r="GL4" s="344"/>
      <c r="GM4" s="344"/>
      <c r="GN4" s="344"/>
      <c r="GO4" s="344"/>
      <c r="GP4" s="344"/>
      <c r="GQ4" s="344"/>
      <c r="GR4" s="344"/>
      <c r="GS4" s="344"/>
      <c r="GT4" s="344"/>
      <c r="GU4" s="344"/>
      <c r="GV4" s="344"/>
      <c r="GW4" s="344"/>
      <c r="GX4" s="344"/>
      <c r="GY4" s="344"/>
      <c r="GZ4" s="344"/>
      <c r="HA4" s="344"/>
      <c r="HB4" s="344"/>
      <c r="HC4" s="344"/>
      <c r="HD4" s="344"/>
      <c r="HE4" s="344"/>
      <c r="HF4" s="344"/>
      <c r="HG4" s="344"/>
      <c r="HH4" s="344"/>
      <c r="HI4" s="344"/>
      <c r="HJ4" s="344"/>
      <c r="HK4" s="344"/>
      <c r="HL4" s="344"/>
      <c r="HM4" s="344"/>
      <c r="HN4" s="344"/>
      <c r="HO4" s="344"/>
      <c r="HP4" s="344"/>
      <c r="HQ4" s="344"/>
      <c r="HR4" s="344"/>
      <c r="HS4" s="344"/>
      <c r="HT4" s="344"/>
      <c r="HU4" s="344"/>
      <c r="HV4" s="344"/>
      <c r="HW4" s="344"/>
      <c r="HX4" s="344"/>
      <c r="HY4" s="344"/>
      <c r="HZ4" s="344"/>
      <c r="IA4" s="344"/>
      <c r="IB4" s="344"/>
      <c r="IC4" s="344"/>
      <c r="ID4" s="344"/>
      <c r="IE4" s="344"/>
      <c r="IF4" s="344"/>
      <c r="IG4" s="344"/>
      <c r="IH4" s="344"/>
      <c r="II4" s="344"/>
      <c r="IJ4" s="344"/>
      <c r="IK4" s="344"/>
      <c r="IL4" s="344"/>
      <c r="IM4" s="344"/>
      <c r="IN4" s="344"/>
      <c r="IO4" s="344"/>
      <c r="IP4" s="344"/>
      <c r="IQ4" s="344"/>
      <c r="IR4" s="344"/>
      <c r="IS4" s="344"/>
      <c r="IT4" s="344"/>
      <c r="IU4" s="344"/>
      <c r="IV4" s="344"/>
      <c r="IW4" s="344"/>
    </row>
    <row r="5" customFormat="false" ht="15.95" hidden="false" customHeight="true" outlineLevel="0" collapsed="false">
      <c r="A5" s="345" t="n">
        <v>1</v>
      </c>
      <c r="B5" s="346"/>
      <c r="C5" s="346"/>
      <c r="D5" s="347"/>
      <c r="E5" s="346"/>
      <c r="F5" s="347"/>
      <c r="G5" s="347"/>
      <c r="H5" s="348"/>
      <c r="I5" s="347"/>
      <c r="J5" s="347"/>
      <c r="K5" s="349"/>
      <c r="L5" s="350"/>
      <c r="M5" s="350"/>
      <c r="N5" s="351"/>
      <c r="O5" s="352"/>
      <c r="P5" s="353"/>
      <c r="Q5" s="354"/>
      <c r="R5" s="354"/>
      <c r="S5" s="353"/>
      <c r="T5" s="353"/>
      <c r="U5" s="353"/>
      <c r="V5" s="353"/>
      <c r="W5" s="353"/>
      <c r="X5" s="353"/>
      <c r="Y5" s="353"/>
      <c r="Z5" s="353"/>
      <c r="AA5" s="353"/>
      <c r="AB5" s="353"/>
      <c r="AC5" s="353"/>
      <c r="AD5" s="353"/>
      <c r="AE5" s="353"/>
      <c r="AF5" s="353"/>
      <c r="AG5" s="353"/>
      <c r="AH5" s="353"/>
      <c r="AI5" s="353"/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3"/>
      <c r="AX5" s="353"/>
      <c r="AY5" s="353"/>
      <c r="AZ5" s="353"/>
      <c r="BA5" s="353"/>
      <c r="BB5" s="353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3"/>
      <c r="BT5" s="353"/>
      <c r="BU5" s="353"/>
      <c r="BV5" s="353"/>
      <c r="BW5" s="353"/>
      <c r="BX5" s="353"/>
      <c r="BY5" s="353"/>
      <c r="BZ5" s="353"/>
      <c r="CA5" s="353"/>
      <c r="CB5" s="353"/>
      <c r="CC5" s="353"/>
      <c r="CD5" s="353"/>
      <c r="CE5" s="353"/>
      <c r="CF5" s="353"/>
      <c r="CG5" s="353"/>
      <c r="CH5" s="353"/>
      <c r="CI5" s="353"/>
      <c r="CJ5" s="353"/>
      <c r="CK5" s="353"/>
      <c r="CL5" s="353"/>
      <c r="CM5" s="353"/>
      <c r="CN5" s="353"/>
      <c r="CO5" s="353"/>
      <c r="CP5" s="353"/>
      <c r="CQ5" s="353"/>
      <c r="CR5" s="353"/>
      <c r="CS5" s="353"/>
      <c r="CT5" s="353"/>
      <c r="CU5" s="353"/>
      <c r="CV5" s="353"/>
      <c r="CW5" s="353"/>
      <c r="CX5" s="353"/>
      <c r="CY5" s="353"/>
      <c r="CZ5" s="353"/>
      <c r="DA5" s="353"/>
      <c r="DB5" s="353"/>
      <c r="DC5" s="353"/>
      <c r="DD5" s="353"/>
      <c r="DE5" s="353"/>
      <c r="DF5" s="353"/>
      <c r="DG5" s="353"/>
      <c r="DH5" s="353"/>
      <c r="DI5" s="353"/>
      <c r="DJ5" s="353"/>
      <c r="DK5" s="353"/>
      <c r="DL5" s="353"/>
      <c r="DM5" s="353"/>
      <c r="DN5" s="353"/>
      <c r="DO5" s="353"/>
      <c r="DP5" s="353"/>
      <c r="DQ5" s="353"/>
      <c r="DR5" s="353"/>
      <c r="DS5" s="353"/>
      <c r="DT5" s="353"/>
      <c r="DU5" s="353"/>
      <c r="DV5" s="353"/>
      <c r="DW5" s="353"/>
      <c r="DX5" s="353"/>
      <c r="DY5" s="353"/>
      <c r="DZ5" s="353"/>
      <c r="EA5" s="353"/>
      <c r="EB5" s="353"/>
      <c r="EC5" s="353"/>
      <c r="ED5" s="353"/>
      <c r="EE5" s="353"/>
      <c r="EF5" s="353"/>
      <c r="EG5" s="353"/>
      <c r="EH5" s="353"/>
      <c r="EI5" s="353"/>
      <c r="EJ5" s="353"/>
      <c r="EK5" s="353"/>
      <c r="EL5" s="353"/>
      <c r="EM5" s="353"/>
      <c r="EN5" s="353"/>
      <c r="EO5" s="353"/>
      <c r="EP5" s="353"/>
      <c r="EQ5" s="353"/>
      <c r="ER5" s="353"/>
      <c r="ES5" s="353"/>
      <c r="ET5" s="353"/>
      <c r="EU5" s="353"/>
      <c r="EV5" s="353"/>
      <c r="EW5" s="353"/>
      <c r="EX5" s="353"/>
      <c r="EY5" s="353"/>
      <c r="EZ5" s="353"/>
      <c r="FA5" s="353"/>
      <c r="FB5" s="353"/>
      <c r="FC5" s="353"/>
      <c r="FD5" s="353"/>
      <c r="FE5" s="353"/>
      <c r="FF5" s="353"/>
      <c r="FG5" s="353"/>
      <c r="FH5" s="353"/>
      <c r="FI5" s="353"/>
      <c r="FJ5" s="353"/>
      <c r="FK5" s="353"/>
      <c r="FL5" s="353"/>
      <c r="FM5" s="353"/>
      <c r="FN5" s="353"/>
      <c r="FO5" s="353"/>
      <c r="FP5" s="353"/>
      <c r="FQ5" s="353"/>
      <c r="FR5" s="353"/>
      <c r="FS5" s="353"/>
      <c r="FT5" s="353"/>
      <c r="FU5" s="353"/>
      <c r="FV5" s="353"/>
      <c r="FW5" s="353"/>
      <c r="FX5" s="353"/>
      <c r="FY5" s="353"/>
      <c r="FZ5" s="353"/>
      <c r="GA5" s="353"/>
      <c r="GB5" s="353"/>
      <c r="GC5" s="353"/>
      <c r="GD5" s="353"/>
      <c r="GE5" s="353"/>
      <c r="GF5" s="353"/>
      <c r="GG5" s="353"/>
      <c r="GH5" s="353"/>
      <c r="GI5" s="353"/>
      <c r="GJ5" s="353"/>
      <c r="GK5" s="353"/>
      <c r="GL5" s="353"/>
      <c r="GM5" s="353"/>
      <c r="GN5" s="353"/>
      <c r="GO5" s="353"/>
      <c r="GP5" s="353"/>
      <c r="GQ5" s="353"/>
      <c r="GR5" s="353"/>
      <c r="GS5" s="353"/>
      <c r="GT5" s="353"/>
      <c r="GU5" s="353"/>
      <c r="GV5" s="353"/>
      <c r="GW5" s="353"/>
      <c r="GX5" s="353"/>
      <c r="GY5" s="353"/>
      <c r="GZ5" s="353"/>
      <c r="HA5" s="353"/>
      <c r="HB5" s="353"/>
      <c r="HC5" s="353"/>
      <c r="HD5" s="353"/>
      <c r="HE5" s="353"/>
      <c r="HF5" s="353"/>
      <c r="HG5" s="353"/>
      <c r="HH5" s="353"/>
      <c r="HI5" s="353"/>
      <c r="HJ5" s="353"/>
      <c r="HK5" s="353"/>
      <c r="HL5" s="353"/>
      <c r="HM5" s="353"/>
      <c r="HN5" s="353"/>
      <c r="HO5" s="353"/>
      <c r="HP5" s="353"/>
      <c r="HQ5" s="353"/>
      <c r="HR5" s="353"/>
      <c r="HS5" s="353"/>
      <c r="HT5" s="353"/>
      <c r="HU5" s="353"/>
      <c r="HV5" s="353"/>
      <c r="HW5" s="353"/>
      <c r="HX5" s="353"/>
      <c r="HY5" s="353"/>
      <c r="HZ5" s="353"/>
      <c r="IA5" s="353"/>
      <c r="IB5" s="353"/>
      <c r="IC5" s="353"/>
      <c r="ID5" s="353"/>
      <c r="IE5" s="353"/>
      <c r="IF5" s="353"/>
      <c r="IG5" s="353"/>
      <c r="IH5" s="353"/>
      <c r="II5" s="353"/>
      <c r="IJ5" s="353"/>
      <c r="IK5" s="353"/>
      <c r="IL5" s="353"/>
      <c r="IM5" s="353"/>
      <c r="IN5" s="353"/>
      <c r="IO5" s="353"/>
      <c r="IP5" s="353"/>
      <c r="IQ5" s="353"/>
      <c r="IR5" s="353"/>
      <c r="IS5" s="353"/>
      <c r="IT5" s="353"/>
      <c r="IU5" s="353"/>
      <c r="IV5" s="353"/>
      <c r="IW5" s="353"/>
    </row>
    <row r="6" customFormat="false" ht="15.95" hidden="false" customHeight="true" outlineLevel="0" collapsed="false">
      <c r="A6" s="355" t="n">
        <v>2</v>
      </c>
      <c r="B6" s="356"/>
      <c r="C6" s="356"/>
      <c r="D6" s="357"/>
      <c r="E6" s="356"/>
      <c r="F6" s="357"/>
      <c r="G6" s="357"/>
      <c r="H6" s="358"/>
      <c r="I6" s="357"/>
      <c r="J6" s="357"/>
      <c r="K6" s="359"/>
      <c r="L6" s="360"/>
      <c r="M6" s="361"/>
      <c r="N6" s="362"/>
      <c r="O6" s="352"/>
      <c r="P6" s="353"/>
      <c r="Q6" s="354"/>
      <c r="R6" s="354"/>
      <c r="S6" s="353"/>
      <c r="T6" s="353"/>
      <c r="U6" s="353"/>
      <c r="V6" s="353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3"/>
      <c r="AL6" s="353"/>
      <c r="AM6" s="353"/>
      <c r="AN6" s="353"/>
      <c r="AO6" s="353"/>
      <c r="AP6" s="353"/>
      <c r="AQ6" s="353"/>
      <c r="AR6" s="353"/>
      <c r="AS6" s="353"/>
      <c r="AT6" s="353"/>
      <c r="AU6" s="353"/>
      <c r="AV6" s="353"/>
      <c r="AW6" s="353"/>
      <c r="AX6" s="353"/>
      <c r="AY6" s="353"/>
      <c r="AZ6" s="353"/>
      <c r="BA6" s="353"/>
      <c r="BB6" s="353"/>
      <c r="BC6" s="353"/>
      <c r="BD6" s="353"/>
      <c r="BE6" s="353"/>
      <c r="BF6" s="353"/>
      <c r="BG6" s="353"/>
      <c r="BH6" s="353"/>
      <c r="BI6" s="353"/>
      <c r="BJ6" s="353"/>
      <c r="BK6" s="353"/>
      <c r="BL6" s="353"/>
      <c r="BM6" s="353"/>
      <c r="BN6" s="353"/>
      <c r="BO6" s="353"/>
      <c r="BP6" s="353"/>
      <c r="BQ6" s="353"/>
      <c r="BR6" s="353"/>
      <c r="BS6" s="353"/>
      <c r="BT6" s="353"/>
      <c r="BU6" s="353"/>
      <c r="BV6" s="353"/>
      <c r="BW6" s="353"/>
      <c r="BX6" s="353"/>
      <c r="BY6" s="353"/>
      <c r="BZ6" s="353"/>
      <c r="CA6" s="353"/>
      <c r="CB6" s="353"/>
      <c r="CC6" s="353"/>
      <c r="CD6" s="353"/>
      <c r="CE6" s="353"/>
      <c r="CF6" s="353"/>
      <c r="CG6" s="353"/>
      <c r="CH6" s="353"/>
      <c r="CI6" s="353"/>
      <c r="CJ6" s="353"/>
      <c r="CK6" s="353"/>
      <c r="CL6" s="353"/>
      <c r="CM6" s="353"/>
      <c r="CN6" s="353"/>
      <c r="CO6" s="353"/>
      <c r="CP6" s="353"/>
      <c r="CQ6" s="353"/>
      <c r="CR6" s="353"/>
      <c r="CS6" s="353"/>
      <c r="CT6" s="353"/>
      <c r="CU6" s="353"/>
      <c r="CV6" s="353"/>
      <c r="CW6" s="353"/>
      <c r="CX6" s="353"/>
      <c r="CY6" s="353"/>
      <c r="CZ6" s="353"/>
      <c r="DA6" s="353"/>
      <c r="DB6" s="353"/>
      <c r="DC6" s="353"/>
      <c r="DD6" s="353"/>
      <c r="DE6" s="353"/>
      <c r="DF6" s="353"/>
      <c r="DG6" s="353"/>
      <c r="DH6" s="353"/>
      <c r="DI6" s="353"/>
      <c r="DJ6" s="353"/>
      <c r="DK6" s="353"/>
      <c r="DL6" s="353"/>
      <c r="DM6" s="353"/>
      <c r="DN6" s="353"/>
      <c r="DO6" s="353"/>
      <c r="DP6" s="353"/>
      <c r="DQ6" s="353"/>
      <c r="DR6" s="353"/>
      <c r="DS6" s="353"/>
      <c r="DT6" s="353"/>
      <c r="DU6" s="353"/>
      <c r="DV6" s="353"/>
      <c r="DW6" s="353"/>
      <c r="DX6" s="353"/>
      <c r="DY6" s="353"/>
      <c r="DZ6" s="353"/>
      <c r="EA6" s="353"/>
      <c r="EB6" s="353"/>
      <c r="EC6" s="353"/>
      <c r="ED6" s="353"/>
      <c r="EE6" s="353"/>
      <c r="EF6" s="353"/>
      <c r="EG6" s="353"/>
      <c r="EH6" s="353"/>
      <c r="EI6" s="353"/>
      <c r="EJ6" s="353"/>
      <c r="EK6" s="353"/>
      <c r="EL6" s="353"/>
      <c r="EM6" s="353"/>
      <c r="EN6" s="353"/>
      <c r="EO6" s="353"/>
      <c r="EP6" s="353"/>
      <c r="EQ6" s="353"/>
      <c r="ER6" s="353"/>
      <c r="ES6" s="353"/>
      <c r="ET6" s="353"/>
      <c r="EU6" s="353"/>
      <c r="EV6" s="353"/>
      <c r="EW6" s="353"/>
      <c r="EX6" s="353"/>
      <c r="EY6" s="353"/>
      <c r="EZ6" s="353"/>
      <c r="FA6" s="353"/>
      <c r="FB6" s="353"/>
      <c r="FC6" s="353"/>
      <c r="FD6" s="353"/>
      <c r="FE6" s="353"/>
      <c r="FF6" s="353"/>
      <c r="FG6" s="353"/>
      <c r="FH6" s="353"/>
      <c r="FI6" s="353"/>
      <c r="FJ6" s="353"/>
      <c r="FK6" s="353"/>
      <c r="FL6" s="353"/>
      <c r="FM6" s="353"/>
      <c r="FN6" s="353"/>
      <c r="FO6" s="353"/>
      <c r="FP6" s="353"/>
      <c r="FQ6" s="353"/>
      <c r="FR6" s="353"/>
      <c r="FS6" s="353"/>
      <c r="FT6" s="353"/>
      <c r="FU6" s="353"/>
      <c r="FV6" s="353"/>
      <c r="FW6" s="353"/>
      <c r="FX6" s="353"/>
      <c r="FY6" s="353"/>
      <c r="FZ6" s="353"/>
      <c r="GA6" s="353"/>
      <c r="GB6" s="353"/>
      <c r="GC6" s="353"/>
      <c r="GD6" s="353"/>
      <c r="GE6" s="353"/>
      <c r="GF6" s="353"/>
      <c r="GG6" s="353"/>
      <c r="GH6" s="353"/>
      <c r="GI6" s="353"/>
      <c r="GJ6" s="353"/>
      <c r="GK6" s="353"/>
      <c r="GL6" s="353"/>
      <c r="GM6" s="353"/>
      <c r="GN6" s="353"/>
      <c r="GO6" s="353"/>
      <c r="GP6" s="353"/>
      <c r="GQ6" s="353"/>
      <c r="GR6" s="353"/>
      <c r="GS6" s="353"/>
      <c r="GT6" s="353"/>
      <c r="GU6" s="353"/>
      <c r="GV6" s="353"/>
      <c r="GW6" s="353"/>
      <c r="GX6" s="353"/>
      <c r="GY6" s="353"/>
      <c r="GZ6" s="353"/>
      <c r="HA6" s="353"/>
      <c r="HB6" s="353"/>
      <c r="HC6" s="353"/>
      <c r="HD6" s="353"/>
      <c r="HE6" s="353"/>
      <c r="HF6" s="353"/>
      <c r="HG6" s="353"/>
      <c r="HH6" s="353"/>
      <c r="HI6" s="353"/>
      <c r="HJ6" s="353"/>
      <c r="HK6" s="353"/>
      <c r="HL6" s="353"/>
      <c r="HM6" s="353"/>
      <c r="HN6" s="353"/>
      <c r="HO6" s="353"/>
      <c r="HP6" s="353"/>
      <c r="HQ6" s="353"/>
      <c r="HR6" s="353"/>
      <c r="HS6" s="353"/>
      <c r="HT6" s="353"/>
      <c r="HU6" s="353"/>
      <c r="HV6" s="353"/>
      <c r="HW6" s="353"/>
      <c r="HX6" s="353"/>
      <c r="HY6" s="353"/>
      <c r="HZ6" s="353"/>
      <c r="IA6" s="353"/>
      <c r="IB6" s="353"/>
      <c r="IC6" s="353"/>
      <c r="ID6" s="353"/>
      <c r="IE6" s="353"/>
      <c r="IF6" s="353"/>
      <c r="IG6" s="353"/>
      <c r="IH6" s="353"/>
      <c r="II6" s="353"/>
      <c r="IJ6" s="353"/>
      <c r="IK6" s="353"/>
      <c r="IL6" s="353"/>
      <c r="IM6" s="353"/>
      <c r="IN6" s="353"/>
      <c r="IO6" s="353"/>
      <c r="IP6" s="353"/>
      <c r="IQ6" s="353"/>
      <c r="IR6" s="353"/>
      <c r="IS6" s="353"/>
      <c r="IT6" s="353"/>
      <c r="IU6" s="353"/>
      <c r="IV6" s="353"/>
      <c r="IW6" s="353"/>
    </row>
    <row r="7" customFormat="false" ht="15.95" hidden="false" customHeight="true" outlineLevel="0" collapsed="false">
      <c r="A7" s="355" t="n">
        <v>3</v>
      </c>
      <c r="B7" s="356"/>
      <c r="C7" s="356"/>
      <c r="D7" s="357"/>
      <c r="E7" s="356"/>
      <c r="F7" s="357"/>
      <c r="G7" s="357"/>
      <c r="H7" s="358"/>
      <c r="I7" s="357"/>
      <c r="J7" s="357"/>
      <c r="K7" s="359"/>
      <c r="L7" s="360"/>
      <c r="M7" s="361"/>
      <c r="N7" s="362"/>
      <c r="O7" s="352"/>
      <c r="P7" s="363"/>
      <c r="Q7" s="354"/>
      <c r="R7" s="354"/>
      <c r="S7" s="363"/>
      <c r="T7" s="363"/>
      <c r="U7" s="363"/>
      <c r="V7" s="363"/>
      <c r="W7" s="363"/>
      <c r="X7" s="363"/>
      <c r="Y7" s="363"/>
      <c r="Z7" s="363"/>
      <c r="AA7" s="363"/>
      <c r="AB7" s="363"/>
      <c r="AC7" s="363"/>
      <c r="AD7" s="363"/>
      <c r="AE7" s="363"/>
      <c r="AF7" s="363"/>
      <c r="AG7" s="363"/>
      <c r="AH7" s="363"/>
      <c r="AI7" s="363"/>
      <c r="AJ7" s="363"/>
      <c r="AK7" s="363"/>
      <c r="AL7" s="363"/>
      <c r="AM7" s="363"/>
      <c r="AN7" s="363"/>
      <c r="AO7" s="363"/>
      <c r="AP7" s="353"/>
      <c r="AQ7" s="353"/>
      <c r="AR7" s="353"/>
      <c r="AS7" s="353"/>
      <c r="AT7" s="353"/>
      <c r="AU7" s="353"/>
      <c r="AV7" s="353"/>
      <c r="AW7" s="353"/>
      <c r="AX7" s="353"/>
      <c r="AY7" s="353"/>
      <c r="AZ7" s="353"/>
      <c r="BA7" s="353"/>
      <c r="BB7" s="353"/>
      <c r="BC7" s="353"/>
      <c r="BD7" s="353"/>
      <c r="BE7" s="353"/>
      <c r="BF7" s="353"/>
      <c r="BG7" s="353"/>
      <c r="BH7" s="353"/>
      <c r="BI7" s="353"/>
      <c r="BJ7" s="353"/>
      <c r="BK7" s="353"/>
      <c r="BL7" s="353"/>
      <c r="BM7" s="353"/>
      <c r="BN7" s="353"/>
      <c r="BO7" s="353"/>
      <c r="BP7" s="353"/>
      <c r="BQ7" s="353"/>
      <c r="BR7" s="353"/>
      <c r="BS7" s="353"/>
      <c r="BT7" s="353"/>
      <c r="BU7" s="353"/>
      <c r="BV7" s="353"/>
      <c r="BW7" s="353"/>
      <c r="BX7" s="353"/>
      <c r="BY7" s="353"/>
      <c r="BZ7" s="353"/>
      <c r="CA7" s="353"/>
      <c r="CB7" s="353"/>
      <c r="CC7" s="353"/>
      <c r="CD7" s="353"/>
      <c r="CE7" s="353"/>
      <c r="CF7" s="353"/>
      <c r="CG7" s="353"/>
      <c r="CH7" s="353"/>
      <c r="CI7" s="353"/>
      <c r="CJ7" s="353"/>
      <c r="CK7" s="353"/>
      <c r="CL7" s="353"/>
      <c r="CM7" s="353"/>
      <c r="CN7" s="353"/>
      <c r="CO7" s="353"/>
      <c r="CP7" s="353"/>
      <c r="CQ7" s="353"/>
      <c r="CR7" s="353"/>
      <c r="CS7" s="353"/>
      <c r="CT7" s="353"/>
      <c r="CU7" s="353"/>
      <c r="CV7" s="353"/>
      <c r="CW7" s="353"/>
      <c r="CX7" s="353"/>
      <c r="CY7" s="353"/>
      <c r="CZ7" s="353"/>
      <c r="DA7" s="353"/>
      <c r="DB7" s="353"/>
      <c r="DC7" s="353"/>
      <c r="DD7" s="353"/>
      <c r="DE7" s="353"/>
      <c r="DF7" s="353"/>
      <c r="DG7" s="353"/>
      <c r="DH7" s="353"/>
      <c r="DI7" s="353"/>
      <c r="DJ7" s="353"/>
      <c r="DK7" s="353"/>
      <c r="DL7" s="353"/>
      <c r="DM7" s="353"/>
      <c r="DN7" s="353"/>
      <c r="DO7" s="353"/>
      <c r="DP7" s="353"/>
      <c r="DQ7" s="353"/>
      <c r="DR7" s="353"/>
      <c r="DS7" s="353"/>
      <c r="DT7" s="353"/>
      <c r="DU7" s="353"/>
      <c r="DV7" s="353"/>
      <c r="DW7" s="353"/>
      <c r="DX7" s="353"/>
      <c r="DY7" s="353"/>
      <c r="DZ7" s="353"/>
      <c r="EA7" s="353"/>
      <c r="EB7" s="353"/>
      <c r="EC7" s="353"/>
      <c r="ED7" s="353"/>
      <c r="EE7" s="353"/>
      <c r="EF7" s="353"/>
      <c r="EG7" s="353"/>
      <c r="EH7" s="353"/>
      <c r="EI7" s="353"/>
      <c r="EJ7" s="353"/>
      <c r="EK7" s="353"/>
      <c r="EL7" s="353"/>
      <c r="EM7" s="353"/>
      <c r="EN7" s="353"/>
      <c r="EO7" s="353"/>
      <c r="EP7" s="353"/>
      <c r="EQ7" s="353"/>
      <c r="ER7" s="353"/>
      <c r="ES7" s="353"/>
      <c r="ET7" s="353"/>
      <c r="EU7" s="353"/>
      <c r="EV7" s="353"/>
      <c r="EW7" s="353"/>
      <c r="EX7" s="353"/>
      <c r="EY7" s="353"/>
      <c r="EZ7" s="353"/>
      <c r="FA7" s="353"/>
      <c r="FB7" s="353"/>
      <c r="FC7" s="353"/>
      <c r="FD7" s="353"/>
      <c r="FE7" s="353"/>
      <c r="FF7" s="353"/>
      <c r="FG7" s="353"/>
      <c r="FH7" s="353"/>
      <c r="FI7" s="353"/>
      <c r="FJ7" s="353"/>
      <c r="FK7" s="353"/>
      <c r="FL7" s="353"/>
      <c r="FM7" s="353"/>
      <c r="FN7" s="353"/>
      <c r="FO7" s="353"/>
      <c r="FP7" s="353"/>
      <c r="FQ7" s="353"/>
      <c r="FR7" s="353"/>
      <c r="FS7" s="353"/>
      <c r="FT7" s="353"/>
      <c r="FU7" s="353"/>
      <c r="FV7" s="353"/>
      <c r="FW7" s="353"/>
      <c r="FX7" s="353"/>
      <c r="FY7" s="353"/>
      <c r="FZ7" s="353"/>
      <c r="GA7" s="353"/>
      <c r="GB7" s="353"/>
      <c r="GC7" s="353"/>
      <c r="GD7" s="353"/>
      <c r="GE7" s="353"/>
      <c r="GF7" s="353"/>
      <c r="GG7" s="353"/>
      <c r="GH7" s="353"/>
      <c r="GI7" s="353"/>
      <c r="GJ7" s="353"/>
      <c r="GK7" s="353"/>
      <c r="GL7" s="353"/>
      <c r="GM7" s="353"/>
      <c r="GN7" s="353"/>
      <c r="GO7" s="353"/>
      <c r="GP7" s="353"/>
      <c r="GQ7" s="353"/>
      <c r="GR7" s="353"/>
      <c r="GS7" s="353"/>
      <c r="GT7" s="353"/>
      <c r="GU7" s="353"/>
      <c r="GV7" s="353"/>
      <c r="GW7" s="353"/>
      <c r="GX7" s="353"/>
      <c r="GY7" s="353"/>
      <c r="GZ7" s="353"/>
      <c r="HA7" s="353"/>
      <c r="HB7" s="353"/>
      <c r="HC7" s="353"/>
      <c r="HD7" s="353"/>
      <c r="HE7" s="353"/>
      <c r="HF7" s="353"/>
      <c r="HG7" s="353"/>
      <c r="HH7" s="353"/>
      <c r="HI7" s="353"/>
      <c r="HJ7" s="353"/>
      <c r="HK7" s="353"/>
      <c r="HL7" s="353"/>
      <c r="HM7" s="353"/>
      <c r="HN7" s="353"/>
      <c r="HO7" s="353"/>
      <c r="HP7" s="353"/>
      <c r="HQ7" s="353"/>
      <c r="HR7" s="353"/>
      <c r="HS7" s="353"/>
      <c r="HT7" s="353"/>
      <c r="HU7" s="353"/>
      <c r="HV7" s="353"/>
      <c r="HW7" s="353"/>
      <c r="HX7" s="353"/>
      <c r="HY7" s="353"/>
      <c r="HZ7" s="353"/>
      <c r="IA7" s="353"/>
      <c r="IB7" s="353"/>
      <c r="IC7" s="353"/>
      <c r="ID7" s="353"/>
      <c r="IE7" s="353"/>
      <c r="IF7" s="353"/>
      <c r="IG7" s="353"/>
      <c r="IH7" s="353"/>
      <c r="II7" s="353"/>
      <c r="IJ7" s="353"/>
      <c r="IK7" s="353"/>
      <c r="IL7" s="353"/>
      <c r="IM7" s="353"/>
      <c r="IN7" s="353"/>
      <c r="IO7" s="353"/>
      <c r="IP7" s="353"/>
      <c r="IQ7" s="353"/>
      <c r="IR7" s="353"/>
      <c r="IS7" s="353"/>
      <c r="IT7" s="353"/>
      <c r="IU7" s="353"/>
      <c r="IV7" s="353"/>
      <c r="IW7" s="353"/>
    </row>
    <row r="8" customFormat="false" ht="15.95" hidden="false" customHeight="true" outlineLevel="0" collapsed="false">
      <c r="A8" s="355" t="n">
        <v>4</v>
      </c>
      <c r="B8" s="356"/>
      <c r="C8" s="356"/>
      <c r="D8" s="357"/>
      <c r="E8" s="356"/>
      <c r="F8" s="357"/>
      <c r="G8" s="357"/>
      <c r="H8" s="357"/>
      <c r="I8" s="357"/>
      <c r="J8" s="357"/>
      <c r="K8" s="359"/>
      <c r="L8" s="360"/>
      <c r="M8" s="361"/>
      <c r="N8" s="362"/>
      <c r="O8" s="352"/>
      <c r="P8" s="363"/>
      <c r="Q8" s="354"/>
      <c r="R8" s="354"/>
      <c r="S8" s="363"/>
      <c r="T8" s="363"/>
      <c r="U8" s="363"/>
      <c r="V8" s="353"/>
      <c r="W8" s="353"/>
      <c r="X8" s="353"/>
      <c r="Y8" s="353"/>
      <c r="Z8" s="353"/>
      <c r="AA8" s="353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353"/>
      <c r="BK8" s="353"/>
      <c r="BL8" s="353"/>
      <c r="BM8" s="353"/>
      <c r="BN8" s="353"/>
      <c r="BO8" s="353"/>
      <c r="BP8" s="353"/>
      <c r="BQ8" s="353"/>
      <c r="BR8" s="353"/>
      <c r="BS8" s="353"/>
      <c r="BT8" s="353"/>
      <c r="BU8" s="353"/>
      <c r="BV8" s="353"/>
      <c r="BW8" s="353"/>
      <c r="BX8" s="353"/>
      <c r="BY8" s="353"/>
      <c r="BZ8" s="353"/>
      <c r="CA8" s="353"/>
      <c r="CB8" s="353"/>
      <c r="CC8" s="353"/>
      <c r="CD8" s="353"/>
      <c r="CE8" s="353"/>
      <c r="CF8" s="353"/>
      <c r="CG8" s="353"/>
      <c r="CH8" s="353"/>
      <c r="CI8" s="353"/>
      <c r="CJ8" s="353"/>
      <c r="CK8" s="353"/>
      <c r="CL8" s="353"/>
      <c r="CM8" s="353"/>
      <c r="CN8" s="353"/>
      <c r="CO8" s="353"/>
      <c r="CP8" s="353"/>
      <c r="CQ8" s="353"/>
      <c r="CR8" s="353"/>
      <c r="CS8" s="353"/>
      <c r="CT8" s="353"/>
      <c r="CU8" s="353"/>
      <c r="CV8" s="353"/>
      <c r="CW8" s="353"/>
      <c r="CX8" s="353"/>
      <c r="CY8" s="353"/>
      <c r="CZ8" s="353"/>
      <c r="DA8" s="353"/>
      <c r="DB8" s="353"/>
      <c r="DC8" s="353"/>
      <c r="DD8" s="353"/>
      <c r="DE8" s="353"/>
      <c r="DF8" s="353"/>
      <c r="DG8" s="353"/>
      <c r="DH8" s="353"/>
      <c r="DI8" s="353"/>
      <c r="DJ8" s="353"/>
      <c r="DK8" s="353"/>
      <c r="DL8" s="353"/>
      <c r="DM8" s="353"/>
      <c r="DN8" s="353"/>
      <c r="DO8" s="353"/>
      <c r="DP8" s="353"/>
      <c r="DQ8" s="353"/>
      <c r="DR8" s="353"/>
      <c r="DS8" s="353"/>
      <c r="DT8" s="353"/>
      <c r="DU8" s="353"/>
      <c r="DV8" s="353"/>
      <c r="DW8" s="353"/>
      <c r="DX8" s="353"/>
      <c r="DY8" s="353"/>
      <c r="DZ8" s="353"/>
      <c r="EA8" s="353"/>
      <c r="EB8" s="353"/>
      <c r="EC8" s="353"/>
      <c r="ED8" s="353"/>
      <c r="EE8" s="353"/>
      <c r="EF8" s="353"/>
      <c r="EG8" s="353"/>
      <c r="EH8" s="353"/>
      <c r="EI8" s="353"/>
      <c r="EJ8" s="353"/>
      <c r="EK8" s="353"/>
      <c r="EL8" s="353"/>
      <c r="EM8" s="353"/>
      <c r="EN8" s="353"/>
      <c r="EO8" s="353"/>
      <c r="EP8" s="353"/>
      <c r="EQ8" s="353"/>
      <c r="ER8" s="353"/>
      <c r="ES8" s="353"/>
      <c r="ET8" s="353"/>
      <c r="EU8" s="353"/>
      <c r="EV8" s="353"/>
      <c r="EW8" s="353"/>
      <c r="EX8" s="353"/>
      <c r="EY8" s="353"/>
      <c r="EZ8" s="353"/>
      <c r="FA8" s="353"/>
      <c r="FB8" s="353"/>
      <c r="FC8" s="353"/>
      <c r="FD8" s="353"/>
      <c r="FE8" s="353"/>
      <c r="FF8" s="353"/>
      <c r="FG8" s="353"/>
      <c r="FH8" s="353"/>
      <c r="FI8" s="353"/>
      <c r="FJ8" s="353"/>
      <c r="FK8" s="353"/>
      <c r="FL8" s="353"/>
      <c r="FM8" s="353"/>
      <c r="FN8" s="353"/>
      <c r="FO8" s="353"/>
      <c r="FP8" s="353"/>
      <c r="FQ8" s="353"/>
      <c r="FR8" s="353"/>
      <c r="FS8" s="353"/>
      <c r="FT8" s="353"/>
      <c r="FU8" s="353"/>
      <c r="FV8" s="353"/>
      <c r="FW8" s="353"/>
      <c r="FX8" s="353"/>
      <c r="FY8" s="353"/>
      <c r="FZ8" s="353"/>
      <c r="GA8" s="353"/>
      <c r="GB8" s="353"/>
      <c r="GC8" s="353"/>
      <c r="GD8" s="353"/>
      <c r="GE8" s="353"/>
      <c r="GF8" s="353"/>
      <c r="GG8" s="353"/>
      <c r="GH8" s="353"/>
      <c r="GI8" s="353"/>
      <c r="GJ8" s="353"/>
      <c r="GK8" s="353"/>
      <c r="GL8" s="353"/>
      <c r="GM8" s="353"/>
      <c r="GN8" s="353"/>
      <c r="GO8" s="353"/>
      <c r="GP8" s="353"/>
      <c r="GQ8" s="353"/>
      <c r="GR8" s="353"/>
      <c r="GS8" s="353"/>
      <c r="GT8" s="353"/>
      <c r="GU8" s="353"/>
      <c r="GV8" s="353"/>
      <c r="GW8" s="353"/>
      <c r="GX8" s="353"/>
      <c r="GY8" s="353"/>
      <c r="GZ8" s="353"/>
      <c r="HA8" s="353"/>
      <c r="HB8" s="353"/>
      <c r="HC8" s="353"/>
      <c r="HD8" s="353"/>
      <c r="HE8" s="353"/>
      <c r="HF8" s="353"/>
      <c r="HG8" s="353"/>
      <c r="HH8" s="353"/>
      <c r="HI8" s="353"/>
      <c r="HJ8" s="353"/>
      <c r="HK8" s="353"/>
      <c r="HL8" s="353"/>
      <c r="HM8" s="353"/>
      <c r="HN8" s="353"/>
      <c r="HO8" s="353"/>
      <c r="HP8" s="353"/>
      <c r="HQ8" s="353"/>
      <c r="HR8" s="353"/>
      <c r="HS8" s="353"/>
      <c r="HT8" s="353"/>
      <c r="HU8" s="353"/>
      <c r="HV8" s="353"/>
      <c r="HW8" s="353"/>
      <c r="HX8" s="353"/>
      <c r="HY8" s="353"/>
      <c r="HZ8" s="353"/>
      <c r="IA8" s="353"/>
      <c r="IB8" s="353"/>
      <c r="IC8" s="353"/>
      <c r="ID8" s="353"/>
      <c r="IE8" s="353"/>
      <c r="IF8" s="353"/>
      <c r="IG8" s="353"/>
      <c r="IH8" s="353"/>
      <c r="II8" s="353"/>
      <c r="IJ8" s="353"/>
      <c r="IK8" s="353"/>
      <c r="IL8" s="353"/>
      <c r="IM8" s="353"/>
      <c r="IN8" s="353"/>
      <c r="IO8" s="353"/>
      <c r="IP8" s="353"/>
      <c r="IQ8" s="353"/>
      <c r="IR8" s="353"/>
      <c r="IS8" s="353"/>
      <c r="IT8" s="353"/>
      <c r="IU8" s="353"/>
      <c r="IV8" s="353"/>
      <c r="IW8" s="353"/>
    </row>
    <row r="9" customFormat="false" ht="15.95" hidden="false" customHeight="true" outlineLevel="0" collapsed="false">
      <c r="A9" s="355" t="n">
        <v>5</v>
      </c>
      <c r="B9" s="356"/>
      <c r="C9" s="356"/>
      <c r="D9" s="357"/>
      <c r="E9" s="356"/>
      <c r="F9" s="357"/>
      <c r="G9" s="357"/>
      <c r="H9" s="357"/>
      <c r="I9" s="357"/>
      <c r="J9" s="357"/>
      <c r="K9" s="359"/>
      <c r="L9" s="360"/>
      <c r="M9" s="361"/>
      <c r="N9" s="362"/>
      <c r="O9" s="352"/>
      <c r="P9" s="353"/>
      <c r="Q9" s="354"/>
      <c r="R9" s="354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63"/>
      <c r="AV9" s="363"/>
      <c r="AW9" s="363"/>
      <c r="AX9" s="363"/>
      <c r="AY9" s="363"/>
      <c r="AZ9" s="353"/>
      <c r="BA9" s="353"/>
      <c r="BB9" s="353"/>
      <c r="BC9" s="353"/>
      <c r="BD9" s="353"/>
      <c r="BE9" s="353"/>
      <c r="BF9" s="353"/>
      <c r="BG9" s="353"/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53"/>
      <c r="BS9" s="353"/>
      <c r="BT9" s="353"/>
      <c r="BU9" s="353"/>
      <c r="BV9" s="353"/>
      <c r="BW9" s="353"/>
      <c r="BX9" s="353"/>
      <c r="BY9" s="353"/>
      <c r="BZ9" s="353"/>
      <c r="CA9" s="353"/>
      <c r="CB9" s="353"/>
      <c r="CC9" s="353"/>
      <c r="CD9" s="353"/>
      <c r="CE9" s="353"/>
      <c r="CF9" s="353"/>
      <c r="CG9" s="353"/>
      <c r="CH9" s="353"/>
      <c r="CI9" s="353"/>
      <c r="CJ9" s="353"/>
      <c r="CK9" s="353"/>
      <c r="CL9" s="353"/>
      <c r="CM9" s="353"/>
      <c r="CN9" s="353"/>
      <c r="CO9" s="353"/>
      <c r="CP9" s="353"/>
      <c r="CQ9" s="353"/>
      <c r="CR9" s="353"/>
      <c r="CS9" s="353"/>
      <c r="CT9" s="353"/>
      <c r="CU9" s="353"/>
      <c r="CV9" s="353"/>
      <c r="CW9" s="353"/>
      <c r="CX9" s="353"/>
      <c r="CY9" s="353"/>
      <c r="CZ9" s="353"/>
      <c r="DA9" s="353"/>
      <c r="DB9" s="353"/>
      <c r="DC9" s="353"/>
      <c r="DD9" s="353"/>
      <c r="DE9" s="353"/>
      <c r="DF9" s="353"/>
      <c r="DG9" s="353"/>
      <c r="DH9" s="353"/>
      <c r="DI9" s="353"/>
      <c r="DJ9" s="353"/>
      <c r="DK9" s="353"/>
      <c r="DL9" s="353"/>
      <c r="DM9" s="353"/>
      <c r="DN9" s="353"/>
      <c r="DO9" s="353"/>
      <c r="DP9" s="353"/>
      <c r="DQ9" s="353"/>
      <c r="DR9" s="353"/>
      <c r="DS9" s="353"/>
      <c r="DT9" s="353"/>
      <c r="DU9" s="353"/>
      <c r="DV9" s="353"/>
      <c r="DW9" s="353"/>
      <c r="DX9" s="353"/>
      <c r="DY9" s="353"/>
      <c r="DZ9" s="353"/>
      <c r="EA9" s="353"/>
      <c r="EB9" s="353"/>
      <c r="EC9" s="353"/>
      <c r="ED9" s="353"/>
      <c r="EE9" s="353"/>
      <c r="EF9" s="353"/>
      <c r="EG9" s="353"/>
      <c r="EH9" s="353"/>
      <c r="EI9" s="353"/>
      <c r="EJ9" s="353"/>
      <c r="EK9" s="353"/>
      <c r="EL9" s="353"/>
      <c r="EM9" s="353"/>
      <c r="EN9" s="353"/>
      <c r="EO9" s="353"/>
      <c r="EP9" s="353"/>
      <c r="EQ9" s="353"/>
      <c r="ER9" s="353"/>
      <c r="ES9" s="353"/>
      <c r="ET9" s="353"/>
      <c r="EU9" s="353"/>
      <c r="EV9" s="353"/>
      <c r="EW9" s="353"/>
      <c r="EX9" s="353"/>
      <c r="EY9" s="353"/>
      <c r="EZ9" s="353"/>
      <c r="FA9" s="353"/>
      <c r="FB9" s="353"/>
      <c r="FC9" s="353"/>
      <c r="FD9" s="353"/>
      <c r="FE9" s="353"/>
      <c r="FF9" s="353"/>
      <c r="FG9" s="353"/>
      <c r="FH9" s="353"/>
      <c r="FI9" s="353"/>
      <c r="FJ9" s="353"/>
      <c r="FK9" s="353"/>
      <c r="FL9" s="353"/>
      <c r="FM9" s="353"/>
      <c r="FN9" s="353"/>
      <c r="FO9" s="353"/>
      <c r="FP9" s="353"/>
      <c r="FQ9" s="353"/>
      <c r="FR9" s="353"/>
      <c r="FS9" s="353"/>
      <c r="FT9" s="353"/>
      <c r="FU9" s="353"/>
      <c r="FV9" s="353"/>
      <c r="FW9" s="353"/>
      <c r="FX9" s="353"/>
      <c r="FY9" s="353"/>
      <c r="FZ9" s="353"/>
      <c r="GA9" s="353"/>
      <c r="GB9" s="353"/>
      <c r="GC9" s="353"/>
      <c r="GD9" s="353"/>
      <c r="GE9" s="353"/>
      <c r="GF9" s="353"/>
      <c r="GG9" s="353"/>
      <c r="GH9" s="353"/>
      <c r="GI9" s="353"/>
      <c r="GJ9" s="353"/>
      <c r="GK9" s="353"/>
      <c r="GL9" s="353"/>
      <c r="GM9" s="353"/>
      <c r="GN9" s="353"/>
      <c r="GO9" s="353"/>
      <c r="GP9" s="353"/>
      <c r="GQ9" s="353"/>
      <c r="GR9" s="353"/>
      <c r="GS9" s="353"/>
      <c r="GT9" s="353"/>
      <c r="GU9" s="353"/>
      <c r="GV9" s="353"/>
      <c r="GW9" s="353"/>
      <c r="GX9" s="353"/>
      <c r="GY9" s="353"/>
      <c r="GZ9" s="353"/>
      <c r="HA9" s="353"/>
      <c r="HB9" s="353"/>
      <c r="HC9" s="353"/>
      <c r="HD9" s="353"/>
      <c r="HE9" s="353"/>
      <c r="HF9" s="353"/>
      <c r="HG9" s="353"/>
      <c r="HH9" s="353"/>
      <c r="HI9" s="353"/>
      <c r="HJ9" s="353"/>
      <c r="HK9" s="353"/>
      <c r="HL9" s="353"/>
      <c r="HM9" s="353"/>
      <c r="HN9" s="353"/>
      <c r="HO9" s="353"/>
      <c r="HP9" s="353"/>
      <c r="HQ9" s="353"/>
      <c r="HR9" s="353"/>
      <c r="HS9" s="353"/>
      <c r="HT9" s="353"/>
      <c r="HU9" s="353"/>
      <c r="HV9" s="353"/>
      <c r="HW9" s="353"/>
      <c r="HX9" s="353"/>
      <c r="HY9" s="353"/>
      <c r="HZ9" s="353"/>
      <c r="IA9" s="353"/>
      <c r="IB9" s="353"/>
      <c r="IC9" s="353"/>
      <c r="ID9" s="353"/>
      <c r="IE9" s="353"/>
      <c r="IF9" s="353"/>
      <c r="IG9" s="353"/>
      <c r="IH9" s="353"/>
      <c r="II9" s="353"/>
      <c r="IJ9" s="353"/>
      <c r="IK9" s="353"/>
      <c r="IL9" s="353"/>
      <c r="IM9" s="353"/>
      <c r="IN9" s="353"/>
      <c r="IO9" s="353"/>
      <c r="IP9" s="353"/>
      <c r="IQ9" s="353"/>
      <c r="IR9" s="353"/>
      <c r="IS9" s="353"/>
      <c r="IT9" s="353"/>
      <c r="IU9" s="353"/>
      <c r="IV9" s="353"/>
      <c r="IW9" s="353"/>
    </row>
    <row r="10" customFormat="false" ht="15.95" hidden="false" customHeight="true" outlineLevel="0" collapsed="false">
      <c r="A10" s="355" t="n">
        <v>6</v>
      </c>
      <c r="B10" s="356"/>
      <c r="C10" s="356"/>
      <c r="D10" s="357"/>
      <c r="E10" s="356"/>
      <c r="F10" s="357"/>
      <c r="G10" s="357"/>
      <c r="H10" s="357"/>
      <c r="I10" s="357"/>
      <c r="J10" s="357"/>
      <c r="K10" s="359"/>
      <c r="L10" s="360"/>
      <c r="M10" s="361"/>
      <c r="N10" s="362"/>
      <c r="O10" s="352"/>
      <c r="P10" s="353"/>
      <c r="Q10" s="354"/>
      <c r="R10" s="354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3"/>
      <c r="AG10" s="353"/>
      <c r="AH10" s="353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53"/>
      <c r="BX10" s="353"/>
      <c r="BY10" s="353"/>
      <c r="BZ10" s="353"/>
      <c r="CA10" s="353"/>
      <c r="CB10" s="353"/>
      <c r="CC10" s="353"/>
      <c r="CD10" s="353"/>
      <c r="CE10" s="353"/>
      <c r="CF10" s="353"/>
      <c r="CG10" s="353"/>
      <c r="CH10" s="353"/>
      <c r="CI10" s="353"/>
      <c r="CJ10" s="353"/>
      <c r="CK10" s="353"/>
      <c r="CL10" s="353"/>
      <c r="CM10" s="353"/>
      <c r="CN10" s="353"/>
      <c r="CO10" s="353"/>
      <c r="CP10" s="353"/>
      <c r="CQ10" s="353"/>
      <c r="CR10" s="353"/>
      <c r="CS10" s="353"/>
      <c r="CT10" s="353"/>
      <c r="CU10" s="353"/>
      <c r="CV10" s="353"/>
      <c r="CW10" s="353"/>
      <c r="CX10" s="353"/>
      <c r="CY10" s="353"/>
      <c r="CZ10" s="353"/>
      <c r="DA10" s="353"/>
      <c r="DB10" s="353"/>
      <c r="DC10" s="353"/>
      <c r="DD10" s="353"/>
      <c r="DE10" s="353"/>
      <c r="DF10" s="353"/>
      <c r="DG10" s="353"/>
      <c r="DH10" s="353"/>
      <c r="DI10" s="353"/>
      <c r="DJ10" s="353"/>
      <c r="DK10" s="353"/>
      <c r="DL10" s="353"/>
      <c r="DM10" s="353"/>
      <c r="DN10" s="353"/>
      <c r="DO10" s="353"/>
      <c r="DP10" s="353"/>
      <c r="DQ10" s="353"/>
      <c r="DR10" s="353"/>
      <c r="DS10" s="353"/>
      <c r="DT10" s="353"/>
      <c r="DU10" s="353"/>
      <c r="DV10" s="353"/>
      <c r="DW10" s="353"/>
      <c r="DX10" s="353"/>
      <c r="DY10" s="353"/>
      <c r="DZ10" s="353"/>
      <c r="EA10" s="353"/>
      <c r="EB10" s="353"/>
      <c r="EC10" s="353"/>
      <c r="ED10" s="353"/>
      <c r="EE10" s="353"/>
      <c r="EF10" s="353"/>
      <c r="EG10" s="353"/>
      <c r="EH10" s="353"/>
      <c r="EI10" s="353"/>
      <c r="EJ10" s="353"/>
      <c r="EK10" s="353"/>
      <c r="EL10" s="353"/>
      <c r="EM10" s="353"/>
      <c r="EN10" s="353"/>
      <c r="EO10" s="353"/>
      <c r="EP10" s="353"/>
      <c r="EQ10" s="353"/>
      <c r="ER10" s="353"/>
      <c r="ES10" s="353"/>
      <c r="ET10" s="353"/>
      <c r="EU10" s="353"/>
      <c r="EV10" s="353"/>
      <c r="EW10" s="353"/>
      <c r="EX10" s="353"/>
      <c r="EY10" s="353"/>
      <c r="EZ10" s="353"/>
      <c r="FA10" s="353"/>
      <c r="FB10" s="353"/>
      <c r="FC10" s="353"/>
      <c r="FD10" s="353"/>
      <c r="FE10" s="353"/>
      <c r="FF10" s="353"/>
      <c r="FG10" s="353"/>
      <c r="FH10" s="353"/>
      <c r="FI10" s="353"/>
      <c r="FJ10" s="353"/>
      <c r="FK10" s="353"/>
      <c r="FL10" s="353"/>
      <c r="FM10" s="353"/>
      <c r="FN10" s="353"/>
      <c r="FO10" s="353"/>
      <c r="FP10" s="353"/>
      <c r="FQ10" s="353"/>
      <c r="FR10" s="353"/>
      <c r="FS10" s="353"/>
      <c r="FT10" s="353"/>
      <c r="FU10" s="353"/>
      <c r="FV10" s="353"/>
      <c r="FW10" s="353"/>
      <c r="FX10" s="353"/>
      <c r="FY10" s="353"/>
      <c r="FZ10" s="353"/>
      <c r="GA10" s="353"/>
      <c r="GB10" s="353"/>
      <c r="GC10" s="353"/>
      <c r="GD10" s="353"/>
      <c r="GE10" s="353"/>
      <c r="GF10" s="353"/>
      <c r="GG10" s="353"/>
      <c r="GH10" s="353"/>
      <c r="GI10" s="353"/>
      <c r="GJ10" s="353"/>
      <c r="GK10" s="353"/>
      <c r="GL10" s="353"/>
      <c r="GM10" s="353"/>
      <c r="GN10" s="353"/>
      <c r="GO10" s="353"/>
      <c r="GP10" s="353"/>
      <c r="GQ10" s="353"/>
      <c r="GR10" s="353"/>
      <c r="GS10" s="353"/>
      <c r="GT10" s="353"/>
      <c r="GU10" s="353"/>
      <c r="GV10" s="353"/>
      <c r="GW10" s="353"/>
      <c r="GX10" s="353"/>
      <c r="GY10" s="353"/>
      <c r="GZ10" s="353"/>
      <c r="HA10" s="353"/>
      <c r="HB10" s="353"/>
      <c r="HC10" s="353"/>
      <c r="HD10" s="353"/>
      <c r="HE10" s="353"/>
      <c r="HF10" s="353"/>
      <c r="HG10" s="353"/>
      <c r="HH10" s="353"/>
      <c r="HI10" s="353"/>
      <c r="HJ10" s="353"/>
      <c r="HK10" s="353"/>
      <c r="HL10" s="353"/>
      <c r="HM10" s="353"/>
      <c r="HN10" s="353"/>
      <c r="HO10" s="353"/>
      <c r="HP10" s="353"/>
      <c r="HQ10" s="353"/>
      <c r="HR10" s="353"/>
      <c r="HS10" s="353"/>
      <c r="HT10" s="353"/>
      <c r="HU10" s="353"/>
      <c r="HV10" s="353"/>
      <c r="HW10" s="353"/>
      <c r="HX10" s="353"/>
      <c r="HY10" s="353"/>
      <c r="HZ10" s="353"/>
      <c r="IA10" s="353"/>
      <c r="IB10" s="353"/>
      <c r="IC10" s="353"/>
      <c r="ID10" s="353"/>
      <c r="IE10" s="353"/>
      <c r="IF10" s="353"/>
      <c r="IG10" s="353"/>
      <c r="IH10" s="353"/>
      <c r="II10" s="353"/>
      <c r="IJ10" s="353"/>
      <c r="IK10" s="353"/>
      <c r="IL10" s="353"/>
      <c r="IM10" s="353"/>
      <c r="IN10" s="353"/>
      <c r="IO10" s="353"/>
      <c r="IP10" s="353"/>
      <c r="IQ10" s="353"/>
      <c r="IR10" s="353"/>
      <c r="IS10" s="353"/>
      <c r="IT10" s="353"/>
      <c r="IU10" s="353"/>
      <c r="IV10" s="353"/>
      <c r="IW10" s="353"/>
    </row>
    <row r="11" customFormat="false" ht="15.95" hidden="false" customHeight="true" outlineLevel="0" collapsed="false">
      <c r="A11" s="355" t="n">
        <v>7</v>
      </c>
      <c r="B11" s="364"/>
      <c r="C11" s="356"/>
      <c r="D11" s="357"/>
      <c r="E11" s="356"/>
      <c r="F11" s="357"/>
      <c r="G11" s="357"/>
      <c r="H11" s="357"/>
      <c r="I11" s="357"/>
      <c r="J11" s="357"/>
      <c r="K11" s="359"/>
      <c r="L11" s="360"/>
      <c r="M11" s="361"/>
      <c r="N11" s="362"/>
      <c r="O11" s="352"/>
      <c r="P11" s="353"/>
      <c r="Q11" s="354"/>
      <c r="R11" s="354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63"/>
      <c r="AQ11" s="363"/>
      <c r="AR11" s="363"/>
      <c r="AS11" s="363"/>
      <c r="AT11" s="363"/>
      <c r="AU11" s="363"/>
      <c r="AV11" s="363"/>
      <c r="AW11" s="363"/>
      <c r="AX11" s="363"/>
      <c r="AY11" s="363"/>
      <c r="AZ11" s="353"/>
      <c r="BA11" s="353"/>
      <c r="BB11" s="353"/>
      <c r="BC11" s="353"/>
      <c r="BD11" s="353"/>
      <c r="BE11" s="353"/>
      <c r="BF11" s="353"/>
      <c r="BG11" s="353"/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53"/>
      <c r="BS11" s="353"/>
      <c r="BT11" s="353"/>
      <c r="BU11" s="353"/>
      <c r="BV11" s="353"/>
      <c r="BW11" s="353"/>
      <c r="BX11" s="353"/>
      <c r="BY11" s="353"/>
      <c r="BZ11" s="353"/>
      <c r="CA11" s="353"/>
      <c r="CB11" s="353"/>
      <c r="CC11" s="353"/>
      <c r="CD11" s="353"/>
      <c r="CE11" s="353"/>
      <c r="CF11" s="353"/>
      <c r="CG11" s="353"/>
      <c r="CH11" s="353"/>
      <c r="CI11" s="353"/>
      <c r="CJ11" s="353"/>
      <c r="CK11" s="353"/>
      <c r="CL11" s="353"/>
      <c r="CM11" s="353"/>
      <c r="CN11" s="353"/>
      <c r="CO11" s="353"/>
      <c r="CP11" s="353"/>
      <c r="CQ11" s="353"/>
      <c r="CR11" s="353"/>
      <c r="CS11" s="353"/>
      <c r="CT11" s="353"/>
      <c r="CU11" s="353"/>
      <c r="CV11" s="353"/>
      <c r="CW11" s="353"/>
      <c r="CX11" s="353"/>
      <c r="CY11" s="353"/>
      <c r="CZ11" s="353"/>
      <c r="DA11" s="353"/>
      <c r="DB11" s="353"/>
      <c r="DC11" s="353"/>
      <c r="DD11" s="353"/>
      <c r="DE11" s="353"/>
      <c r="DF11" s="353"/>
      <c r="DG11" s="353"/>
      <c r="DH11" s="353"/>
      <c r="DI11" s="353"/>
      <c r="DJ11" s="353"/>
      <c r="DK11" s="353"/>
      <c r="DL11" s="353"/>
      <c r="DM11" s="353"/>
      <c r="DN11" s="353"/>
      <c r="DO11" s="353"/>
      <c r="DP11" s="353"/>
      <c r="DQ11" s="353"/>
      <c r="DR11" s="353"/>
      <c r="DS11" s="353"/>
      <c r="DT11" s="353"/>
      <c r="DU11" s="353"/>
      <c r="DV11" s="353"/>
      <c r="DW11" s="353"/>
      <c r="DX11" s="353"/>
      <c r="DY11" s="353"/>
      <c r="DZ11" s="353"/>
      <c r="EA11" s="353"/>
      <c r="EB11" s="353"/>
      <c r="EC11" s="353"/>
      <c r="ED11" s="353"/>
      <c r="EE11" s="353"/>
      <c r="EF11" s="353"/>
      <c r="EG11" s="353"/>
      <c r="EH11" s="353"/>
      <c r="EI11" s="353"/>
      <c r="EJ11" s="353"/>
      <c r="EK11" s="353"/>
      <c r="EL11" s="353"/>
      <c r="EM11" s="353"/>
      <c r="EN11" s="353"/>
      <c r="EO11" s="353"/>
      <c r="EP11" s="353"/>
      <c r="EQ11" s="353"/>
      <c r="ER11" s="353"/>
      <c r="ES11" s="353"/>
      <c r="ET11" s="353"/>
      <c r="EU11" s="353"/>
      <c r="EV11" s="353"/>
      <c r="EW11" s="353"/>
      <c r="EX11" s="353"/>
      <c r="EY11" s="353"/>
      <c r="EZ11" s="353"/>
      <c r="FA11" s="353"/>
      <c r="FB11" s="353"/>
      <c r="FC11" s="353"/>
      <c r="FD11" s="353"/>
      <c r="FE11" s="353"/>
      <c r="FF11" s="353"/>
      <c r="FG11" s="353"/>
      <c r="FH11" s="353"/>
      <c r="FI11" s="353"/>
      <c r="FJ11" s="353"/>
      <c r="FK11" s="353"/>
      <c r="FL11" s="353"/>
      <c r="FM11" s="353"/>
      <c r="FN11" s="353"/>
      <c r="FO11" s="353"/>
      <c r="FP11" s="353"/>
      <c r="FQ11" s="353"/>
      <c r="FR11" s="353"/>
      <c r="FS11" s="353"/>
      <c r="FT11" s="353"/>
      <c r="FU11" s="353"/>
      <c r="FV11" s="353"/>
      <c r="FW11" s="353"/>
      <c r="FX11" s="353"/>
      <c r="FY11" s="353"/>
      <c r="FZ11" s="353"/>
      <c r="GA11" s="353"/>
      <c r="GB11" s="353"/>
      <c r="GC11" s="353"/>
      <c r="GD11" s="353"/>
      <c r="GE11" s="353"/>
      <c r="GF11" s="353"/>
      <c r="GG11" s="353"/>
      <c r="GH11" s="353"/>
      <c r="GI11" s="353"/>
      <c r="GJ11" s="353"/>
      <c r="GK11" s="353"/>
      <c r="GL11" s="353"/>
      <c r="GM11" s="353"/>
      <c r="GN11" s="353"/>
      <c r="GO11" s="353"/>
      <c r="GP11" s="353"/>
      <c r="GQ11" s="353"/>
      <c r="GR11" s="353"/>
      <c r="GS11" s="353"/>
      <c r="GT11" s="353"/>
      <c r="GU11" s="353"/>
      <c r="GV11" s="353"/>
      <c r="GW11" s="353"/>
      <c r="GX11" s="353"/>
      <c r="GY11" s="353"/>
      <c r="GZ11" s="353"/>
      <c r="HA11" s="353"/>
      <c r="HB11" s="353"/>
      <c r="HC11" s="353"/>
      <c r="HD11" s="353"/>
      <c r="HE11" s="353"/>
      <c r="HF11" s="353"/>
      <c r="HG11" s="353"/>
      <c r="HH11" s="353"/>
      <c r="HI11" s="353"/>
      <c r="HJ11" s="353"/>
      <c r="HK11" s="353"/>
      <c r="HL11" s="353"/>
      <c r="HM11" s="353"/>
      <c r="HN11" s="353"/>
      <c r="HO11" s="353"/>
      <c r="HP11" s="353"/>
      <c r="HQ11" s="353"/>
      <c r="HR11" s="353"/>
      <c r="HS11" s="353"/>
      <c r="HT11" s="353"/>
      <c r="HU11" s="353"/>
      <c r="HV11" s="353"/>
      <c r="HW11" s="353"/>
      <c r="HX11" s="353"/>
      <c r="HY11" s="353"/>
      <c r="HZ11" s="353"/>
      <c r="IA11" s="353"/>
      <c r="IB11" s="353"/>
      <c r="IC11" s="353"/>
      <c r="ID11" s="353"/>
      <c r="IE11" s="353"/>
      <c r="IF11" s="353"/>
      <c r="IG11" s="353"/>
      <c r="IH11" s="353"/>
      <c r="II11" s="353"/>
      <c r="IJ11" s="353"/>
      <c r="IK11" s="353"/>
      <c r="IL11" s="353"/>
      <c r="IM11" s="353"/>
      <c r="IN11" s="353"/>
      <c r="IO11" s="353"/>
      <c r="IP11" s="353"/>
      <c r="IQ11" s="353"/>
      <c r="IR11" s="353"/>
      <c r="IS11" s="353"/>
      <c r="IT11" s="353"/>
      <c r="IU11" s="353"/>
      <c r="IV11" s="353"/>
      <c r="IW11" s="353"/>
    </row>
    <row r="12" customFormat="false" ht="15.95" hidden="false" customHeight="true" outlineLevel="0" collapsed="false">
      <c r="A12" s="355" t="n">
        <v>8</v>
      </c>
      <c r="B12" s="356"/>
      <c r="C12" s="364"/>
      <c r="D12" s="365"/>
      <c r="E12" s="356"/>
      <c r="F12" s="357"/>
      <c r="G12" s="357"/>
      <c r="H12" s="357"/>
      <c r="I12" s="357"/>
      <c r="J12" s="357"/>
      <c r="K12" s="359"/>
      <c r="L12" s="360"/>
      <c r="M12" s="361"/>
      <c r="N12" s="362"/>
      <c r="O12" s="352"/>
      <c r="P12" s="353"/>
      <c r="Q12" s="354"/>
      <c r="R12" s="354"/>
      <c r="S12" s="353"/>
      <c r="T12" s="353"/>
      <c r="U12" s="353"/>
      <c r="V12" s="363"/>
      <c r="W12" s="363"/>
      <c r="X12" s="363"/>
      <c r="Y12" s="363"/>
      <c r="Z12" s="363"/>
      <c r="AA12" s="363"/>
      <c r="AB12" s="363"/>
      <c r="AC12" s="363"/>
      <c r="AD12" s="363"/>
      <c r="AE12" s="363"/>
      <c r="AF12" s="363"/>
      <c r="AG12" s="363"/>
      <c r="AH12" s="363"/>
      <c r="AI12" s="363"/>
      <c r="AJ12" s="363"/>
      <c r="AK12" s="363"/>
      <c r="AL12" s="363"/>
      <c r="AM12" s="363"/>
      <c r="AN12" s="363"/>
      <c r="AO12" s="363"/>
      <c r="AP12" s="353"/>
      <c r="AQ12" s="353"/>
      <c r="AR12" s="353"/>
      <c r="AS12" s="353"/>
      <c r="AT12" s="353"/>
      <c r="AU12" s="353"/>
      <c r="AV12" s="353"/>
      <c r="AW12" s="353"/>
      <c r="AX12" s="353"/>
      <c r="AY12" s="35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3"/>
      <c r="BW12" s="353"/>
      <c r="BX12" s="353"/>
      <c r="BY12" s="353"/>
      <c r="BZ12" s="353"/>
      <c r="CA12" s="353"/>
      <c r="CB12" s="353"/>
      <c r="CC12" s="353"/>
      <c r="CD12" s="353"/>
      <c r="CE12" s="353"/>
      <c r="CF12" s="353"/>
      <c r="CG12" s="353"/>
      <c r="CH12" s="353"/>
      <c r="CI12" s="353"/>
      <c r="CJ12" s="353"/>
      <c r="CK12" s="353"/>
      <c r="CL12" s="353"/>
      <c r="CM12" s="353"/>
      <c r="CN12" s="353"/>
      <c r="CO12" s="353"/>
      <c r="CP12" s="353"/>
      <c r="CQ12" s="353"/>
      <c r="CR12" s="353"/>
      <c r="CS12" s="353"/>
      <c r="CT12" s="353"/>
      <c r="CU12" s="353"/>
      <c r="CV12" s="353"/>
      <c r="CW12" s="353"/>
      <c r="CX12" s="353"/>
      <c r="CY12" s="353"/>
      <c r="CZ12" s="353"/>
      <c r="DA12" s="353"/>
      <c r="DB12" s="353"/>
      <c r="DC12" s="353"/>
      <c r="DD12" s="353"/>
      <c r="DE12" s="353"/>
      <c r="DF12" s="353"/>
      <c r="DG12" s="353"/>
      <c r="DH12" s="353"/>
      <c r="DI12" s="353"/>
      <c r="DJ12" s="353"/>
      <c r="DK12" s="353"/>
      <c r="DL12" s="353"/>
      <c r="DM12" s="353"/>
      <c r="DN12" s="353"/>
      <c r="DO12" s="353"/>
      <c r="DP12" s="353"/>
      <c r="DQ12" s="353"/>
      <c r="DR12" s="353"/>
      <c r="DS12" s="353"/>
      <c r="DT12" s="353"/>
      <c r="DU12" s="353"/>
      <c r="DV12" s="353"/>
      <c r="DW12" s="353"/>
      <c r="DX12" s="353"/>
      <c r="DY12" s="353"/>
      <c r="DZ12" s="353"/>
      <c r="EA12" s="353"/>
      <c r="EB12" s="353"/>
      <c r="EC12" s="353"/>
      <c r="ED12" s="353"/>
      <c r="EE12" s="353"/>
      <c r="EF12" s="353"/>
      <c r="EG12" s="353"/>
      <c r="EH12" s="353"/>
      <c r="EI12" s="353"/>
      <c r="EJ12" s="353"/>
      <c r="EK12" s="353"/>
      <c r="EL12" s="353"/>
      <c r="EM12" s="353"/>
      <c r="EN12" s="353"/>
      <c r="EO12" s="353"/>
      <c r="EP12" s="353"/>
      <c r="EQ12" s="353"/>
      <c r="ER12" s="353"/>
      <c r="ES12" s="353"/>
      <c r="ET12" s="353"/>
      <c r="EU12" s="353"/>
      <c r="EV12" s="353"/>
      <c r="EW12" s="353"/>
      <c r="EX12" s="353"/>
      <c r="EY12" s="353"/>
      <c r="EZ12" s="353"/>
      <c r="FA12" s="353"/>
      <c r="FB12" s="353"/>
      <c r="FC12" s="353"/>
      <c r="FD12" s="353"/>
      <c r="FE12" s="353"/>
      <c r="FF12" s="353"/>
      <c r="FG12" s="353"/>
      <c r="FH12" s="353"/>
      <c r="FI12" s="353"/>
      <c r="FJ12" s="353"/>
      <c r="FK12" s="353"/>
      <c r="FL12" s="353"/>
      <c r="FM12" s="353"/>
      <c r="FN12" s="353"/>
      <c r="FO12" s="353"/>
      <c r="FP12" s="353"/>
      <c r="FQ12" s="353"/>
      <c r="FR12" s="353"/>
      <c r="FS12" s="353"/>
      <c r="FT12" s="353"/>
      <c r="FU12" s="353"/>
      <c r="FV12" s="353"/>
      <c r="FW12" s="353"/>
      <c r="FX12" s="353"/>
      <c r="FY12" s="353"/>
      <c r="FZ12" s="353"/>
      <c r="GA12" s="353"/>
      <c r="GB12" s="353"/>
      <c r="GC12" s="353"/>
      <c r="GD12" s="353"/>
      <c r="GE12" s="353"/>
      <c r="GF12" s="353"/>
      <c r="GG12" s="353"/>
      <c r="GH12" s="353"/>
      <c r="GI12" s="353"/>
      <c r="GJ12" s="353"/>
      <c r="GK12" s="353"/>
      <c r="GL12" s="353"/>
      <c r="GM12" s="353"/>
      <c r="GN12" s="353"/>
      <c r="GO12" s="353"/>
      <c r="GP12" s="353"/>
      <c r="GQ12" s="353"/>
      <c r="GR12" s="353"/>
      <c r="GS12" s="353"/>
      <c r="GT12" s="353"/>
      <c r="GU12" s="353"/>
      <c r="GV12" s="353"/>
      <c r="GW12" s="353"/>
      <c r="GX12" s="353"/>
      <c r="GY12" s="353"/>
      <c r="GZ12" s="353"/>
      <c r="HA12" s="353"/>
      <c r="HB12" s="353"/>
      <c r="HC12" s="353"/>
      <c r="HD12" s="353"/>
      <c r="HE12" s="353"/>
      <c r="HF12" s="353"/>
      <c r="HG12" s="353"/>
      <c r="HH12" s="353"/>
      <c r="HI12" s="353"/>
      <c r="HJ12" s="353"/>
      <c r="HK12" s="353"/>
      <c r="HL12" s="353"/>
      <c r="HM12" s="353"/>
      <c r="HN12" s="353"/>
      <c r="HO12" s="353"/>
      <c r="HP12" s="353"/>
      <c r="HQ12" s="353"/>
      <c r="HR12" s="353"/>
      <c r="HS12" s="353"/>
      <c r="HT12" s="353"/>
      <c r="HU12" s="353"/>
      <c r="HV12" s="353"/>
      <c r="HW12" s="353"/>
      <c r="HX12" s="353"/>
      <c r="HY12" s="353"/>
      <c r="HZ12" s="353"/>
      <c r="IA12" s="353"/>
      <c r="IB12" s="353"/>
      <c r="IC12" s="353"/>
      <c r="ID12" s="353"/>
      <c r="IE12" s="353"/>
      <c r="IF12" s="353"/>
      <c r="IG12" s="353"/>
      <c r="IH12" s="353"/>
      <c r="II12" s="353"/>
      <c r="IJ12" s="353"/>
      <c r="IK12" s="353"/>
      <c r="IL12" s="353"/>
      <c r="IM12" s="353"/>
      <c r="IN12" s="353"/>
      <c r="IO12" s="353"/>
      <c r="IP12" s="353"/>
      <c r="IQ12" s="353"/>
      <c r="IR12" s="353"/>
      <c r="IS12" s="353"/>
      <c r="IT12" s="353"/>
      <c r="IU12" s="353"/>
      <c r="IV12" s="353"/>
      <c r="IW12" s="353"/>
    </row>
    <row r="13" customFormat="false" ht="15.95" hidden="false" customHeight="true" outlineLevel="0" collapsed="false">
      <c r="A13" s="355" t="n">
        <v>9</v>
      </c>
      <c r="B13" s="366"/>
      <c r="C13" s="356"/>
      <c r="D13" s="357"/>
      <c r="E13" s="356"/>
      <c r="F13" s="357"/>
      <c r="G13" s="357"/>
      <c r="H13" s="357"/>
      <c r="I13" s="365"/>
      <c r="J13" s="365"/>
      <c r="K13" s="359"/>
      <c r="L13" s="360"/>
      <c r="M13" s="361"/>
      <c r="N13" s="362"/>
      <c r="O13" s="352"/>
      <c r="P13" s="353"/>
      <c r="Q13" s="354"/>
      <c r="R13" s="354"/>
      <c r="S13" s="353"/>
      <c r="T13" s="353"/>
      <c r="U13" s="353"/>
      <c r="V13" s="363"/>
      <c r="W13" s="363"/>
      <c r="X13" s="363"/>
      <c r="Y13" s="363"/>
      <c r="Z13" s="363"/>
      <c r="AA13" s="363"/>
      <c r="AB13" s="363"/>
      <c r="AC13" s="363"/>
      <c r="AD13" s="363"/>
      <c r="AE13" s="363"/>
      <c r="AF13" s="363"/>
      <c r="AG13" s="363"/>
      <c r="AH13" s="363"/>
      <c r="AI13" s="363"/>
      <c r="AJ13" s="363"/>
      <c r="AK13" s="363"/>
      <c r="AL13" s="363"/>
      <c r="AM13" s="363"/>
      <c r="AN13" s="363"/>
      <c r="AO13" s="363"/>
      <c r="AP13" s="363"/>
      <c r="AQ13" s="363"/>
      <c r="AR13" s="363"/>
      <c r="AS13" s="363"/>
      <c r="AT13" s="363"/>
      <c r="AU13" s="353"/>
      <c r="AV13" s="353"/>
      <c r="AW13" s="353"/>
      <c r="AX13" s="353"/>
      <c r="AY13" s="353"/>
      <c r="AZ13" s="363"/>
      <c r="BA13" s="363"/>
      <c r="BB13" s="363"/>
      <c r="BC13" s="363"/>
      <c r="BD13" s="363"/>
      <c r="BE13" s="363"/>
      <c r="BF13" s="363"/>
      <c r="BG13" s="363"/>
      <c r="BH13" s="363"/>
      <c r="BI13" s="363"/>
      <c r="BJ13" s="363"/>
      <c r="BK13" s="363"/>
      <c r="BL13" s="363"/>
      <c r="BM13" s="363"/>
      <c r="BN13" s="363"/>
      <c r="BO13" s="363"/>
      <c r="BP13" s="363"/>
      <c r="BQ13" s="363"/>
      <c r="BR13" s="363"/>
      <c r="BS13" s="363"/>
      <c r="BT13" s="363"/>
      <c r="BU13" s="363"/>
      <c r="BV13" s="363"/>
      <c r="BW13" s="363"/>
      <c r="BX13" s="363"/>
      <c r="BY13" s="363"/>
      <c r="BZ13" s="363"/>
      <c r="CA13" s="363"/>
      <c r="CB13" s="363"/>
      <c r="CC13" s="363"/>
      <c r="CD13" s="363"/>
      <c r="CE13" s="363"/>
      <c r="CF13" s="363"/>
      <c r="CG13" s="363"/>
      <c r="CH13" s="363"/>
      <c r="CI13" s="363"/>
      <c r="CJ13" s="363"/>
      <c r="CK13" s="363"/>
      <c r="CL13" s="363"/>
      <c r="CM13" s="363"/>
      <c r="CN13" s="363"/>
      <c r="CO13" s="363"/>
      <c r="CP13" s="363"/>
      <c r="CQ13" s="363"/>
      <c r="CR13" s="363"/>
      <c r="CS13" s="363"/>
      <c r="CT13" s="363"/>
      <c r="CU13" s="363"/>
      <c r="CV13" s="363"/>
      <c r="CW13" s="363"/>
      <c r="CX13" s="363"/>
      <c r="CY13" s="363"/>
      <c r="CZ13" s="353"/>
      <c r="DA13" s="353"/>
      <c r="DB13" s="353"/>
      <c r="DC13" s="353"/>
      <c r="DD13" s="353"/>
      <c r="DE13" s="353"/>
      <c r="DF13" s="353"/>
      <c r="DG13" s="353"/>
      <c r="DH13" s="353"/>
      <c r="DI13" s="353"/>
      <c r="DJ13" s="353"/>
      <c r="DK13" s="353"/>
      <c r="DL13" s="353"/>
      <c r="DM13" s="353"/>
      <c r="DN13" s="353"/>
      <c r="DO13" s="353"/>
      <c r="DP13" s="353"/>
      <c r="DQ13" s="353"/>
      <c r="DR13" s="353"/>
      <c r="DS13" s="353"/>
      <c r="DT13" s="353"/>
      <c r="DU13" s="353"/>
      <c r="DV13" s="353"/>
      <c r="DW13" s="353"/>
      <c r="DX13" s="353"/>
      <c r="DY13" s="353"/>
      <c r="DZ13" s="353"/>
      <c r="EA13" s="353"/>
      <c r="EB13" s="353"/>
      <c r="EC13" s="353"/>
      <c r="ED13" s="353"/>
      <c r="EE13" s="353"/>
      <c r="EF13" s="353"/>
      <c r="EG13" s="353"/>
      <c r="EH13" s="353"/>
      <c r="EI13" s="353"/>
      <c r="EJ13" s="353"/>
      <c r="EK13" s="353"/>
      <c r="EL13" s="353"/>
      <c r="EM13" s="353"/>
      <c r="EN13" s="353"/>
      <c r="EO13" s="353"/>
      <c r="EP13" s="353"/>
      <c r="EQ13" s="353"/>
      <c r="ER13" s="353"/>
      <c r="ES13" s="353"/>
      <c r="ET13" s="353"/>
      <c r="EU13" s="353"/>
      <c r="EV13" s="353"/>
      <c r="EW13" s="353"/>
      <c r="EX13" s="353"/>
      <c r="EY13" s="353"/>
      <c r="EZ13" s="353"/>
      <c r="FA13" s="353"/>
      <c r="FB13" s="353"/>
      <c r="FC13" s="353"/>
      <c r="FD13" s="353"/>
      <c r="FE13" s="353"/>
      <c r="FF13" s="353"/>
      <c r="FG13" s="353"/>
      <c r="FH13" s="353"/>
      <c r="FI13" s="353"/>
      <c r="FJ13" s="353"/>
      <c r="FK13" s="353"/>
      <c r="FL13" s="353"/>
      <c r="FM13" s="353"/>
      <c r="FN13" s="353"/>
      <c r="FO13" s="353"/>
      <c r="FP13" s="353"/>
      <c r="FQ13" s="353"/>
      <c r="FR13" s="353"/>
      <c r="FS13" s="353"/>
      <c r="FT13" s="353"/>
      <c r="FU13" s="353"/>
      <c r="FV13" s="353"/>
      <c r="FW13" s="353"/>
      <c r="FX13" s="353"/>
      <c r="FY13" s="353"/>
      <c r="FZ13" s="353"/>
      <c r="GA13" s="353"/>
      <c r="GB13" s="353"/>
      <c r="GC13" s="353"/>
      <c r="GD13" s="353"/>
      <c r="GE13" s="353"/>
      <c r="GF13" s="353"/>
      <c r="GG13" s="353"/>
      <c r="GH13" s="353"/>
      <c r="GI13" s="353"/>
      <c r="GJ13" s="353"/>
      <c r="GK13" s="353"/>
      <c r="GL13" s="353"/>
      <c r="GM13" s="353"/>
      <c r="GN13" s="353"/>
      <c r="GO13" s="353"/>
      <c r="GP13" s="353"/>
      <c r="GQ13" s="353"/>
      <c r="GR13" s="353"/>
      <c r="GS13" s="353"/>
      <c r="GT13" s="353"/>
      <c r="GU13" s="353"/>
      <c r="GV13" s="353"/>
      <c r="GW13" s="353"/>
      <c r="GX13" s="353"/>
      <c r="GY13" s="353"/>
      <c r="GZ13" s="353"/>
      <c r="HA13" s="353"/>
      <c r="HB13" s="353"/>
      <c r="HC13" s="353"/>
      <c r="HD13" s="353"/>
      <c r="HE13" s="353"/>
      <c r="HF13" s="353"/>
      <c r="HG13" s="353"/>
      <c r="HH13" s="353"/>
      <c r="HI13" s="353"/>
      <c r="HJ13" s="353"/>
      <c r="HK13" s="353"/>
      <c r="HL13" s="353"/>
      <c r="HM13" s="353"/>
      <c r="HN13" s="353"/>
      <c r="HO13" s="353"/>
      <c r="HP13" s="353"/>
      <c r="HQ13" s="353"/>
      <c r="HR13" s="353"/>
      <c r="HS13" s="353"/>
      <c r="HT13" s="353"/>
      <c r="HU13" s="353"/>
      <c r="HV13" s="353"/>
      <c r="HW13" s="353"/>
      <c r="HX13" s="353"/>
      <c r="HY13" s="353"/>
      <c r="HZ13" s="353"/>
      <c r="IA13" s="353"/>
      <c r="IB13" s="353"/>
      <c r="IC13" s="353"/>
      <c r="ID13" s="353"/>
      <c r="IE13" s="353"/>
      <c r="IF13" s="353"/>
      <c r="IG13" s="353"/>
      <c r="IH13" s="353"/>
      <c r="II13" s="353"/>
      <c r="IJ13" s="353"/>
      <c r="IK13" s="353"/>
      <c r="IL13" s="353"/>
      <c r="IM13" s="353"/>
      <c r="IN13" s="353"/>
      <c r="IO13" s="353"/>
      <c r="IP13" s="353"/>
      <c r="IQ13" s="353"/>
      <c r="IR13" s="353"/>
      <c r="IS13" s="353"/>
      <c r="IT13" s="353"/>
      <c r="IU13" s="353"/>
      <c r="IV13" s="353"/>
      <c r="IW13" s="353"/>
    </row>
    <row r="14" customFormat="false" ht="15.95" hidden="false" customHeight="true" outlineLevel="0" collapsed="false">
      <c r="A14" s="355" t="n">
        <v>10</v>
      </c>
      <c r="B14" s="366"/>
      <c r="C14" s="356"/>
      <c r="D14" s="357"/>
      <c r="E14" s="356"/>
      <c r="F14" s="357"/>
      <c r="G14" s="357"/>
      <c r="H14" s="357"/>
      <c r="I14" s="357"/>
      <c r="J14" s="357"/>
      <c r="K14" s="359"/>
      <c r="L14" s="360"/>
      <c r="M14" s="361"/>
      <c r="N14" s="362"/>
      <c r="O14" s="352"/>
      <c r="P14" s="353"/>
      <c r="Q14" s="354"/>
      <c r="R14" s="354"/>
      <c r="S14" s="353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3"/>
      <c r="AG14" s="353"/>
      <c r="AH14" s="353"/>
      <c r="AI14" s="353"/>
      <c r="AJ14" s="353"/>
      <c r="AK14" s="353"/>
      <c r="AL14" s="353"/>
      <c r="AM14" s="353"/>
      <c r="AN14" s="353"/>
      <c r="AO14" s="353"/>
      <c r="AP14" s="353"/>
      <c r="AQ14" s="353"/>
      <c r="AR14" s="353"/>
      <c r="AS14" s="353"/>
      <c r="AT14" s="353"/>
      <c r="AU14" s="353"/>
      <c r="AV14" s="353"/>
      <c r="AW14" s="353"/>
      <c r="AX14" s="353"/>
      <c r="AY14" s="353"/>
      <c r="AZ14" s="353"/>
      <c r="BA14" s="353"/>
      <c r="BB14" s="353"/>
      <c r="BC14" s="353"/>
      <c r="BD14" s="353"/>
      <c r="BE14" s="353"/>
      <c r="BF14" s="353"/>
      <c r="BG14" s="353"/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353"/>
      <c r="BS14" s="353"/>
      <c r="BT14" s="353"/>
      <c r="BU14" s="353"/>
      <c r="BV14" s="353"/>
      <c r="BW14" s="353"/>
      <c r="BX14" s="353"/>
      <c r="BY14" s="353"/>
      <c r="BZ14" s="353"/>
      <c r="CA14" s="353"/>
      <c r="CB14" s="353"/>
      <c r="CC14" s="353"/>
      <c r="CD14" s="353"/>
      <c r="CE14" s="353"/>
      <c r="CF14" s="353"/>
      <c r="CG14" s="353"/>
      <c r="CH14" s="353"/>
      <c r="CI14" s="353"/>
      <c r="CJ14" s="353"/>
      <c r="CK14" s="353"/>
      <c r="CL14" s="353"/>
      <c r="CM14" s="353"/>
      <c r="CN14" s="353"/>
      <c r="CO14" s="353"/>
      <c r="CP14" s="353"/>
      <c r="CQ14" s="353"/>
      <c r="CR14" s="353"/>
      <c r="CS14" s="353"/>
      <c r="CT14" s="353"/>
      <c r="CU14" s="353"/>
      <c r="CV14" s="353"/>
      <c r="CW14" s="353"/>
      <c r="CX14" s="353"/>
      <c r="CY14" s="353"/>
      <c r="CZ14" s="353"/>
      <c r="DA14" s="353"/>
      <c r="DB14" s="353"/>
      <c r="DC14" s="353"/>
      <c r="DD14" s="353"/>
      <c r="DE14" s="353"/>
      <c r="DF14" s="353"/>
      <c r="DG14" s="353"/>
      <c r="DH14" s="353"/>
      <c r="DI14" s="353"/>
      <c r="DJ14" s="353"/>
      <c r="DK14" s="353"/>
      <c r="DL14" s="353"/>
      <c r="DM14" s="353"/>
      <c r="DN14" s="353"/>
      <c r="DO14" s="353"/>
      <c r="DP14" s="353"/>
      <c r="DQ14" s="353"/>
      <c r="DR14" s="353"/>
      <c r="DS14" s="353"/>
      <c r="DT14" s="353"/>
      <c r="DU14" s="353"/>
      <c r="DV14" s="353"/>
      <c r="DW14" s="353"/>
      <c r="DX14" s="353"/>
      <c r="DY14" s="353"/>
      <c r="DZ14" s="353"/>
      <c r="EA14" s="353"/>
      <c r="EB14" s="353"/>
      <c r="EC14" s="353"/>
      <c r="ED14" s="353"/>
      <c r="EE14" s="353"/>
      <c r="EF14" s="353"/>
      <c r="EG14" s="353"/>
      <c r="EH14" s="353"/>
      <c r="EI14" s="353"/>
      <c r="EJ14" s="353"/>
      <c r="EK14" s="353"/>
      <c r="EL14" s="353"/>
      <c r="EM14" s="353"/>
      <c r="EN14" s="353"/>
      <c r="EO14" s="353"/>
      <c r="EP14" s="353"/>
      <c r="EQ14" s="353"/>
      <c r="ER14" s="353"/>
      <c r="ES14" s="353"/>
      <c r="ET14" s="353"/>
      <c r="EU14" s="353"/>
      <c r="EV14" s="353"/>
      <c r="EW14" s="353"/>
      <c r="EX14" s="353"/>
      <c r="EY14" s="353"/>
      <c r="EZ14" s="353"/>
      <c r="FA14" s="353"/>
      <c r="FB14" s="353"/>
      <c r="FC14" s="353"/>
      <c r="FD14" s="353"/>
      <c r="FE14" s="353"/>
      <c r="FF14" s="353"/>
      <c r="FG14" s="353"/>
      <c r="FH14" s="353"/>
      <c r="FI14" s="353"/>
      <c r="FJ14" s="353"/>
      <c r="FK14" s="353"/>
      <c r="FL14" s="353"/>
      <c r="FM14" s="353"/>
      <c r="FN14" s="353"/>
      <c r="FO14" s="353"/>
      <c r="FP14" s="353"/>
      <c r="FQ14" s="353"/>
      <c r="FR14" s="353"/>
      <c r="FS14" s="353"/>
      <c r="FT14" s="353"/>
      <c r="FU14" s="353"/>
      <c r="FV14" s="353"/>
      <c r="FW14" s="353"/>
      <c r="FX14" s="353"/>
      <c r="FY14" s="353"/>
      <c r="FZ14" s="353"/>
      <c r="GA14" s="353"/>
      <c r="GB14" s="353"/>
      <c r="GC14" s="353"/>
      <c r="GD14" s="353"/>
      <c r="GE14" s="353"/>
      <c r="GF14" s="353"/>
      <c r="GG14" s="353"/>
      <c r="GH14" s="353"/>
      <c r="GI14" s="353"/>
      <c r="GJ14" s="353"/>
      <c r="GK14" s="353"/>
      <c r="GL14" s="353"/>
      <c r="GM14" s="353"/>
      <c r="GN14" s="353"/>
      <c r="GO14" s="353"/>
      <c r="GP14" s="353"/>
      <c r="GQ14" s="353"/>
      <c r="GR14" s="353"/>
      <c r="GS14" s="353"/>
      <c r="GT14" s="353"/>
      <c r="GU14" s="353"/>
      <c r="GV14" s="353"/>
      <c r="GW14" s="353"/>
      <c r="GX14" s="353"/>
      <c r="GY14" s="353"/>
      <c r="GZ14" s="353"/>
      <c r="HA14" s="353"/>
      <c r="HB14" s="353"/>
      <c r="HC14" s="353"/>
      <c r="HD14" s="353"/>
      <c r="HE14" s="353"/>
      <c r="HF14" s="353"/>
      <c r="HG14" s="353"/>
      <c r="HH14" s="353"/>
      <c r="HI14" s="353"/>
      <c r="HJ14" s="353"/>
      <c r="HK14" s="353"/>
      <c r="HL14" s="353"/>
      <c r="HM14" s="353"/>
      <c r="HN14" s="353"/>
      <c r="HO14" s="353"/>
      <c r="HP14" s="353"/>
      <c r="HQ14" s="353"/>
      <c r="HR14" s="353"/>
      <c r="HS14" s="353"/>
      <c r="HT14" s="353"/>
      <c r="HU14" s="353"/>
      <c r="HV14" s="353"/>
      <c r="HW14" s="353"/>
      <c r="HX14" s="353"/>
      <c r="HY14" s="353"/>
      <c r="HZ14" s="353"/>
      <c r="IA14" s="353"/>
      <c r="IB14" s="353"/>
      <c r="IC14" s="353"/>
      <c r="ID14" s="353"/>
      <c r="IE14" s="353"/>
      <c r="IF14" s="353"/>
      <c r="IG14" s="353"/>
      <c r="IH14" s="353"/>
      <c r="II14" s="353"/>
      <c r="IJ14" s="353"/>
      <c r="IK14" s="353"/>
      <c r="IL14" s="353"/>
      <c r="IM14" s="353"/>
      <c r="IN14" s="353"/>
      <c r="IO14" s="353"/>
      <c r="IP14" s="353"/>
      <c r="IQ14" s="353"/>
      <c r="IR14" s="353"/>
      <c r="IS14" s="353"/>
      <c r="IT14" s="353"/>
      <c r="IU14" s="353"/>
      <c r="IV14" s="353"/>
      <c r="IW14" s="353"/>
    </row>
    <row r="15" customFormat="false" ht="15.95" hidden="false" customHeight="true" outlineLevel="0" collapsed="false">
      <c r="A15" s="355" t="n">
        <v>11</v>
      </c>
      <c r="B15" s="366"/>
      <c r="C15" s="366"/>
      <c r="D15" s="367"/>
      <c r="E15" s="364"/>
      <c r="F15" s="367"/>
      <c r="G15" s="365"/>
      <c r="H15" s="357"/>
      <c r="I15" s="357"/>
      <c r="J15" s="357"/>
      <c r="K15" s="359"/>
      <c r="L15" s="360"/>
      <c r="M15" s="361"/>
      <c r="N15" s="362"/>
      <c r="O15" s="352"/>
      <c r="P15" s="353"/>
      <c r="Q15" s="354"/>
      <c r="R15" s="354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3"/>
      <c r="AV15" s="353"/>
      <c r="AW15" s="353"/>
      <c r="AX15" s="353"/>
      <c r="AY15" s="353"/>
      <c r="AZ15" s="353"/>
      <c r="BA15" s="353"/>
      <c r="BB15" s="353"/>
      <c r="BC15" s="353"/>
      <c r="BD15" s="353"/>
      <c r="BE15" s="353"/>
      <c r="BF15" s="353"/>
      <c r="BG15" s="353"/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353"/>
      <c r="BS15" s="353"/>
      <c r="BT15" s="353"/>
      <c r="BU15" s="353"/>
      <c r="BV15" s="353"/>
      <c r="BW15" s="353"/>
      <c r="BX15" s="353"/>
      <c r="BY15" s="353"/>
      <c r="BZ15" s="353"/>
      <c r="CA15" s="353"/>
      <c r="CB15" s="353"/>
      <c r="CC15" s="353"/>
      <c r="CD15" s="353"/>
      <c r="CE15" s="353"/>
      <c r="CF15" s="353"/>
      <c r="CG15" s="353"/>
      <c r="CH15" s="353"/>
      <c r="CI15" s="353"/>
      <c r="CJ15" s="353"/>
      <c r="CK15" s="353"/>
      <c r="CL15" s="353"/>
      <c r="CM15" s="353"/>
      <c r="CN15" s="353"/>
      <c r="CO15" s="353"/>
      <c r="CP15" s="353"/>
      <c r="CQ15" s="353"/>
      <c r="CR15" s="353"/>
      <c r="CS15" s="353"/>
      <c r="CT15" s="353"/>
      <c r="CU15" s="353"/>
      <c r="CV15" s="353"/>
      <c r="CW15" s="353"/>
      <c r="CX15" s="353"/>
      <c r="CY15" s="353"/>
      <c r="CZ15" s="353"/>
      <c r="DA15" s="353"/>
      <c r="DB15" s="353"/>
      <c r="DC15" s="353"/>
      <c r="DD15" s="353"/>
      <c r="DE15" s="353"/>
      <c r="DF15" s="353"/>
      <c r="DG15" s="353"/>
      <c r="DH15" s="353"/>
      <c r="DI15" s="353"/>
      <c r="DJ15" s="353"/>
      <c r="DK15" s="353"/>
      <c r="DL15" s="353"/>
      <c r="DM15" s="353"/>
      <c r="DN15" s="353"/>
      <c r="DO15" s="353"/>
      <c r="DP15" s="353"/>
      <c r="DQ15" s="353"/>
      <c r="DR15" s="353"/>
      <c r="DS15" s="353"/>
      <c r="DT15" s="353"/>
      <c r="DU15" s="353"/>
      <c r="DV15" s="353"/>
      <c r="DW15" s="353"/>
      <c r="DX15" s="353"/>
      <c r="DY15" s="353"/>
      <c r="DZ15" s="353"/>
      <c r="EA15" s="353"/>
      <c r="EB15" s="353"/>
      <c r="EC15" s="353"/>
      <c r="ED15" s="353"/>
      <c r="EE15" s="353"/>
      <c r="EF15" s="353"/>
      <c r="EG15" s="353"/>
      <c r="EH15" s="353"/>
      <c r="EI15" s="353"/>
      <c r="EJ15" s="353"/>
      <c r="EK15" s="353"/>
      <c r="EL15" s="353"/>
      <c r="EM15" s="353"/>
      <c r="EN15" s="353"/>
      <c r="EO15" s="353"/>
      <c r="EP15" s="353"/>
      <c r="EQ15" s="353"/>
      <c r="ER15" s="353"/>
      <c r="ES15" s="353"/>
      <c r="ET15" s="353"/>
      <c r="EU15" s="353"/>
      <c r="EV15" s="353"/>
      <c r="EW15" s="353"/>
      <c r="EX15" s="353"/>
      <c r="EY15" s="353"/>
      <c r="EZ15" s="353"/>
      <c r="FA15" s="353"/>
      <c r="FB15" s="353"/>
      <c r="FC15" s="353"/>
      <c r="FD15" s="353"/>
      <c r="FE15" s="353"/>
      <c r="FF15" s="353"/>
      <c r="FG15" s="353"/>
      <c r="FH15" s="353"/>
      <c r="FI15" s="353"/>
      <c r="FJ15" s="353"/>
      <c r="FK15" s="353"/>
      <c r="FL15" s="353"/>
      <c r="FM15" s="353"/>
      <c r="FN15" s="353"/>
      <c r="FO15" s="353"/>
      <c r="FP15" s="353"/>
      <c r="FQ15" s="353"/>
      <c r="FR15" s="353"/>
      <c r="FS15" s="353"/>
      <c r="FT15" s="353"/>
      <c r="FU15" s="353"/>
      <c r="FV15" s="353"/>
      <c r="FW15" s="353"/>
      <c r="FX15" s="353"/>
      <c r="FY15" s="353"/>
      <c r="FZ15" s="353"/>
      <c r="GA15" s="353"/>
      <c r="GB15" s="353"/>
      <c r="GC15" s="353"/>
      <c r="GD15" s="353"/>
      <c r="GE15" s="353"/>
      <c r="GF15" s="353"/>
      <c r="GG15" s="353"/>
      <c r="GH15" s="353"/>
      <c r="GI15" s="353"/>
      <c r="GJ15" s="353"/>
      <c r="GK15" s="353"/>
      <c r="GL15" s="353"/>
      <c r="GM15" s="353"/>
      <c r="GN15" s="353"/>
      <c r="GO15" s="353"/>
      <c r="GP15" s="353"/>
      <c r="GQ15" s="353"/>
      <c r="GR15" s="353"/>
      <c r="GS15" s="353"/>
      <c r="GT15" s="353"/>
      <c r="GU15" s="353"/>
      <c r="GV15" s="353"/>
      <c r="GW15" s="353"/>
      <c r="GX15" s="353"/>
      <c r="GY15" s="353"/>
      <c r="GZ15" s="353"/>
      <c r="HA15" s="353"/>
      <c r="HB15" s="353"/>
      <c r="HC15" s="353"/>
      <c r="HD15" s="353"/>
      <c r="HE15" s="353"/>
      <c r="HF15" s="353"/>
      <c r="HG15" s="353"/>
      <c r="HH15" s="353"/>
      <c r="HI15" s="353"/>
      <c r="HJ15" s="353"/>
      <c r="HK15" s="353"/>
      <c r="HL15" s="353"/>
      <c r="HM15" s="353"/>
      <c r="HN15" s="353"/>
      <c r="HO15" s="353"/>
      <c r="HP15" s="353"/>
      <c r="HQ15" s="353"/>
      <c r="HR15" s="353"/>
      <c r="HS15" s="353"/>
      <c r="HT15" s="353"/>
      <c r="HU15" s="353"/>
      <c r="HV15" s="353"/>
      <c r="HW15" s="353"/>
      <c r="HX15" s="353"/>
      <c r="HY15" s="353"/>
      <c r="HZ15" s="353"/>
      <c r="IA15" s="353"/>
      <c r="IB15" s="353"/>
      <c r="IC15" s="353"/>
      <c r="ID15" s="353"/>
      <c r="IE15" s="353"/>
      <c r="IF15" s="353"/>
      <c r="IG15" s="353"/>
      <c r="IH15" s="353"/>
      <c r="II15" s="353"/>
      <c r="IJ15" s="353"/>
      <c r="IK15" s="353"/>
      <c r="IL15" s="353"/>
      <c r="IM15" s="353"/>
      <c r="IN15" s="353"/>
      <c r="IO15" s="353"/>
      <c r="IP15" s="353"/>
      <c r="IQ15" s="353"/>
      <c r="IR15" s="353"/>
      <c r="IS15" s="353"/>
      <c r="IT15" s="353"/>
      <c r="IU15" s="353"/>
      <c r="IV15" s="353"/>
      <c r="IW15" s="353"/>
    </row>
    <row r="16" customFormat="false" ht="15.95" hidden="false" customHeight="true" outlineLevel="0" collapsed="false">
      <c r="A16" s="355" t="n">
        <v>12</v>
      </c>
      <c r="B16" s="356"/>
      <c r="C16" s="366"/>
      <c r="D16" s="367"/>
      <c r="E16" s="356"/>
      <c r="F16" s="357"/>
      <c r="G16" s="357"/>
      <c r="H16" s="357"/>
      <c r="I16" s="357"/>
      <c r="J16" s="357"/>
      <c r="K16" s="359"/>
      <c r="L16" s="360"/>
      <c r="M16" s="361"/>
      <c r="N16" s="362"/>
      <c r="O16" s="352"/>
      <c r="P16" s="353"/>
      <c r="Q16" s="354"/>
      <c r="R16" s="354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3"/>
      <c r="AG16" s="353"/>
      <c r="AH16" s="353"/>
      <c r="AI16" s="353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3"/>
      <c r="AV16" s="353"/>
      <c r="AW16" s="353"/>
      <c r="AX16" s="353"/>
      <c r="AY16" s="353"/>
      <c r="AZ16" s="353"/>
      <c r="BA16" s="353"/>
      <c r="BB16" s="353"/>
      <c r="BC16" s="353"/>
      <c r="BD16" s="353"/>
      <c r="BE16" s="353"/>
      <c r="BF16" s="353"/>
      <c r="BG16" s="353"/>
      <c r="BH16" s="353"/>
      <c r="BI16" s="353"/>
      <c r="BJ16" s="353"/>
      <c r="BK16" s="353"/>
      <c r="BL16" s="353"/>
      <c r="BM16" s="353"/>
      <c r="BN16" s="353"/>
      <c r="BO16" s="353"/>
      <c r="BP16" s="353"/>
      <c r="BQ16" s="353"/>
      <c r="BR16" s="353"/>
      <c r="BS16" s="353"/>
      <c r="BT16" s="353"/>
      <c r="BU16" s="353"/>
      <c r="BV16" s="353"/>
      <c r="BW16" s="353"/>
      <c r="BX16" s="353"/>
      <c r="BY16" s="353"/>
      <c r="BZ16" s="353"/>
      <c r="CA16" s="353"/>
      <c r="CB16" s="353"/>
      <c r="CC16" s="353"/>
      <c r="CD16" s="353"/>
      <c r="CE16" s="353"/>
      <c r="CF16" s="353"/>
      <c r="CG16" s="353"/>
      <c r="CH16" s="353"/>
      <c r="CI16" s="353"/>
      <c r="CJ16" s="353"/>
      <c r="CK16" s="353"/>
      <c r="CL16" s="353"/>
      <c r="CM16" s="353"/>
      <c r="CN16" s="353"/>
      <c r="CO16" s="353"/>
      <c r="CP16" s="353"/>
      <c r="CQ16" s="353"/>
      <c r="CR16" s="353"/>
      <c r="CS16" s="353"/>
      <c r="CT16" s="353"/>
      <c r="CU16" s="353"/>
      <c r="CV16" s="353"/>
      <c r="CW16" s="353"/>
      <c r="CX16" s="353"/>
      <c r="CY16" s="353"/>
      <c r="CZ16" s="353"/>
      <c r="DA16" s="353"/>
      <c r="DB16" s="353"/>
      <c r="DC16" s="353"/>
      <c r="DD16" s="353"/>
      <c r="DE16" s="353"/>
      <c r="DF16" s="353"/>
      <c r="DG16" s="353"/>
      <c r="DH16" s="353"/>
      <c r="DI16" s="353"/>
      <c r="DJ16" s="353"/>
      <c r="DK16" s="353"/>
      <c r="DL16" s="353"/>
      <c r="DM16" s="353"/>
      <c r="DN16" s="353"/>
      <c r="DO16" s="353"/>
      <c r="DP16" s="353"/>
      <c r="DQ16" s="353"/>
      <c r="DR16" s="353"/>
      <c r="DS16" s="353"/>
      <c r="DT16" s="353"/>
      <c r="DU16" s="353"/>
      <c r="DV16" s="353"/>
      <c r="DW16" s="353"/>
      <c r="DX16" s="353"/>
      <c r="DY16" s="353"/>
      <c r="DZ16" s="353"/>
      <c r="EA16" s="353"/>
      <c r="EB16" s="353"/>
      <c r="EC16" s="353"/>
      <c r="ED16" s="353"/>
      <c r="EE16" s="353"/>
      <c r="EF16" s="353"/>
      <c r="EG16" s="353"/>
      <c r="EH16" s="353"/>
      <c r="EI16" s="353"/>
      <c r="EJ16" s="353"/>
      <c r="EK16" s="353"/>
      <c r="EL16" s="353"/>
      <c r="EM16" s="353"/>
      <c r="EN16" s="353"/>
      <c r="EO16" s="353"/>
      <c r="EP16" s="353"/>
      <c r="EQ16" s="353"/>
      <c r="ER16" s="353"/>
      <c r="ES16" s="353"/>
      <c r="ET16" s="353"/>
      <c r="EU16" s="353"/>
      <c r="EV16" s="353"/>
      <c r="EW16" s="353"/>
      <c r="EX16" s="353"/>
      <c r="EY16" s="353"/>
      <c r="EZ16" s="353"/>
      <c r="FA16" s="353"/>
      <c r="FB16" s="353"/>
      <c r="FC16" s="353"/>
      <c r="FD16" s="353"/>
      <c r="FE16" s="353"/>
      <c r="FF16" s="353"/>
      <c r="FG16" s="353"/>
      <c r="FH16" s="353"/>
      <c r="FI16" s="353"/>
      <c r="FJ16" s="353"/>
      <c r="FK16" s="353"/>
      <c r="FL16" s="353"/>
      <c r="FM16" s="353"/>
      <c r="FN16" s="353"/>
      <c r="FO16" s="353"/>
      <c r="FP16" s="353"/>
      <c r="FQ16" s="353"/>
      <c r="FR16" s="353"/>
      <c r="FS16" s="353"/>
      <c r="FT16" s="353"/>
      <c r="FU16" s="353"/>
      <c r="FV16" s="353"/>
      <c r="FW16" s="353"/>
      <c r="FX16" s="353"/>
      <c r="FY16" s="353"/>
      <c r="FZ16" s="353"/>
      <c r="GA16" s="353"/>
      <c r="GB16" s="353"/>
      <c r="GC16" s="353"/>
      <c r="GD16" s="353"/>
      <c r="GE16" s="353"/>
      <c r="GF16" s="353"/>
      <c r="GG16" s="353"/>
      <c r="GH16" s="353"/>
      <c r="GI16" s="353"/>
      <c r="GJ16" s="353"/>
      <c r="GK16" s="353"/>
      <c r="GL16" s="353"/>
      <c r="GM16" s="353"/>
      <c r="GN16" s="353"/>
      <c r="GO16" s="353"/>
      <c r="GP16" s="353"/>
      <c r="GQ16" s="353"/>
      <c r="GR16" s="353"/>
      <c r="GS16" s="353"/>
      <c r="GT16" s="353"/>
      <c r="GU16" s="353"/>
      <c r="GV16" s="353"/>
      <c r="GW16" s="353"/>
      <c r="GX16" s="353"/>
      <c r="GY16" s="353"/>
      <c r="GZ16" s="353"/>
      <c r="HA16" s="353"/>
      <c r="HB16" s="353"/>
      <c r="HC16" s="353"/>
      <c r="HD16" s="353"/>
      <c r="HE16" s="353"/>
      <c r="HF16" s="353"/>
      <c r="HG16" s="353"/>
      <c r="HH16" s="353"/>
      <c r="HI16" s="353"/>
      <c r="HJ16" s="353"/>
      <c r="HK16" s="353"/>
      <c r="HL16" s="353"/>
      <c r="HM16" s="353"/>
      <c r="HN16" s="353"/>
      <c r="HO16" s="353"/>
      <c r="HP16" s="353"/>
      <c r="HQ16" s="353"/>
      <c r="HR16" s="353"/>
      <c r="HS16" s="353"/>
      <c r="HT16" s="353"/>
      <c r="HU16" s="353"/>
      <c r="HV16" s="353"/>
      <c r="HW16" s="353"/>
      <c r="HX16" s="353"/>
      <c r="HY16" s="353"/>
      <c r="HZ16" s="353"/>
      <c r="IA16" s="353"/>
      <c r="IB16" s="353"/>
      <c r="IC16" s="353"/>
      <c r="ID16" s="353"/>
      <c r="IE16" s="353"/>
      <c r="IF16" s="353"/>
      <c r="IG16" s="353"/>
      <c r="IH16" s="353"/>
      <c r="II16" s="353"/>
      <c r="IJ16" s="353"/>
      <c r="IK16" s="353"/>
      <c r="IL16" s="353"/>
      <c r="IM16" s="353"/>
      <c r="IN16" s="353"/>
      <c r="IO16" s="353"/>
      <c r="IP16" s="353"/>
      <c r="IQ16" s="353"/>
      <c r="IR16" s="353"/>
      <c r="IS16" s="353"/>
      <c r="IT16" s="353"/>
      <c r="IU16" s="353"/>
      <c r="IV16" s="353"/>
      <c r="IW16" s="353"/>
    </row>
    <row r="17" customFormat="false" ht="15.95" hidden="false" customHeight="true" outlineLevel="0" collapsed="false">
      <c r="A17" s="355" t="n">
        <v>13</v>
      </c>
      <c r="B17" s="356"/>
      <c r="C17" s="366"/>
      <c r="D17" s="367"/>
      <c r="E17" s="356"/>
      <c r="F17" s="357"/>
      <c r="G17" s="357"/>
      <c r="H17" s="357"/>
      <c r="I17" s="357"/>
      <c r="J17" s="357"/>
      <c r="K17" s="359"/>
      <c r="L17" s="360"/>
      <c r="M17" s="361"/>
      <c r="N17" s="362"/>
      <c r="O17" s="352"/>
      <c r="P17" s="344"/>
      <c r="Q17" s="354"/>
      <c r="R17" s="35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</row>
    <row r="18" customFormat="false" ht="15.95" hidden="false" customHeight="true" outlineLevel="0" collapsed="false">
      <c r="A18" s="355" t="n">
        <v>14</v>
      </c>
      <c r="B18" s="356"/>
      <c r="C18" s="356"/>
      <c r="D18" s="357"/>
      <c r="E18" s="356"/>
      <c r="F18" s="357"/>
      <c r="G18" s="357"/>
      <c r="H18" s="357"/>
      <c r="I18" s="357"/>
      <c r="J18" s="357"/>
      <c r="K18" s="359"/>
      <c r="L18" s="360"/>
      <c r="M18" s="361"/>
      <c r="N18" s="362"/>
      <c r="O18" s="352"/>
      <c r="P18" s="344"/>
      <c r="Q18" s="354"/>
      <c r="R18" s="35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</row>
    <row r="19" customFormat="false" ht="15.95" hidden="false" customHeight="true" outlineLevel="0" collapsed="false">
      <c r="A19" s="355" t="n">
        <v>15</v>
      </c>
      <c r="B19" s="356"/>
      <c r="C19" s="356"/>
      <c r="D19" s="357"/>
      <c r="E19" s="356"/>
      <c r="F19" s="357"/>
      <c r="G19" s="357"/>
      <c r="H19" s="357"/>
      <c r="I19" s="367"/>
      <c r="J19" s="367"/>
      <c r="K19" s="359"/>
      <c r="L19" s="360"/>
      <c r="M19" s="361"/>
      <c r="N19" s="362"/>
      <c r="O19" s="352"/>
      <c r="P19" s="353"/>
      <c r="Q19" s="354"/>
      <c r="R19" s="354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/>
      <c r="AX19" s="353"/>
      <c r="AY19" s="353"/>
      <c r="AZ19" s="353"/>
      <c r="BA19" s="353"/>
      <c r="BB19" s="353"/>
      <c r="BC19" s="353"/>
      <c r="BD19" s="353"/>
      <c r="BE19" s="353"/>
      <c r="BF19" s="353"/>
      <c r="BG19" s="353"/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353"/>
      <c r="BS19" s="353"/>
      <c r="BT19" s="353"/>
      <c r="BU19" s="353"/>
      <c r="BV19" s="353"/>
      <c r="BW19" s="353"/>
      <c r="BX19" s="353"/>
      <c r="BY19" s="353"/>
      <c r="BZ19" s="353"/>
      <c r="CA19" s="353"/>
      <c r="CB19" s="353"/>
      <c r="CC19" s="353"/>
      <c r="CD19" s="353"/>
      <c r="CE19" s="353"/>
      <c r="CF19" s="353"/>
      <c r="CG19" s="353"/>
      <c r="CH19" s="353"/>
      <c r="CI19" s="353"/>
      <c r="CJ19" s="353"/>
      <c r="CK19" s="353"/>
      <c r="CL19" s="353"/>
      <c r="CM19" s="353"/>
      <c r="CN19" s="353"/>
      <c r="CO19" s="353"/>
      <c r="CP19" s="353"/>
      <c r="CQ19" s="353"/>
      <c r="CR19" s="353"/>
      <c r="CS19" s="353"/>
      <c r="CT19" s="353"/>
      <c r="CU19" s="353"/>
      <c r="CV19" s="353"/>
      <c r="CW19" s="353"/>
      <c r="CX19" s="353"/>
      <c r="CY19" s="353"/>
      <c r="CZ19" s="353"/>
      <c r="DA19" s="353"/>
      <c r="DB19" s="353"/>
      <c r="DC19" s="353"/>
      <c r="DD19" s="353"/>
      <c r="DE19" s="353"/>
      <c r="DF19" s="353"/>
      <c r="DG19" s="353"/>
      <c r="DH19" s="353"/>
      <c r="DI19" s="353"/>
      <c r="DJ19" s="353"/>
      <c r="DK19" s="353"/>
      <c r="DL19" s="353"/>
      <c r="DM19" s="353"/>
      <c r="DN19" s="353"/>
      <c r="DO19" s="353"/>
      <c r="DP19" s="353"/>
      <c r="DQ19" s="353"/>
      <c r="DR19" s="353"/>
      <c r="DS19" s="353"/>
      <c r="DT19" s="353"/>
      <c r="DU19" s="353"/>
      <c r="DV19" s="353"/>
      <c r="DW19" s="353"/>
      <c r="DX19" s="353"/>
      <c r="DY19" s="353"/>
      <c r="DZ19" s="353"/>
      <c r="EA19" s="353"/>
      <c r="EB19" s="353"/>
      <c r="EC19" s="353"/>
      <c r="ED19" s="353"/>
      <c r="EE19" s="353"/>
      <c r="EF19" s="353"/>
      <c r="EG19" s="353"/>
      <c r="EH19" s="353"/>
      <c r="EI19" s="353"/>
      <c r="EJ19" s="353"/>
      <c r="EK19" s="353"/>
      <c r="EL19" s="353"/>
      <c r="EM19" s="353"/>
      <c r="EN19" s="353"/>
      <c r="EO19" s="353"/>
      <c r="EP19" s="353"/>
      <c r="EQ19" s="353"/>
      <c r="ER19" s="353"/>
      <c r="ES19" s="353"/>
      <c r="ET19" s="353"/>
      <c r="EU19" s="353"/>
      <c r="EV19" s="353"/>
      <c r="EW19" s="353"/>
      <c r="EX19" s="353"/>
      <c r="EY19" s="353"/>
      <c r="EZ19" s="353"/>
      <c r="FA19" s="353"/>
      <c r="FB19" s="353"/>
      <c r="FC19" s="353"/>
      <c r="FD19" s="353"/>
      <c r="FE19" s="353"/>
      <c r="FF19" s="353"/>
      <c r="FG19" s="353"/>
      <c r="FH19" s="353"/>
      <c r="FI19" s="353"/>
      <c r="FJ19" s="353"/>
      <c r="FK19" s="353"/>
      <c r="FL19" s="353"/>
      <c r="FM19" s="353"/>
      <c r="FN19" s="353"/>
      <c r="FO19" s="353"/>
      <c r="FP19" s="353"/>
      <c r="FQ19" s="353"/>
      <c r="FR19" s="353"/>
      <c r="FS19" s="353"/>
      <c r="FT19" s="353"/>
      <c r="FU19" s="353"/>
      <c r="FV19" s="353"/>
      <c r="FW19" s="353"/>
      <c r="FX19" s="353"/>
      <c r="FY19" s="353"/>
      <c r="FZ19" s="353"/>
      <c r="GA19" s="353"/>
      <c r="GB19" s="353"/>
      <c r="GC19" s="353"/>
      <c r="GD19" s="353"/>
      <c r="GE19" s="353"/>
      <c r="GF19" s="353"/>
      <c r="GG19" s="353"/>
      <c r="GH19" s="353"/>
      <c r="GI19" s="353"/>
      <c r="GJ19" s="353"/>
      <c r="GK19" s="353"/>
      <c r="GL19" s="353"/>
      <c r="GM19" s="353"/>
      <c r="GN19" s="353"/>
      <c r="GO19" s="353"/>
      <c r="GP19" s="353"/>
      <c r="GQ19" s="353"/>
      <c r="GR19" s="353"/>
      <c r="GS19" s="353"/>
      <c r="GT19" s="353"/>
      <c r="GU19" s="353"/>
      <c r="GV19" s="353"/>
      <c r="GW19" s="353"/>
      <c r="GX19" s="353"/>
      <c r="GY19" s="353"/>
      <c r="GZ19" s="353"/>
      <c r="HA19" s="353"/>
      <c r="HB19" s="353"/>
      <c r="HC19" s="353"/>
      <c r="HD19" s="353"/>
      <c r="HE19" s="353"/>
      <c r="HF19" s="353"/>
      <c r="HG19" s="353"/>
      <c r="HH19" s="353"/>
      <c r="HI19" s="353"/>
      <c r="HJ19" s="353"/>
      <c r="HK19" s="353"/>
      <c r="HL19" s="353"/>
      <c r="HM19" s="353"/>
      <c r="HN19" s="353"/>
      <c r="HO19" s="353"/>
      <c r="HP19" s="353"/>
      <c r="HQ19" s="353"/>
      <c r="HR19" s="353"/>
      <c r="HS19" s="353"/>
      <c r="HT19" s="353"/>
      <c r="HU19" s="353"/>
      <c r="HV19" s="353"/>
      <c r="HW19" s="353"/>
      <c r="HX19" s="353"/>
      <c r="HY19" s="353"/>
      <c r="HZ19" s="353"/>
      <c r="IA19" s="353"/>
      <c r="IB19" s="353"/>
      <c r="IC19" s="353"/>
      <c r="ID19" s="353"/>
      <c r="IE19" s="353"/>
      <c r="IF19" s="353"/>
      <c r="IG19" s="353"/>
      <c r="IH19" s="353"/>
      <c r="II19" s="353"/>
      <c r="IJ19" s="353"/>
      <c r="IK19" s="353"/>
      <c r="IL19" s="353"/>
      <c r="IM19" s="353"/>
      <c r="IN19" s="353"/>
      <c r="IO19" s="353"/>
      <c r="IP19" s="353"/>
      <c r="IQ19" s="353"/>
      <c r="IR19" s="353"/>
      <c r="IS19" s="353"/>
      <c r="IT19" s="353"/>
      <c r="IU19" s="353"/>
      <c r="IV19" s="353"/>
      <c r="IW19" s="353"/>
    </row>
    <row r="20" customFormat="false" ht="15.95" hidden="false" customHeight="true" outlineLevel="0" collapsed="false">
      <c r="A20" s="355" t="n">
        <v>16</v>
      </c>
      <c r="B20" s="366"/>
      <c r="C20" s="356"/>
      <c r="D20" s="357"/>
      <c r="E20" s="356"/>
      <c r="F20" s="357"/>
      <c r="G20" s="357"/>
      <c r="H20" s="357"/>
      <c r="I20" s="357"/>
      <c r="J20" s="357"/>
      <c r="K20" s="359"/>
      <c r="L20" s="360"/>
      <c r="M20" s="361"/>
      <c r="N20" s="362"/>
      <c r="O20" s="352"/>
      <c r="P20" s="368"/>
      <c r="Q20" s="354"/>
      <c r="R20" s="354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3"/>
      <c r="AG20" s="353"/>
      <c r="AH20" s="353"/>
      <c r="AI20" s="353"/>
      <c r="AJ20" s="353"/>
      <c r="AK20" s="353"/>
      <c r="AL20" s="353"/>
      <c r="AM20" s="353"/>
      <c r="AN20" s="353"/>
      <c r="AO20" s="353"/>
      <c r="AP20" s="363"/>
      <c r="AQ20" s="363"/>
      <c r="AR20" s="363"/>
      <c r="AS20" s="363"/>
      <c r="AT20" s="363"/>
      <c r="AU20" s="353"/>
      <c r="AV20" s="353"/>
      <c r="AW20" s="353"/>
      <c r="AX20" s="353"/>
      <c r="AY20" s="353"/>
      <c r="AZ20" s="363"/>
      <c r="BA20" s="363"/>
      <c r="BB20" s="363"/>
      <c r="BC20" s="363"/>
      <c r="BD20" s="363"/>
      <c r="BE20" s="363"/>
      <c r="BF20" s="363"/>
      <c r="BG20" s="363"/>
      <c r="BH20" s="363"/>
      <c r="BI20" s="363"/>
      <c r="BJ20" s="363"/>
      <c r="BK20" s="363"/>
      <c r="BL20" s="363"/>
      <c r="BM20" s="363"/>
      <c r="BN20" s="363"/>
      <c r="BO20" s="363"/>
      <c r="BP20" s="363"/>
      <c r="BQ20" s="363"/>
      <c r="BR20" s="363"/>
      <c r="BS20" s="363"/>
      <c r="BT20" s="363"/>
      <c r="BU20" s="363"/>
      <c r="BV20" s="363"/>
      <c r="BW20" s="363"/>
      <c r="BX20" s="363"/>
      <c r="BY20" s="363"/>
      <c r="BZ20" s="363"/>
      <c r="CA20" s="363"/>
      <c r="CB20" s="363"/>
      <c r="CC20" s="363"/>
      <c r="CD20" s="363"/>
      <c r="CE20" s="363"/>
      <c r="CF20" s="363"/>
      <c r="CG20" s="363"/>
      <c r="CH20" s="363"/>
      <c r="CI20" s="363"/>
      <c r="CJ20" s="363"/>
      <c r="CK20" s="363"/>
      <c r="CL20" s="363"/>
      <c r="CM20" s="363"/>
      <c r="CN20" s="363"/>
      <c r="CO20" s="363"/>
      <c r="CP20" s="363"/>
      <c r="CQ20" s="363"/>
      <c r="CR20" s="363"/>
      <c r="CS20" s="363"/>
      <c r="CT20" s="363"/>
      <c r="CU20" s="363"/>
      <c r="CV20" s="363"/>
      <c r="CW20" s="363"/>
      <c r="CX20" s="363"/>
      <c r="CY20" s="363"/>
      <c r="CZ20" s="353"/>
      <c r="DA20" s="353"/>
      <c r="DB20" s="353"/>
      <c r="DC20" s="353"/>
      <c r="DD20" s="353"/>
      <c r="DE20" s="353"/>
      <c r="DF20" s="353"/>
      <c r="DG20" s="353"/>
      <c r="DH20" s="353"/>
      <c r="DI20" s="353"/>
      <c r="DJ20" s="353"/>
      <c r="DK20" s="353"/>
      <c r="DL20" s="353"/>
      <c r="DM20" s="353"/>
      <c r="DN20" s="353"/>
      <c r="DO20" s="353"/>
      <c r="DP20" s="353"/>
      <c r="DQ20" s="353"/>
      <c r="DR20" s="353"/>
      <c r="DS20" s="353"/>
      <c r="DT20" s="353"/>
      <c r="DU20" s="353"/>
      <c r="DV20" s="353"/>
      <c r="DW20" s="353"/>
      <c r="DX20" s="353"/>
      <c r="DY20" s="353"/>
      <c r="DZ20" s="353"/>
      <c r="EA20" s="353"/>
      <c r="EB20" s="353"/>
      <c r="EC20" s="353"/>
      <c r="ED20" s="353"/>
      <c r="EE20" s="353"/>
      <c r="EF20" s="353"/>
      <c r="EG20" s="353"/>
      <c r="EH20" s="353"/>
      <c r="EI20" s="353"/>
      <c r="EJ20" s="353"/>
      <c r="EK20" s="353"/>
      <c r="EL20" s="353"/>
      <c r="EM20" s="353"/>
      <c r="EN20" s="353"/>
      <c r="EO20" s="353"/>
      <c r="EP20" s="353"/>
      <c r="EQ20" s="353"/>
      <c r="ER20" s="353"/>
      <c r="ES20" s="353"/>
      <c r="ET20" s="353"/>
      <c r="EU20" s="353"/>
      <c r="EV20" s="353"/>
      <c r="EW20" s="353"/>
      <c r="EX20" s="353"/>
      <c r="EY20" s="353"/>
      <c r="EZ20" s="353"/>
      <c r="FA20" s="353"/>
      <c r="FB20" s="353"/>
      <c r="FC20" s="353"/>
      <c r="FD20" s="353"/>
      <c r="FE20" s="353"/>
      <c r="FF20" s="353"/>
      <c r="FG20" s="353"/>
      <c r="FH20" s="353"/>
      <c r="FI20" s="353"/>
      <c r="FJ20" s="353"/>
      <c r="FK20" s="353"/>
      <c r="FL20" s="353"/>
      <c r="FM20" s="353"/>
      <c r="FN20" s="353"/>
      <c r="FO20" s="353"/>
      <c r="FP20" s="353"/>
      <c r="FQ20" s="353"/>
      <c r="FR20" s="353"/>
      <c r="FS20" s="353"/>
      <c r="FT20" s="353"/>
      <c r="FU20" s="353"/>
      <c r="FV20" s="353"/>
      <c r="FW20" s="353"/>
      <c r="FX20" s="353"/>
      <c r="FY20" s="353"/>
      <c r="FZ20" s="353"/>
      <c r="GA20" s="353"/>
      <c r="GB20" s="353"/>
      <c r="GC20" s="353"/>
      <c r="GD20" s="353"/>
      <c r="GE20" s="353"/>
      <c r="GF20" s="353"/>
      <c r="GG20" s="353"/>
      <c r="GH20" s="353"/>
      <c r="GI20" s="353"/>
      <c r="GJ20" s="353"/>
      <c r="GK20" s="353"/>
      <c r="GL20" s="353"/>
      <c r="GM20" s="353"/>
      <c r="GN20" s="353"/>
      <c r="GO20" s="353"/>
      <c r="GP20" s="353"/>
      <c r="GQ20" s="353"/>
      <c r="GR20" s="353"/>
      <c r="GS20" s="353"/>
      <c r="GT20" s="353"/>
      <c r="GU20" s="353"/>
      <c r="GV20" s="353"/>
      <c r="GW20" s="353"/>
      <c r="GX20" s="353"/>
      <c r="GY20" s="353"/>
      <c r="GZ20" s="353"/>
      <c r="HA20" s="353"/>
      <c r="HB20" s="353"/>
      <c r="HC20" s="353"/>
      <c r="HD20" s="353"/>
      <c r="HE20" s="353"/>
      <c r="HF20" s="353"/>
      <c r="HG20" s="353"/>
      <c r="HH20" s="353"/>
      <c r="HI20" s="353"/>
      <c r="HJ20" s="353"/>
      <c r="HK20" s="353"/>
      <c r="HL20" s="353"/>
      <c r="HM20" s="353"/>
      <c r="HN20" s="353"/>
      <c r="HO20" s="353"/>
      <c r="HP20" s="353"/>
      <c r="HQ20" s="353"/>
      <c r="HR20" s="353"/>
      <c r="HS20" s="353"/>
      <c r="HT20" s="353"/>
      <c r="HU20" s="353"/>
      <c r="HV20" s="353"/>
      <c r="HW20" s="353"/>
      <c r="HX20" s="353"/>
      <c r="HY20" s="353"/>
      <c r="HZ20" s="353"/>
      <c r="IA20" s="353"/>
      <c r="IB20" s="353"/>
      <c r="IC20" s="353"/>
      <c r="ID20" s="353"/>
      <c r="IE20" s="353"/>
      <c r="IF20" s="353"/>
      <c r="IG20" s="353"/>
      <c r="IH20" s="353"/>
      <c r="II20" s="353"/>
      <c r="IJ20" s="353"/>
      <c r="IK20" s="353"/>
      <c r="IL20" s="353"/>
      <c r="IM20" s="353"/>
      <c r="IN20" s="353"/>
      <c r="IO20" s="353"/>
      <c r="IP20" s="353"/>
      <c r="IQ20" s="353"/>
      <c r="IR20" s="353"/>
      <c r="IS20" s="353"/>
      <c r="IT20" s="353"/>
      <c r="IU20" s="353"/>
      <c r="IV20" s="353"/>
      <c r="IW20" s="353"/>
    </row>
    <row r="21" customFormat="false" ht="15.95" hidden="false" customHeight="true" outlineLevel="0" collapsed="false">
      <c r="A21" s="355" t="n">
        <v>17</v>
      </c>
      <c r="B21" s="366"/>
      <c r="C21" s="356"/>
      <c r="D21" s="357"/>
      <c r="E21" s="356"/>
      <c r="F21" s="357"/>
      <c r="G21" s="357"/>
      <c r="H21" s="357"/>
      <c r="I21" s="357"/>
      <c r="J21" s="357"/>
      <c r="K21" s="359"/>
      <c r="L21" s="360"/>
      <c r="M21" s="361"/>
      <c r="N21" s="362"/>
      <c r="O21" s="352"/>
      <c r="P21" s="344"/>
      <c r="Q21" s="369"/>
      <c r="R21" s="369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</row>
    <row r="22" customFormat="false" ht="15.95" hidden="false" customHeight="true" outlineLevel="0" collapsed="false">
      <c r="A22" s="355" t="n">
        <v>18</v>
      </c>
      <c r="B22" s="366"/>
      <c r="C22" s="356"/>
      <c r="D22" s="357"/>
      <c r="E22" s="366"/>
      <c r="F22" s="367"/>
      <c r="G22" s="367"/>
      <c r="H22" s="357"/>
      <c r="I22" s="367"/>
      <c r="J22" s="367"/>
      <c r="K22" s="367"/>
      <c r="L22" s="360"/>
      <c r="M22" s="361"/>
      <c r="N22" s="362"/>
      <c r="O22" s="352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</row>
    <row r="23" customFormat="false" ht="15.95" hidden="false" customHeight="true" outlineLevel="0" collapsed="false">
      <c r="A23" s="355" t="n">
        <v>19</v>
      </c>
      <c r="B23" s="366"/>
      <c r="C23" s="356"/>
      <c r="D23" s="357"/>
      <c r="E23" s="366"/>
      <c r="F23" s="367"/>
      <c r="G23" s="367"/>
      <c r="H23" s="357"/>
      <c r="I23" s="367"/>
      <c r="J23" s="367"/>
      <c r="K23" s="367"/>
      <c r="L23" s="360"/>
      <c r="M23" s="361"/>
      <c r="N23" s="362"/>
      <c r="O23" s="352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</row>
    <row r="24" customFormat="false" ht="15.95" hidden="false" customHeight="true" outlineLevel="0" collapsed="false">
      <c r="A24" s="355" t="n">
        <v>20</v>
      </c>
      <c r="B24" s="366"/>
      <c r="C24" s="366"/>
      <c r="D24" s="367"/>
      <c r="E24" s="366"/>
      <c r="F24" s="367"/>
      <c r="G24" s="367"/>
      <c r="H24" s="357"/>
      <c r="I24" s="367"/>
      <c r="J24" s="367"/>
      <c r="K24" s="367"/>
      <c r="L24" s="360"/>
      <c r="M24" s="361"/>
      <c r="N24" s="362"/>
      <c r="O24" s="352"/>
      <c r="P24" s="344"/>
      <c r="Q24" s="344"/>
      <c r="R24" s="344"/>
      <c r="S24" s="344"/>
      <c r="T24" s="344"/>
      <c r="U24" s="344"/>
      <c r="V24" s="344"/>
      <c r="W24" s="344"/>
      <c r="X24" s="344"/>
      <c r="Y24" s="344"/>
      <c r="Z24" s="344"/>
      <c r="AA24" s="344"/>
      <c r="AB24" s="344"/>
      <c r="AC24" s="344"/>
      <c r="AD24" s="344"/>
      <c r="AE24" s="344"/>
      <c r="AF24" s="344"/>
      <c r="AG24" s="344"/>
      <c r="AH24" s="344"/>
      <c r="AI24" s="344"/>
      <c r="AJ24" s="344"/>
      <c r="AK24" s="344"/>
      <c r="AL24" s="344"/>
      <c r="AM24" s="344"/>
      <c r="AN24" s="344"/>
      <c r="AO24" s="344"/>
      <c r="AP24" s="344"/>
      <c r="AQ24" s="344"/>
      <c r="AR24" s="344"/>
      <c r="AS24" s="344"/>
      <c r="AT24" s="344"/>
      <c r="AU24" s="344"/>
      <c r="AV24" s="344"/>
      <c r="AW24" s="344"/>
      <c r="AX24" s="344"/>
      <c r="AY24" s="344"/>
      <c r="AZ24" s="344"/>
      <c r="BA24" s="344"/>
      <c r="BB24" s="344"/>
      <c r="BC24" s="344"/>
      <c r="BD24" s="344"/>
      <c r="BE24" s="344"/>
      <c r="BF24" s="344"/>
      <c r="BG24" s="344"/>
      <c r="BH24" s="344"/>
      <c r="BI24" s="344"/>
      <c r="BJ24" s="344"/>
      <c r="BK24" s="344"/>
      <c r="BL24" s="344"/>
      <c r="BM24" s="344"/>
      <c r="BN24" s="344"/>
      <c r="BO24" s="344"/>
      <c r="BP24" s="344"/>
      <c r="BQ24" s="344"/>
      <c r="BR24" s="344"/>
      <c r="BS24" s="344"/>
      <c r="BT24" s="344"/>
      <c r="BU24" s="344"/>
      <c r="BV24" s="344"/>
      <c r="BW24" s="344"/>
      <c r="BX24" s="344"/>
      <c r="BY24" s="344"/>
      <c r="BZ24" s="344"/>
      <c r="CA24" s="344"/>
      <c r="CB24" s="344"/>
      <c r="CC24" s="344"/>
      <c r="CD24" s="344"/>
      <c r="CE24" s="344"/>
      <c r="CF24" s="344"/>
      <c r="CG24" s="344"/>
      <c r="CH24" s="344"/>
      <c r="CI24" s="344"/>
      <c r="CJ24" s="344"/>
      <c r="CK24" s="344"/>
      <c r="CL24" s="344"/>
      <c r="CM24" s="344"/>
      <c r="CN24" s="344"/>
      <c r="CO24" s="344"/>
      <c r="CP24" s="344"/>
      <c r="CQ24" s="344"/>
      <c r="CR24" s="344"/>
      <c r="CS24" s="344"/>
      <c r="CT24" s="344"/>
      <c r="CU24" s="344"/>
      <c r="CV24" s="344"/>
      <c r="CW24" s="344"/>
      <c r="CX24" s="344"/>
      <c r="CY24" s="344"/>
      <c r="CZ24" s="344"/>
      <c r="DA24" s="344"/>
      <c r="DB24" s="344"/>
      <c r="DC24" s="344"/>
      <c r="DD24" s="344"/>
      <c r="DE24" s="344"/>
      <c r="DF24" s="344"/>
      <c r="DG24" s="344"/>
      <c r="DH24" s="344"/>
      <c r="DI24" s="344"/>
      <c r="DJ24" s="344"/>
      <c r="DK24" s="344"/>
      <c r="DL24" s="344"/>
      <c r="DM24" s="344"/>
      <c r="DN24" s="344"/>
      <c r="DO24" s="344"/>
      <c r="DP24" s="344"/>
      <c r="DQ24" s="344"/>
      <c r="DR24" s="344"/>
      <c r="DS24" s="344"/>
      <c r="DT24" s="344"/>
      <c r="DU24" s="344"/>
      <c r="DV24" s="344"/>
      <c r="DW24" s="344"/>
      <c r="DX24" s="344"/>
      <c r="DY24" s="344"/>
      <c r="DZ24" s="344"/>
      <c r="EA24" s="344"/>
      <c r="EB24" s="344"/>
      <c r="EC24" s="344"/>
      <c r="ED24" s="344"/>
      <c r="EE24" s="344"/>
      <c r="EF24" s="344"/>
      <c r="EG24" s="344"/>
      <c r="EH24" s="344"/>
      <c r="EI24" s="344"/>
      <c r="EJ24" s="344"/>
      <c r="EK24" s="344"/>
      <c r="EL24" s="344"/>
      <c r="EM24" s="344"/>
      <c r="EN24" s="344"/>
      <c r="EO24" s="344"/>
      <c r="EP24" s="344"/>
      <c r="EQ24" s="344"/>
      <c r="ER24" s="344"/>
      <c r="ES24" s="344"/>
      <c r="ET24" s="344"/>
      <c r="EU24" s="344"/>
      <c r="EV24" s="344"/>
      <c r="EW24" s="344"/>
      <c r="EX24" s="344"/>
      <c r="EY24" s="344"/>
      <c r="EZ24" s="344"/>
      <c r="FA24" s="344"/>
      <c r="FB24" s="344"/>
      <c r="FC24" s="344"/>
      <c r="FD24" s="344"/>
      <c r="FE24" s="344"/>
      <c r="FF24" s="344"/>
      <c r="FG24" s="344"/>
      <c r="FH24" s="344"/>
      <c r="FI24" s="344"/>
      <c r="FJ24" s="344"/>
      <c r="FK24" s="344"/>
      <c r="FL24" s="344"/>
      <c r="FM24" s="344"/>
      <c r="FN24" s="344"/>
      <c r="FO24" s="344"/>
      <c r="FP24" s="344"/>
      <c r="FQ24" s="344"/>
      <c r="FR24" s="344"/>
      <c r="FS24" s="344"/>
      <c r="FT24" s="344"/>
      <c r="FU24" s="344"/>
      <c r="FV24" s="344"/>
      <c r="FW24" s="344"/>
      <c r="FX24" s="344"/>
      <c r="FY24" s="344"/>
      <c r="FZ24" s="344"/>
      <c r="GA24" s="344"/>
      <c r="GB24" s="344"/>
      <c r="GC24" s="344"/>
      <c r="GD24" s="344"/>
      <c r="GE24" s="344"/>
      <c r="GF24" s="344"/>
      <c r="GG24" s="344"/>
      <c r="GH24" s="344"/>
      <c r="GI24" s="344"/>
      <c r="GJ24" s="344"/>
      <c r="GK24" s="344"/>
      <c r="GL24" s="344"/>
      <c r="GM24" s="344"/>
      <c r="GN24" s="344"/>
      <c r="GO24" s="344"/>
      <c r="GP24" s="344"/>
      <c r="GQ24" s="344"/>
      <c r="GR24" s="344"/>
      <c r="GS24" s="344"/>
      <c r="GT24" s="344"/>
      <c r="GU24" s="344"/>
      <c r="GV24" s="344"/>
      <c r="GW24" s="344"/>
      <c r="GX24" s="344"/>
      <c r="GY24" s="344"/>
      <c r="GZ24" s="344"/>
      <c r="HA24" s="344"/>
      <c r="HB24" s="344"/>
      <c r="HC24" s="344"/>
      <c r="HD24" s="344"/>
      <c r="HE24" s="344"/>
      <c r="HF24" s="344"/>
      <c r="HG24" s="344"/>
      <c r="HH24" s="344"/>
      <c r="HI24" s="344"/>
      <c r="HJ24" s="344"/>
      <c r="HK24" s="344"/>
      <c r="HL24" s="344"/>
      <c r="HM24" s="344"/>
      <c r="HN24" s="344"/>
      <c r="HO24" s="344"/>
      <c r="HP24" s="344"/>
      <c r="HQ24" s="344"/>
      <c r="HR24" s="344"/>
      <c r="HS24" s="344"/>
      <c r="HT24" s="344"/>
      <c r="HU24" s="344"/>
      <c r="HV24" s="344"/>
      <c r="HW24" s="344"/>
      <c r="HX24" s="344"/>
      <c r="HY24" s="344"/>
      <c r="HZ24" s="344"/>
      <c r="IA24" s="344"/>
      <c r="IB24" s="344"/>
      <c r="IC24" s="344"/>
      <c r="ID24" s="344"/>
      <c r="IE24" s="344"/>
      <c r="IF24" s="344"/>
      <c r="IG24" s="344"/>
      <c r="IH24" s="344"/>
      <c r="II24" s="344"/>
      <c r="IJ24" s="344"/>
      <c r="IK24" s="344"/>
      <c r="IL24" s="344"/>
      <c r="IM24" s="344"/>
      <c r="IN24" s="344"/>
      <c r="IO24" s="344"/>
      <c r="IP24" s="344"/>
      <c r="IQ24" s="344"/>
      <c r="IR24" s="344"/>
      <c r="IS24" s="344"/>
      <c r="IT24" s="344"/>
      <c r="IU24" s="344"/>
      <c r="IV24" s="344"/>
      <c r="IW24" s="344"/>
    </row>
    <row r="25" customFormat="false" ht="15.95" hidden="false" customHeight="true" outlineLevel="0" collapsed="false">
      <c r="A25" s="355" t="n">
        <v>21</v>
      </c>
      <c r="B25" s="356"/>
      <c r="C25" s="366"/>
      <c r="D25" s="367"/>
      <c r="E25" s="366"/>
      <c r="F25" s="367"/>
      <c r="G25" s="367"/>
      <c r="H25" s="357"/>
      <c r="I25" s="367"/>
      <c r="J25" s="367"/>
      <c r="K25" s="367"/>
      <c r="L25" s="360"/>
      <c r="M25" s="361"/>
      <c r="N25" s="362"/>
      <c r="O25" s="352"/>
      <c r="P25" s="344"/>
      <c r="Q25" s="344"/>
      <c r="R25" s="344"/>
      <c r="S25" s="344"/>
      <c r="T25" s="344"/>
      <c r="U25" s="344"/>
      <c r="V25" s="344"/>
      <c r="W25" s="344"/>
      <c r="X25" s="344"/>
      <c r="Y25" s="344"/>
      <c r="Z25" s="344"/>
      <c r="AA25" s="344"/>
      <c r="AB25" s="344"/>
      <c r="AC25" s="344"/>
      <c r="AD25" s="344"/>
      <c r="AE25" s="344"/>
      <c r="AF25" s="344"/>
      <c r="AG25" s="344"/>
      <c r="AH25" s="344"/>
      <c r="AI25" s="344"/>
      <c r="AJ25" s="344"/>
      <c r="AK25" s="344"/>
      <c r="AL25" s="344"/>
      <c r="AM25" s="344"/>
      <c r="AN25" s="344"/>
      <c r="AO25" s="344"/>
      <c r="AP25" s="344"/>
      <c r="AQ25" s="344"/>
      <c r="AR25" s="344"/>
      <c r="AS25" s="344"/>
      <c r="AT25" s="344"/>
      <c r="AU25" s="344"/>
      <c r="AV25" s="344"/>
      <c r="AW25" s="344"/>
      <c r="AX25" s="344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  <c r="BN25" s="344"/>
      <c r="BO25" s="344"/>
      <c r="BP25" s="344"/>
      <c r="BQ25" s="344"/>
      <c r="BR25" s="344"/>
      <c r="BS25" s="344"/>
      <c r="BT25" s="344"/>
      <c r="BU25" s="344"/>
      <c r="BV25" s="344"/>
      <c r="BW25" s="344"/>
      <c r="BX25" s="344"/>
      <c r="BY25" s="344"/>
      <c r="BZ25" s="344"/>
      <c r="CA25" s="344"/>
      <c r="CB25" s="344"/>
      <c r="CC25" s="344"/>
      <c r="CD25" s="344"/>
      <c r="CE25" s="344"/>
      <c r="CF25" s="344"/>
      <c r="CG25" s="344"/>
      <c r="CH25" s="344"/>
      <c r="CI25" s="344"/>
      <c r="CJ25" s="344"/>
      <c r="CK25" s="344"/>
      <c r="CL25" s="344"/>
      <c r="CM25" s="344"/>
      <c r="CN25" s="344"/>
      <c r="CO25" s="344"/>
      <c r="CP25" s="344"/>
      <c r="CQ25" s="344"/>
      <c r="CR25" s="344"/>
      <c r="CS25" s="344"/>
      <c r="CT25" s="344"/>
      <c r="CU25" s="344"/>
      <c r="CV25" s="344"/>
      <c r="CW25" s="344"/>
      <c r="CX25" s="344"/>
      <c r="CY25" s="344"/>
      <c r="CZ25" s="344"/>
      <c r="DA25" s="344"/>
      <c r="DB25" s="344"/>
      <c r="DC25" s="344"/>
      <c r="DD25" s="344"/>
      <c r="DE25" s="344"/>
      <c r="DF25" s="344"/>
      <c r="DG25" s="344"/>
      <c r="DH25" s="344"/>
      <c r="DI25" s="344"/>
      <c r="DJ25" s="344"/>
      <c r="DK25" s="344"/>
      <c r="DL25" s="344"/>
      <c r="DM25" s="344"/>
      <c r="DN25" s="344"/>
      <c r="DO25" s="344"/>
      <c r="DP25" s="344"/>
      <c r="DQ25" s="344"/>
      <c r="DR25" s="344"/>
      <c r="DS25" s="344"/>
      <c r="DT25" s="344"/>
      <c r="DU25" s="344"/>
      <c r="DV25" s="344"/>
      <c r="DW25" s="344"/>
      <c r="DX25" s="344"/>
      <c r="DY25" s="344"/>
      <c r="DZ25" s="344"/>
      <c r="EA25" s="344"/>
      <c r="EB25" s="344"/>
      <c r="EC25" s="344"/>
      <c r="ED25" s="344"/>
      <c r="EE25" s="344"/>
      <c r="EF25" s="344"/>
      <c r="EG25" s="344"/>
      <c r="EH25" s="344"/>
      <c r="EI25" s="344"/>
      <c r="EJ25" s="344"/>
      <c r="EK25" s="344"/>
      <c r="EL25" s="344"/>
      <c r="EM25" s="344"/>
      <c r="EN25" s="344"/>
      <c r="EO25" s="344"/>
      <c r="EP25" s="344"/>
      <c r="EQ25" s="344"/>
      <c r="ER25" s="344"/>
      <c r="ES25" s="344"/>
      <c r="ET25" s="344"/>
      <c r="EU25" s="344"/>
      <c r="EV25" s="344"/>
      <c r="EW25" s="344"/>
      <c r="EX25" s="344"/>
      <c r="EY25" s="344"/>
      <c r="EZ25" s="344"/>
      <c r="FA25" s="344"/>
      <c r="FB25" s="344"/>
      <c r="FC25" s="344"/>
      <c r="FD25" s="344"/>
      <c r="FE25" s="344"/>
      <c r="FF25" s="344"/>
      <c r="FG25" s="344"/>
      <c r="FH25" s="344"/>
      <c r="FI25" s="344"/>
      <c r="FJ25" s="344"/>
      <c r="FK25" s="344"/>
      <c r="FL25" s="344"/>
      <c r="FM25" s="344"/>
      <c r="FN25" s="344"/>
      <c r="FO25" s="344"/>
      <c r="FP25" s="344"/>
      <c r="FQ25" s="344"/>
      <c r="FR25" s="344"/>
      <c r="FS25" s="344"/>
      <c r="FT25" s="344"/>
      <c r="FU25" s="344"/>
      <c r="FV25" s="344"/>
      <c r="FW25" s="344"/>
      <c r="FX25" s="344"/>
      <c r="FY25" s="344"/>
      <c r="FZ25" s="344"/>
      <c r="GA25" s="344"/>
      <c r="GB25" s="344"/>
      <c r="GC25" s="344"/>
      <c r="GD25" s="344"/>
      <c r="GE25" s="344"/>
      <c r="GF25" s="344"/>
      <c r="GG25" s="344"/>
      <c r="GH25" s="344"/>
      <c r="GI25" s="344"/>
      <c r="GJ25" s="344"/>
      <c r="GK25" s="344"/>
      <c r="GL25" s="344"/>
      <c r="GM25" s="344"/>
      <c r="GN25" s="344"/>
      <c r="GO25" s="344"/>
      <c r="GP25" s="344"/>
      <c r="GQ25" s="344"/>
      <c r="GR25" s="344"/>
      <c r="GS25" s="344"/>
      <c r="GT25" s="344"/>
      <c r="GU25" s="344"/>
      <c r="GV25" s="344"/>
      <c r="GW25" s="344"/>
      <c r="GX25" s="344"/>
      <c r="GY25" s="344"/>
      <c r="GZ25" s="344"/>
      <c r="HA25" s="344"/>
      <c r="HB25" s="344"/>
      <c r="HC25" s="344"/>
      <c r="HD25" s="344"/>
      <c r="HE25" s="344"/>
      <c r="HF25" s="344"/>
      <c r="HG25" s="344"/>
      <c r="HH25" s="344"/>
      <c r="HI25" s="344"/>
      <c r="HJ25" s="344"/>
      <c r="HK25" s="344"/>
      <c r="HL25" s="344"/>
      <c r="HM25" s="344"/>
      <c r="HN25" s="344"/>
      <c r="HO25" s="344"/>
      <c r="HP25" s="344"/>
      <c r="HQ25" s="344"/>
      <c r="HR25" s="344"/>
      <c r="HS25" s="344"/>
      <c r="HT25" s="344"/>
      <c r="HU25" s="344"/>
      <c r="HV25" s="344"/>
      <c r="HW25" s="344"/>
      <c r="HX25" s="344"/>
      <c r="HY25" s="344"/>
      <c r="HZ25" s="344"/>
      <c r="IA25" s="344"/>
      <c r="IB25" s="344"/>
      <c r="IC25" s="344"/>
      <c r="ID25" s="344"/>
      <c r="IE25" s="344"/>
      <c r="IF25" s="344"/>
      <c r="IG25" s="344"/>
      <c r="IH25" s="344"/>
      <c r="II25" s="344"/>
      <c r="IJ25" s="344"/>
      <c r="IK25" s="344"/>
      <c r="IL25" s="344"/>
      <c r="IM25" s="344"/>
      <c r="IN25" s="344"/>
      <c r="IO25" s="344"/>
      <c r="IP25" s="344"/>
      <c r="IQ25" s="344"/>
      <c r="IR25" s="344"/>
      <c r="IS25" s="344"/>
      <c r="IT25" s="344"/>
      <c r="IU25" s="344"/>
      <c r="IV25" s="344"/>
      <c r="IW25" s="344"/>
    </row>
    <row r="26" customFormat="false" ht="15.95" hidden="false" customHeight="true" outlineLevel="0" collapsed="false">
      <c r="A26" s="355" t="n">
        <v>22</v>
      </c>
      <c r="B26" s="356"/>
      <c r="C26" s="366"/>
      <c r="D26" s="357"/>
      <c r="E26" s="366"/>
      <c r="F26" s="367"/>
      <c r="G26" s="367"/>
      <c r="H26" s="357"/>
      <c r="I26" s="367"/>
      <c r="J26" s="367"/>
      <c r="K26" s="367"/>
      <c r="L26" s="360"/>
      <c r="M26" s="361"/>
      <c r="N26" s="362"/>
      <c r="O26" s="352"/>
      <c r="P26" s="353"/>
      <c r="Q26" s="353"/>
      <c r="R26" s="353"/>
      <c r="S26" s="353"/>
      <c r="T26" s="353"/>
      <c r="U26" s="353"/>
      <c r="V26" s="353"/>
      <c r="W26" s="353"/>
      <c r="X26" s="353"/>
      <c r="Y26" s="353"/>
      <c r="Z26" s="353"/>
      <c r="AA26" s="353"/>
      <c r="AB26" s="353"/>
      <c r="AC26" s="353"/>
      <c r="AD26" s="353"/>
      <c r="AE26" s="353"/>
      <c r="AF26" s="353"/>
      <c r="AG26" s="353"/>
      <c r="AH26" s="353"/>
      <c r="AI26" s="353"/>
      <c r="AJ26" s="353"/>
      <c r="AK26" s="353"/>
      <c r="AL26" s="353"/>
      <c r="AM26" s="353"/>
      <c r="AN26" s="353"/>
      <c r="AO26" s="353"/>
      <c r="AP26" s="353"/>
      <c r="AQ26" s="353"/>
      <c r="AR26" s="353"/>
      <c r="AS26" s="353"/>
      <c r="AT26" s="353"/>
      <c r="AU26" s="353"/>
      <c r="AV26" s="353"/>
      <c r="AW26" s="353"/>
      <c r="AX26" s="353"/>
      <c r="AY26" s="353"/>
      <c r="AZ26" s="353"/>
      <c r="BA26" s="353"/>
      <c r="BB26" s="353"/>
      <c r="BC26" s="353"/>
      <c r="BD26" s="353"/>
      <c r="BE26" s="353"/>
      <c r="BF26" s="353"/>
      <c r="BG26" s="353"/>
      <c r="BH26" s="353"/>
      <c r="BI26" s="353"/>
      <c r="BJ26" s="353"/>
      <c r="BK26" s="353"/>
      <c r="BL26" s="353"/>
      <c r="BM26" s="353"/>
      <c r="BN26" s="353"/>
      <c r="BO26" s="353"/>
      <c r="BP26" s="353"/>
      <c r="BQ26" s="353"/>
      <c r="BR26" s="353"/>
      <c r="BS26" s="353"/>
      <c r="BT26" s="353"/>
      <c r="BU26" s="353"/>
      <c r="BV26" s="353"/>
      <c r="BW26" s="353"/>
      <c r="BX26" s="353"/>
      <c r="BY26" s="353"/>
      <c r="BZ26" s="353"/>
      <c r="CA26" s="353"/>
      <c r="CB26" s="353"/>
      <c r="CC26" s="353"/>
      <c r="CD26" s="353"/>
      <c r="CE26" s="353"/>
      <c r="CF26" s="353"/>
      <c r="CG26" s="353"/>
      <c r="CH26" s="353"/>
      <c r="CI26" s="353"/>
      <c r="CJ26" s="353"/>
      <c r="CK26" s="353"/>
      <c r="CL26" s="353"/>
      <c r="CM26" s="353"/>
      <c r="CN26" s="353"/>
      <c r="CO26" s="353"/>
      <c r="CP26" s="353"/>
      <c r="CQ26" s="353"/>
      <c r="CR26" s="353"/>
      <c r="CS26" s="353"/>
      <c r="CT26" s="353"/>
      <c r="CU26" s="353"/>
      <c r="CV26" s="353"/>
      <c r="CW26" s="353"/>
      <c r="CX26" s="353"/>
      <c r="CY26" s="353"/>
      <c r="CZ26" s="353"/>
      <c r="DA26" s="353"/>
      <c r="DB26" s="353"/>
      <c r="DC26" s="353"/>
      <c r="DD26" s="353"/>
      <c r="DE26" s="353"/>
      <c r="DF26" s="353"/>
      <c r="DG26" s="353"/>
      <c r="DH26" s="353"/>
      <c r="DI26" s="353"/>
      <c r="DJ26" s="353"/>
      <c r="DK26" s="353"/>
      <c r="DL26" s="353"/>
      <c r="DM26" s="353"/>
      <c r="DN26" s="353"/>
      <c r="DO26" s="353"/>
      <c r="DP26" s="353"/>
      <c r="DQ26" s="353"/>
      <c r="DR26" s="353"/>
      <c r="DS26" s="353"/>
      <c r="DT26" s="353"/>
      <c r="DU26" s="353"/>
      <c r="DV26" s="353"/>
      <c r="DW26" s="353"/>
      <c r="DX26" s="353"/>
      <c r="DY26" s="353"/>
      <c r="DZ26" s="353"/>
      <c r="EA26" s="353"/>
      <c r="EB26" s="353"/>
      <c r="EC26" s="353"/>
      <c r="ED26" s="353"/>
      <c r="EE26" s="353"/>
      <c r="EF26" s="353"/>
      <c r="EG26" s="353"/>
      <c r="EH26" s="353"/>
      <c r="EI26" s="353"/>
      <c r="EJ26" s="353"/>
      <c r="EK26" s="353"/>
      <c r="EL26" s="353"/>
      <c r="EM26" s="353"/>
      <c r="EN26" s="353"/>
      <c r="EO26" s="353"/>
      <c r="EP26" s="353"/>
      <c r="EQ26" s="353"/>
      <c r="ER26" s="353"/>
      <c r="ES26" s="353"/>
      <c r="ET26" s="353"/>
      <c r="EU26" s="353"/>
      <c r="EV26" s="353"/>
      <c r="EW26" s="353"/>
      <c r="EX26" s="353"/>
      <c r="EY26" s="353"/>
      <c r="EZ26" s="353"/>
      <c r="FA26" s="353"/>
      <c r="FB26" s="353"/>
      <c r="FC26" s="353"/>
      <c r="FD26" s="353"/>
      <c r="FE26" s="353"/>
      <c r="FF26" s="353"/>
      <c r="FG26" s="353"/>
      <c r="FH26" s="353"/>
      <c r="FI26" s="353"/>
      <c r="FJ26" s="353"/>
      <c r="FK26" s="353"/>
      <c r="FL26" s="353"/>
      <c r="FM26" s="353"/>
      <c r="FN26" s="353"/>
      <c r="FO26" s="353"/>
      <c r="FP26" s="353"/>
      <c r="FQ26" s="353"/>
      <c r="FR26" s="353"/>
      <c r="FS26" s="353"/>
      <c r="FT26" s="353"/>
      <c r="FU26" s="353"/>
      <c r="FV26" s="353"/>
      <c r="FW26" s="353"/>
      <c r="FX26" s="353"/>
      <c r="FY26" s="353"/>
      <c r="FZ26" s="353"/>
      <c r="GA26" s="353"/>
      <c r="GB26" s="353"/>
      <c r="GC26" s="353"/>
      <c r="GD26" s="353"/>
      <c r="GE26" s="353"/>
      <c r="GF26" s="353"/>
      <c r="GG26" s="353"/>
      <c r="GH26" s="353"/>
      <c r="GI26" s="353"/>
      <c r="GJ26" s="353"/>
      <c r="GK26" s="353"/>
      <c r="GL26" s="353"/>
      <c r="GM26" s="353"/>
      <c r="GN26" s="353"/>
      <c r="GO26" s="353"/>
      <c r="GP26" s="353"/>
      <c r="GQ26" s="353"/>
      <c r="GR26" s="353"/>
      <c r="GS26" s="353"/>
      <c r="GT26" s="353"/>
      <c r="GU26" s="353"/>
      <c r="GV26" s="353"/>
      <c r="GW26" s="353"/>
      <c r="GX26" s="353"/>
      <c r="GY26" s="353"/>
      <c r="GZ26" s="353"/>
      <c r="HA26" s="353"/>
      <c r="HB26" s="353"/>
      <c r="HC26" s="353"/>
      <c r="HD26" s="353"/>
      <c r="HE26" s="353"/>
      <c r="HF26" s="353"/>
      <c r="HG26" s="353"/>
      <c r="HH26" s="353"/>
      <c r="HI26" s="353"/>
      <c r="HJ26" s="353"/>
      <c r="HK26" s="353"/>
      <c r="HL26" s="353"/>
      <c r="HM26" s="353"/>
      <c r="HN26" s="353"/>
      <c r="HO26" s="353"/>
      <c r="HP26" s="353"/>
      <c r="HQ26" s="353"/>
      <c r="HR26" s="353"/>
      <c r="HS26" s="353"/>
      <c r="HT26" s="353"/>
      <c r="HU26" s="353"/>
      <c r="HV26" s="353"/>
      <c r="HW26" s="353"/>
      <c r="HX26" s="353"/>
      <c r="HY26" s="353"/>
      <c r="HZ26" s="353"/>
      <c r="IA26" s="353"/>
      <c r="IB26" s="353"/>
      <c r="IC26" s="353"/>
      <c r="ID26" s="353"/>
      <c r="IE26" s="353"/>
      <c r="IF26" s="353"/>
      <c r="IG26" s="353"/>
      <c r="IH26" s="353"/>
      <c r="II26" s="353"/>
      <c r="IJ26" s="353"/>
      <c r="IK26" s="353"/>
      <c r="IL26" s="353"/>
      <c r="IM26" s="353"/>
      <c r="IN26" s="353"/>
      <c r="IO26" s="353"/>
      <c r="IP26" s="353"/>
      <c r="IQ26" s="353"/>
      <c r="IR26" s="353"/>
      <c r="IS26" s="353"/>
      <c r="IT26" s="353"/>
      <c r="IU26" s="353"/>
      <c r="IV26" s="353"/>
      <c r="IW26" s="353"/>
    </row>
    <row r="27" customFormat="false" ht="15.95" hidden="false" customHeight="true" outlineLevel="0" collapsed="false">
      <c r="A27" s="355" t="n">
        <v>23</v>
      </c>
      <c r="B27" s="356"/>
      <c r="C27" s="366"/>
      <c r="D27" s="367"/>
      <c r="E27" s="356"/>
      <c r="F27" s="357"/>
      <c r="G27" s="357"/>
      <c r="H27" s="357"/>
      <c r="I27" s="357"/>
      <c r="J27" s="357"/>
      <c r="K27" s="359"/>
      <c r="L27" s="360"/>
      <c r="M27" s="361"/>
      <c r="N27" s="362"/>
      <c r="O27" s="352"/>
      <c r="P27" s="353"/>
      <c r="Q27" s="353"/>
      <c r="R27" s="353"/>
      <c r="S27" s="353"/>
      <c r="T27" s="353"/>
      <c r="U27" s="353"/>
      <c r="V27" s="353"/>
      <c r="W27" s="353"/>
      <c r="X27" s="353"/>
      <c r="Y27" s="353"/>
      <c r="Z27" s="353"/>
      <c r="AA27" s="353"/>
      <c r="AB27" s="353"/>
      <c r="AC27" s="353"/>
      <c r="AD27" s="353"/>
      <c r="AE27" s="353"/>
      <c r="AF27" s="353"/>
      <c r="AG27" s="353"/>
      <c r="AH27" s="353"/>
      <c r="AI27" s="353"/>
      <c r="AJ27" s="353"/>
      <c r="AK27" s="353"/>
      <c r="AL27" s="353"/>
      <c r="AM27" s="353"/>
      <c r="AN27" s="353"/>
      <c r="AO27" s="353"/>
      <c r="AP27" s="353"/>
      <c r="AQ27" s="353"/>
      <c r="AR27" s="353"/>
      <c r="AS27" s="353"/>
      <c r="AT27" s="353"/>
      <c r="AU27" s="353"/>
      <c r="AV27" s="353"/>
      <c r="AW27" s="353"/>
      <c r="AX27" s="353"/>
      <c r="AY27" s="353"/>
      <c r="AZ27" s="353"/>
      <c r="BA27" s="353"/>
      <c r="BB27" s="353"/>
      <c r="BC27" s="353"/>
      <c r="BD27" s="353"/>
      <c r="BE27" s="353"/>
      <c r="BF27" s="353"/>
      <c r="BG27" s="353"/>
      <c r="BH27" s="353"/>
      <c r="BI27" s="353"/>
      <c r="BJ27" s="353"/>
      <c r="BK27" s="353"/>
      <c r="BL27" s="353"/>
      <c r="BM27" s="353"/>
      <c r="BN27" s="353"/>
      <c r="BO27" s="353"/>
      <c r="BP27" s="353"/>
      <c r="BQ27" s="353"/>
      <c r="BR27" s="353"/>
      <c r="BS27" s="353"/>
      <c r="BT27" s="353"/>
      <c r="BU27" s="353"/>
      <c r="BV27" s="353"/>
      <c r="BW27" s="353"/>
      <c r="BX27" s="353"/>
      <c r="BY27" s="353"/>
      <c r="BZ27" s="353"/>
      <c r="CA27" s="353"/>
      <c r="CB27" s="353"/>
      <c r="CC27" s="353"/>
      <c r="CD27" s="353"/>
      <c r="CE27" s="353"/>
      <c r="CF27" s="353"/>
      <c r="CG27" s="353"/>
      <c r="CH27" s="353"/>
      <c r="CI27" s="353"/>
      <c r="CJ27" s="353"/>
      <c r="CK27" s="353"/>
      <c r="CL27" s="353"/>
      <c r="CM27" s="353"/>
      <c r="CN27" s="353"/>
      <c r="CO27" s="353"/>
      <c r="CP27" s="353"/>
      <c r="CQ27" s="353"/>
      <c r="CR27" s="353"/>
      <c r="CS27" s="353"/>
      <c r="CT27" s="353"/>
      <c r="CU27" s="353"/>
      <c r="CV27" s="353"/>
      <c r="CW27" s="353"/>
      <c r="CX27" s="353"/>
      <c r="CY27" s="353"/>
      <c r="CZ27" s="353"/>
      <c r="DA27" s="353"/>
      <c r="DB27" s="353"/>
      <c r="DC27" s="353"/>
      <c r="DD27" s="353"/>
      <c r="DE27" s="353"/>
      <c r="DF27" s="353"/>
      <c r="DG27" s="353"/>
      <c r="DH27" s="353"/>
      <c r="DI27" s="353"/>
      <c r="DJ27" s="353"/>
      <c r="DK27" s="353"/>
      <c r="DL27" s="353"/>
      <c r="DM27" s="353"/>
      <c r="DN27" s="353"/>
      <c r="DO27" s="353"/>
      <c r="DP27" s="353"/>
      <c r="DQ27" s="353"/>
      <c r="DR27" s="353"/>
      <c r="DS27" s="353"/>
      <c r="DT27" s="353"/>
      <c r="DU27" s="353"/>
      <c r="DV27" s="353"/>
      <c r="DW27" s="353"/>
      <c r="DX27" s="353"/>
      <c r="DY27" s="353"/>
      <c r="DZ27" s="353"/>
      <c r="EA27" s="353"/>
      <c r="EB27" s="353"/>
      <c r="EC27" s="353"/>
      <c r="ED27" s="353"/>
      <c r="EE27" s="353"/>
      <c r="EF27" s="353"/>
      <c r="EG27" s="353"/>
      <c r="EH27" s="353"/>
      <c r="EI27" s="353"/>
      <c r="EJ27" s="353"/>
      <c r="EK27" s="353"/>
      <c r="EL27" s="353"/>
      <c r="EM27" s="353"/>
      <c r="EN27" s="353"/>
      <c r="EO27" s="353"/>
      <c r="EP27" s="353"/>
      <c r="EQ27" s="353"/>
      <c r="ER27" s="353"/>
      <c r="ES27" s="353"/>
      <c r="ET27" s="353"/>
      <c r="EU27" s="353"/>
      <c r="EV27" s="353"/>
      <c r="EW27" s="353"/>
      <c r="EX27" s="353"/>
      <c r="EY27" s="353"/>
      <c r="EZ27" s="353"/>
      <c r="FA27" s="353"/>
      <c r="FB27" s="353"/>
      <c r="FC27" s="353"/>
      <c r="FD27" s="353"/>
      <c r="FE27" s="353"/>
      <c r="FF27" s="353"/>
      <c r="FG27" s="353"/>
      <c r="FH27" s="353"/>
      <c r="FI27" s="353"/>
      <c r="FJ27" s="353"/>
      <c r="FK27" s="353"/>
      <c r="FL27" s="353"/>
      <c r="FM27" s="353"/>
      <c r="FN27" s="353"/>
      <c r="FO27" s="353"/>
      <c r="FP27" s="353"/>
      <c r="FQ27" s="353"/>
      <c r="FR27" s="353"/>
      <c r="FS27" s="353"/>
      <c r="FT27" s="353"/>
      <c r="FU27" s="353"/>
      <c r="FV27" s="353"/>
      <c r="FW27" s="353"/>
      <c r="FX27" s="353"/>
      <c r="FY27" s="353"/>
      <c r="FZ27" s="353"/>
      <c r="GA27" s="353"/>
      <c r="GB27" s="353"/>
      <c r="GC27" s="353"/>
      <c r="GD27" s="353"/>
      <c r="GE27" s="353"/>
      <c r="GF27" s="353"/>
      <c r="GG27" s="353"/>
      <c r="GH27" s="353"/>
      <c r="GI27" s="353"/>
      <c r="GJ27" s="353"/>
      <c r="GK27" s="353"/>
      <c r="GL27" s="353"/>
      <c r="GM27" s="353"/>
      <c r="GN27" s="353"/>
      <c r="GO27" s="353"/>
      <c r="GP27" s="353"/>
      <c r="GQ27" s="353"/>
      <c r="GR27" s="353"/>
      <c r="GS27" s="353"/>
      <c r="GT27" s="353"/>
      <c r="GU27" s="353"/>
      <c r="GV27" s="353"/>
      <c r="GW27" s="353"/>
      <c r="GX27" s="353"/>
      <c r="GY27" s="353"/>
      <c r="GZ27" s="353"/>
      <c r="HA27" s="353"/>
      <c r="HB27" s="353"/>
      <c r="HC27" s="353"/>
      <c r="HD27" s="353"/>
      <c r="HE27" s="353"/>
      <c r="HF27" s="353"/>
      <c r="HG27" s="353"/>
      <c r="HH27" s="353"/>
      <c r="HI27" s="353"/>
      <c r="HJ27" s="353"/>
      <c r="HK27" s="353"/>
      <c r="HL27" s="353"/>
      <c r="HM27" s="353"/>
      <c r="HN27" s="353"/>
      <c r="HO27" s="353"/>
      <c r="HP27" s="353"/>
      <c r="HQ27" s="353"/>
      <c r="HR27" s="353"/>
      <c r="HS27" s="353"/>
      <c r="HT27" s="353"/>
      <c r="HU27" s="353"/>
      <c r="HV27" s="353"/>
      <c r="HW27" s="353"/>
      <c r="HX27" s="353"/>
      <c r="HY27" s="353"/>
      <c r="HZ27" s="353"/>
      <c r="IA27" s="353"/>
      <c r="IB27" s="353"/>
      <c r="IC27" s="353"/>
      <c r="ID27" s="353"/>
      <c r="IE27" s="353"/>
      <c r="IF27" s="353"/>
      <c r="IG27" s="353"/>
      <c r="IH27" s="353"/>
      <c r="II27" s="353"/>
      <c r="IJ27" s="353"/>
      <c r="IK27" s="353"/>
      <c r="IL27" s="353"/>
      <c r="IM27" s="353"/>
      <c r="IN27" s="353"/>
      <c r="IO27" s="353"/>
      <c r="IP27" s="353"/>
      <c r="IQ27" s="353"/>
      <c r="IR27" s="353"/>
      <c r="IS27" s="353"/>
      <c r="IT27" s="353"/>
      <c r="IU27" s="353"/>
      <c r="IV27" s="353"/>
      <c r="IW27" s="353"/>
    </row>
    <row r="28" customFormat="false" ht="15.95" hidden="false" customHeight="true" outlineLevel="0" collapsed="false">
      <c r="A28" s="355" t="n">
        <v>24</v>
      </c>
      <c r="B28" s="356"/>
      <c r="C28" s="356"/>
      <c r="D28" s="357"/>
      <c r="E28" s="356"/>
      <c r="F28" s="357"/>
      <c r="G28" s="357"/>
      <c r="H28" s="357"/>
      <c r="I28" s="357"/>
      <c r="J28" s="357"/>
      <c r="K28" s="359"/>
      <c r="L28" s="360"/>
      <c r="M28" s="361"/>
      <c r="N28" s="370"/>
      <c r="O28" s="352"/>
      <c r="P28" s="371"/>
      <c r="Q28" s="371"/>
      <c r="R28" s="371"/>
      <c r="S28" s="371"/>
      <c r="T28" s="371"/>
      <c r="U28" s="371"/>
      <c r="V28" s="371"/>
      <c r="W28" s="371"/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371"/>
      <c r="AJ28" s="371"/>
      <c r="AK28" s="371"/>
      <c r="AL28" s="371"/>
      <c r="AM28" s="371"/>
      <c r="AN28" s="371"/>
      <c r="AO28" s="371"/>
      <c r="AP28" s="371"/>
      <c r="AQ28" s="371"/>
      <c r="AR28" s="371"/>
      <c r="AS28" s="371"/>
      <c r="AT28" s="371"/>
      <c r="AU28" s="371"/>
      <c r="AV28" s="371"/>
      <c r="AW28" s="371"/>
      <c r="AX28" s="371"/>
      <c r="AY28" s="371"/>
      <c r="AZ28" s="371"/>
      <c r="BA28" s="371"/>
      <c r="BB28" s="371"/>
      <c r="BC28" s="371"/>
      <c r="BD28" s="371"/>
      <c r="BE28" s="371"/>
      <c r="BF28" s="371"/>
      <c r="BG28" s="371"/>
      <c r="BH28" s="371"/>
      <c r="BI28" s="371"/>
      <c r="BJ28" s="371"/>
      <c r="BK28" s="371"/>
      <c r="BL28" s="371"/>
      <c r="BM28" s="371"/>
      <c r="BN28" s="371"/>
      <c r="BO28" s="371"/>
      <c r="BP28" s="371"/>
      <c r="BQ28" s="371"/>
      <c r="BR28" s="371"/>
      <c r="BS28" s="371"/>
      <c r="BT28" s="371"/>
      <c r="BU28" s="371"/>
      <c r="BV28" s="371"/>
      <c r="BW28" s="371"/>
      <c r="BX28" s="371"/>
      <c r="BY28" s="371"/>
      <c r="BZ28" s="371"/>
      <c r="CA28" s="371"/>
      <c r="CB28" s="371"/>
      <c r="CC28" s="371"/>
      <c r="CD28" s="371"/>
      <c r="CE28" s="371"/>
      <c r="CF28" s="371"/>
      <c r="CG28" s="371"/>
      <c r="CH28" s="371"/>
      <c r="CI28" s="371"/>
      <c r="CJ28" s="371"/>
      <c r="CK28" s="371"/>
      <c r="CL28" s="371"/>
      <c r="CM28" s="371"/>
      <c r="CN28" s="371"/>
      <c r="CO28" s="371"/>
      <c r="CP28" s="371"/>
      <c r="CQ28" s="371"/>
      <c r="CR28" s="371"/>
      <c r="CS28" s="371"/>
      <c r="CT28" s="371"/>
      <c r="CU28" s="371"/>
      <c r="CV28" s="371"/>
      <c r="CW28" s="371"/>
      <c r="CX28" s="371"/>
      <c r="CY28" s="371"/>
      <c r="CZ28" s="371"/>
      <c r="DA28" s="371"/>
      <c r="DB28" s="371"/>
      <c r="DC28" s="371"/>
      <c r="DD28" s="371"/>
      <c r="DE28" s="371"/>
      <c r="DF28" s="371"/>
      <c r="DG28" s="371"/>
      <c r="DH28" s="371"/>
      <c r="DI28" s="371"/>
      <c r="DJ28" s="371"/>
      <c r="DK28" s="371"/>
      <c r="DL28" s="371"/>
      <c r="DM28" s="371"/>
      <c r="DN28" s="371"/>
      <c r="DO28" s="371"/>
      <c r="DP28" s="371"/>
      <c r="DQ28" s="371"/>
      <c r="DR28" s="371"/>
      <c r="DS28" s="371"/>
      <c r="DT28" s="371"/>
      <c r="DU28" s="371"/>
      <c r="DV28" s="371"/>
      <c r="DW28" s="371"/>
      <c r="DX28" s="371"/>
      <c r="DY28" s="371"/>
      <c r="DZ28" s="371"/>
      <c r="EA28" s="371"/>
      <c r="EB28" s="371"/>
      <c r="EC28" s="371"/>
      <c r="ED28" s="371"/>
      <c r="EE28" s="371"/>
      <c r="EF28" s="371"/>
      <c r="EG28" s="371"/>
      <c r="EH28" s="371"/>
      <c r="EI28" s="371"/>
      <c r="EJ28" s="371"/>
      <c r="EK28" s="371"/>
      <c r="EL28" s="371"/>
      <c r="EM28" s="371"/>
      <c r="EN28" s="371"/>
      <c r="EO28" s="371"/>
      <c r="EP28" s="371"/>
      <c r="EQ28" s="371"/>
      <c r="ER28" s="371"/>
      <c r="ES28" s="371"/>
      <c r="ET28" s="371"/>
      <c r="EU28" s="371"/>
      <c r="EV28" s="371"/>
      <c r="EW28" s="371"/>
      <c r="EX28" s="371"/>
      <c r="EY28" s="371"/>
      <c r="EZ28" s="371"/>
      <c r="FA28" s="371"/>
      <c r="FB28" s="371"/>
      <c r="FC28" s="371"/>
      <c r="FD28" s="371"/>
      <c r="FE28" s="371"/>
      <c r="FF28" s="371"/>
      <c r="FG28" s="371"/>
      <c r="FH28" s="371"/>
      <c r="FI28" s="371"/>
      <c r="FJ28" s="371"/>
      <c r="FK28" s="371"/>
      <c r="FL28" s="371"/>
      <c r="FM28" s="371"/>
      <c r="FN28" s="371"/>
      <c r="FO28" s="371"/>
      <c r="FP28" s="371"/>
      <c r="FQ28" s="371"/>
      <c r="FR28" s="371"/>
      <c r="FS28" s="371"/>
      <c r="FT28" s="371"/>
      <c r="FU28" s="371"/>
      <c r="FV28" s="371"/>
      <c r="FW28" s="371"/>
      <c r="FX28" s="371"/>
      <c r="FY28" s="371"/>
      <c r="FZ28" s="371"/>
      <c r="GA28" s="371"/>
      <c r="GB28" s="371"/>
      <c r="GC28" s="371"/>
      <c r="GD28" s="371"/>
      <c r="GE28" s="371"/>
      <c r="GF28" s="371"/>
      <c r="GG28" s="371"/>
      <c r="GH28" s="371"/>
      <c r="GI28" s="371"/>
      <c r="GJ28" s="371"/>
      <c r="GK28" s="371"/>
      <c r="GL28" s="371"/>
      <c r="GM28" s="371"/>
      <c r="GN28" s="371"/>
      <c r="GO28" s="371"/>
      <c r="GP28" s="371"/>
      <c r="GQ28" s="371"/>
      <c r="GR28" s="371"/>
      <c r="GS28" s="371"/>
      <c r="GT28" s="371"/>
      <c r="GU28" s="371"/>
      <c r="GV28" s="371"/>
      <c r="GW28" s="371"/>
      <c r="GX28" s="371"/>
      <c r="GY28" s="371"/>
      <c r="GZ28" s="371"/>
      <c r="HA28" s="371"/>
      <c r="HB28" s="371"/>
      <c r="HC28" s="371"/>
      <c r="HD28" s="371"/>
      <c r="HE28" s="371"/>
      <c r="HF28" s="371"/>
      <c r="HG28" s="371"/>
      <c r="HH28" s="371"/>
      <c r="HI28" s="371"/>
      <c r="HJ28" s="371"/>
      <c r="HK28" s="371"/>
      <c r="HL28" s="371"/>
      <c r="HM28" s="371"/>
      <c r="HN28" s="371"/>
      <c r="HO28" s="371"/>
      <c r="HP28" s="371"/>
      <c r="HQ28" s="371"/>
      <c r="HR28" s="371"/>
      <c r="HS28" s="371"/>
      <c r="HT28" s="371"/>
      <c r="HU28" s="371"/>
      <c r="HV28" s="371"/>
      <c r="HW28" s="371"/>
      <c r="HX28" s="371"/>
      <c r="HY28" s="371"/>
      <c r="HZ28" s="371"/>
      <c r="IA28" s="371"/>
      <c r="IB28" s="371"/>
      <c r="IC28" s="371"/>
      <c r="ID28" s="371"/>
      <c r="IE28" s="371"/>
      <c r="IF28" s="371"/>
      <c r="IG28" s="371"/>
      <c r="IH28" s="371"/>
      <c r="II28" s="371"/>
      <c r="IJ28" s="371"/>
      <c r="IK28" s="371"/>
      <c r="IL28" s="371"/>
      <c r="IM28" s="371"/>
      <c r="IN28" s="371"/>
      <c r="IO28" s="371"/>
      <c r="IP28" s="371"/>
      <c r="IQ28" s="371"/>
      <c r="IR28" s="371"/>
      <c r="IS28" s="371"/>
      <c r="IT28" s="371"/>
      <c r="IU28" s="371"/>
      <c r="IV28" s="371"/>
      <c r="IW28" s="371"/>
    </row>
    <row r="29" customFormat="false" ht="15.95" hidden="false" customHeight="true" outlineLevel="0" collapsed="false">
      <c r="A29" s="355" t="n">
        <v>25</v>
      </c>
      <c r="B29" s="356"/>
      <c r="C29" s="356"/>
      <c r="D29" s="367"/>
      <c r="E29" s="356"/>
      <c r="F29" s="357"/>
      <c r="G29" s="357"/>
      <c r="H29" s="357"/>
      <c r="I29" s="357"/>
      <c r="J29" s="357"/>
      <c r="K29" s="359"/>
      <c r="L29" s="361"/>
      <c r="M29" s="361"/>
      <c r="N29" s="370"/>
      <c r="O29" s="352"/>
      <c r="P29" s="344"/>
      <c r="Q29" s="344"/>
      <c r="R29" s="344"/>
      <c r="S29" s="344"/>
      <c r="T29" s="344"/>
      <c r="U29" s="344"/>
      <c r="V29" s="344"/>
      <c r="W29" s="344"/>
      <c r="X29" s="344"/>
      <c r="Y29" s="344"/>
      <c r="Z29" s="344"/>
      <c r="AA29" s="344"/>
      <c r="AB29" s="344"/>
      <c r="AC29" s="344"/>
      <c r="AD29" s="344"/>
      <c r="AE29" s="344"/>
      <c r="AF29" s="344"/>
      <c r="AG29" s="344"/>
      <c r="AH29" s="344"/>
      <c r="AI29" s="344"/>
      <c r="AJ29" s="344"/>
      <c r="AK29" s="344"/>
      <c r="AL29" s="344"/>
      <c r="AM29" s="344"/>
      <c r="AN29" s="344"/>
      <c r="AO29" s="344"/>
      <c r="AP29" s="344"/>
      <c r="AQ29" s="344"/>
      <c r="AR29" s="344"/>
      <c r="AS29" s="344"/>
      <c r="AT29" s="344"/>
      <c r="AU29" s="344"/>
      <c r="AV29" s="344"/>
      <c r="AW29" s="344"/>
      <c r="AX29" s="344"/>
      <c r="AY29" s="344"/>
      <c r="AZ29" s="344"/>
      <c r="BA29" s="344"/>
      <c r="BB29" s="344"/>
      <c r="BC29" s="344"/>
      <c r="BD29" s="344"/>
      <c r="BE29" s="344"/>
      <c r="BF29" s="344"/>
      <c r="BG29" s="344"/>
      <c r="BH29" s="344"/>
      <c r="BI29" s="344"/>
      <c r="BJ29" s="344"/>
      <c r="BK29" s="344"/>
      <c r="BL29" s="344"/>
      <c r="BM29" s="344"/>
      <c r="BN29" s="344"/>
      <c r="BO29" s="344"/>
      <c r="BP29" s="344"/>
      <c r="BQ29" s="344"/>
      <c r="BR29" s="344"/>
      <c r="BS29" s="344"/>
      <c r="BT29" s="344"/>
      <c r="BU29" s="344"/>
      <c r="BV29" s="344"/>
      <c r="BW29" s="344"/>
      <c r="BX29" s="344"/>
      <c r="BY29" s="344"/>
      <c r="BZ29" s="344"/>
      <c r="CA29" s="344"/>
      <c r="CB29" s="344"/>
      <c r="CC29" s="344"/>
      <c r="CD29" s="344"/>
      <c r="CE29" s="344"/>
      <c r="CF29" s="344"/>
      <c r="CG29" s="344"/>
      <c r="CH29" s="344"/>
      <c r="CI29" s="344"/>
      <c r="CJ29" s="344"/>
      <c r="CK29" s="344"/>
      <c r="CL29" s="344"/>
      <c r="CM29" s="344"/>
      <c r="CN29" s="344"/>
      <c r="CO29" s="344"/>
      <c r="CP29" s="344"/>
      <c r="CQ29" s="344"/>
      <c r="CR29" s="344"/>
      <c r="CS29" s="344"/>
      <c r="CT29" s="344"/>
      <c r="CU29" s="344"/>
      <c r="CV29" s="344"/>
      <c r="CW29" s="344"/>
      <c r="CX29" s="344"/>
      <c r="CY29" s="344"/>
      <c r="CZ29" s="344"/>
      <c r="DA29" s="344"/>
      <c r="DB29" s="344"/>
      <c r="DC29" s="344"/>
      <c r="DD29" s="344"/>
      <c r="DE29" s="344"/>
      <c r="DF29" s="344"/>
      <c r="DG29" s="344"/>
      <c r="DH29" s="344"/>
      <c r="DI29" s="344"/>
      <c r="DJ29" s="344"/>
      <c r="DK29" s="344"/>
      <c r="DL29" s="344"/>
      <c r="DM29" s="344"/>
      <c r="DN29" s="344"/>
      <c r="DO29" s="344"/>
      <c r="DP29" s="344"/>
      <c r="DQ29" s="344"/>
      <c r="DR29" s="344"/>
      <c r="DS29" s="344"/>
      <c r="DT29" s="344"/>
      <c r="DU29" s="344"/>
      <c r="DV29" s="344"/>
      <c r="DW29" s="344"/>
      <c r="DX29" s="344"/>
      <c r="DY29" s="344"/>
      <c r="DZ29" s="344"/>
      <c r="EA29" s="344"/>
      <c r="EB29" s="344"/>
      <c r="EC29" s="344"/>
      <c r="ED29" s="344"/>
      <c r="EE29" s="344"/>
      <c r="EF29" s="344"/>
      <c r="EG29" s="344"/>
      <c r="EH29" s="344"/>
      <c r="EI29" s="344"/>
      <c r="EJ29" s="344"/>
      <c r="EK29" s="344"/>
      <c r="EL29" s="344"/>
      <c r="EM29" s="344"/>
      <c r="EN29" s="344"/>
      <c r="EO29" s="344"/>
      <c r="EP29" s="344"/>
      <c r="EQ29" s="344"/>
      <c r="ER29" s="344"/>
      <c r="ES29" s="344"/>
      <c r="ET29" s="344"/>
      <c r="EU29" s="344"/>
      <c r="EV29" s="344"/>
      <c r="EW29" s="344"/>
      <c r="EX29" s="344"/>
      <c r="EY29" s="344"/>
      <c r="EZ29" s="344"/>
      <c r="FA29" s="344"/>
      <c r="FB29" s="344"/>
      <c r="FC29" s="344"/>
      <c r="FD29" s="344"/>
      <c r="FE29" s="344"/>
      <c r="FF29" s="344"/>
      <c r="FG29" s="344"/>
      <c r="FH29" s="344"/>
      <c r="FI29" s="344"/>
      <c r="FJ29" s="344"/>
      <c r="FK29" s="344"/>
      <c r="FL29" s="344"/>
      <c r="FM29" s="344"/>
      <c r="FN29" s="344"/>
      <c r="FO29" s="344"/>
      <c r="FP29" s="344"/>
      <c r="FQ29" s="344"/>
      <c r="FR29" s="344"/>
      <c r="FS29" s="344"/>
      <c r="FT29" s="344"/>
      <c r="FU29" s="344"/>
      <c r="FV29" s="344"/>
      <c r="FW29" s="344"/>
      <c r="FX29" s="344"/>
      <c r="FY29" s="344"/>
      <c r="FZ29" s="344"/>
      <c r="GA29" s="344"/>
      <c r="GB29" s="344"/>
      <c r="GC29" s="344"/>
      <c r="GD29" s="344"/>
      <c r="GE29" s="344"/>
      <c r="GF29" s="344"/>
      <c r="GG29" s="344"/>
      <c r="GH29" s="344"/>
      <c r="GI29" s="344"/>
      <c r="GJ29" s="344"/>
      <c r="GK29" s="344"/>
      <c r="GL29" s="344"/>
      <c r="GM29" s="344"/>
      <c r="GN29" s="344"/>
      <c r="GO29" s="344"/>
      <c r="GP29" s="344"/>
      <c r="GQ29" s="344"/>
      <c r="GR29" s="344"/>
      <c r="GS29" s="344"/>
      <c r="GT29" s="344"/>
      <c r="GU29" s="344"/>
      <c r="GV29" s="344"/>
      <c r="GW29" s="344"/>
      <c r="GX29" s="344"/>
      <c r="GY29" s="344"/>
      <c r="GZ29" s="344"/>
      <c r="HA29" s="344"/>
      <c r="HB29" s="344"/>
      <c r="HC29" s="344"/>
      <c r="HD29" s="344"/>
      <c r="HE29" s="344"/>
      <c r="HF29" s="344"/>
      <c r="HG29" s="344"/>
      <c r="HH29" s="344"/>
      <c r="HI29" s="344"/>
      <c r="HJ29" s="344"/>
      <c r="HK29" s="344"/>
      <c r="HL29" s="344"/>
      <c r="HM29" s="344"/>
      <c r="HN29" s="344"/>
      <c r="HO29" s="344"/>
      <c r="HP29" s="344"/>
      <c r="HQ29" s="344"/>
      <c r="HR29" s="344"/>
      <c r="HS29" s="344"/>
      <c r="HT29" s="344"/>
      <c r="HU29" s="344"/>
      <c r="HV29" s="344"/>
      <c r="HW29" s="344"/>
      <c r="HX29" s="344"/>
      <c r="HY29" s="344"/>
      <c r="HZ29" s="344"/>
      <c r="IA29" s="344"/>
      <c r="IB29" s="344"/>
      <c r="IC29" s="344"/>
      <c r="ID29" s="344"/>
      <c r="IE29" s="344"/>
      <c r="IF29" s="344"/>
      <c r="IG29" s="344"/>
      <c r="IH29" s="344"/>
      <c r="II29" s="344"/>
      <c r="IJ29" s="344"/>
      <c r="IK29" s="344"/>
      <c r="IL29" s="344"/>
      <c r="IM29" s="344"/>
      <c r="IN29" s="344"/>
      <c r="IO29" s="344"/>
      <c r="IP29" s="344"/>
      <c r="IQ29" s="344"/>
      <c r="IR29" s="344"/>
      <c r="IS29" s="344"/>
      <c r="IT29" s="344"/>
      <c r="IU29" s="344"/>
      <c r="IV29" s="344"/>
      <c r="IW29" s="344"/>
    </row>
    <row r="30" customFormat="false" ht="15.95" hidden="false" customHeight="true" outlineLevel="0" collapsed="false">
      <c r="A30" s="355" t="n">
        <v>26</v>
      </c>
      <c r="B30" s="366"/>
      <c r="C30" s="366"/>
      <c r="D30" s="367"/>
      <c r="E30" s="356"/>
      <c r="F30" s="357"/>
      <c r="G30" s="357"/>
      <c r="H30" s="365"/>
      <c r="I30" s="357"/>
      <c r="J30" s="357"/>
      <c r="K30" s="359"/>
      <c r="L30" s="361"/>
      <c r="M30" s="361"/>
      <c r="N30" s="370"/>
      <c r="O30" s="352"/>
      <c r="P30" s="344"/>
      <c r="Q30" s="344"/>
      <c r="R30" s="344"/>
      <c r="S30" s="344"/>
      <c r="T30" s="344"/>
      <c r="U30" s="344"/>
      <c r="V30" s="344"/>
      <c r="W30" s="344"/>
      <c r="X30" s="344"/>
      <c r="Y30" s="344"/>
      <c r="Z30" s="344"/>
      <c r="AA30" s="344"/>
      <c r="AB30" s="344"/>
      <c r="AC30" s="344"/>
      <c r="AD30" s="344"/>
      <c r="AE30" s="344"/>
      <c r="AF30" s="344"/>
      <c r="AG30" s="344"/>
      <c r="AH30" s="344"/>
      <c r="AI30" s="344"/>
      <c r="AJ30" s="344"/>
      <c r="AK30" s="344"/>
      <c r="AL30" s="344"/>
      <c r="AM30" s="344"/>
      <c r="AN30" s="344"/>
      <c r="AO30" s="344"/>
      <c r="AP30" s="344"/>
      <c r="AQ30" s="344"/>
      <c r="AR30" s="344"/>
      <c r="AS30" s="344"/>
      <c r="AT30" s="344"/>
      <c r="AU30" s="344"/>
      <c r="AV30" s="344"/>
      <c r="AW30" s="344"/>
      <c r="AX30" s="344"/>
      <c r="AY30" s="344"/>
      <c r="AZ30" s="344"/>
      <c r="BA30" s="344"/>
      <c r="BB30" s="344"/>
      <c r="BC30" s="344"/>
      <c r="BD30" s="344"/>
      <c r="BE30" s="344"/>
      <c r="BF30" s="344"/>
      <c r="BG30" s="344"/>
      <c r="BH30" s="344"/>
      <c r="BI30" s="344"/>
      <c r="BJ30" s="344"/>
      <c r="BK30" s="344"/>
      <c r="BL30" s="344"/>
      <c r="BM30" s="344"/>
      <c r="BN30" s="344"/>
      <c r="BO30" s="344"/>
      <c r="BP30" s="344"/>
      <c r="BQ30" s="344"/>
      <c r="BR30" s="344"/>
      <c r="BS30" s="344"/>
      <c r="BT30" s="344"/>
      <c r="BU30" s="344"/>
      <c r="BV30" s="344"/>
      <c r="BW30" s="344"/>
      <c r="BX30" s="344"/>
      <c r="BY30" s="344"/>
      <c r="BZ30" s="344"/>
      <c r="CA30" s="344"/>
      <c r="CB30" s="344"/>
      <c r="CC30" s="344"/>
      <c r="CD30" s="344"/>
      <c r="CE30" s="344"/>
      <c r="CF30" s="344"/>
      <c r="CG30" s="344"/>
      <c r="CH30" s="344"/>
      <c r="CI30" s="344"/>
      <c r="CJ30" s="344"/>
      <c r="CK30" s="344"/>
      <c r="CL30" s="344"/>
      <c r="CM30" s="344"/>
      <c r="CN30" s="344"/>
      <c r="CO30" s="344"/>
      <c r="CP30" s="344"/>
      <c r="CQ30" s="344"/>
      <c r="CR30" s="344"/>
      <c r="CS30" s="344"/>
      <c r="CT30" s="344"/>
      <c r="CU30" s="344"/>
      <c r="CV30" s="344"/>
      <c r="CW30" s="344"/>
      <c r="CX30" s="344"/>
      <c r="CY30" s="344"/>
      <c r="CZ30" s="344"/>
      <c r="DA30" s="344"/>
      <c r="DB30" s="344"/>
      <c r="DC30" s="344"/>
      <c r="DD30" s="344"/>
      <c r="DE30" s="344"/>
      <c r="DF30" s="344"/>
      <c r="DG30" s="344"/>
      <c r="DH30" s="344"/>
      <c r="DI30" s="344"/>
      <c r="DJ30" s="344"/>
      <c r="DK30" s="344"/>
      <c r="DL30" s="344"/>
      <c r="DM30" s="344"/>
      <c r="DN30" s="344"/>
      <c r="DO30" s="344"/>
      <c r="DP30" s="344"/>
      <c r="DQ30" s="344"/>
      <c r="DR30" s="344"/>
      <c r="DS30" s="344"/>
      <c r="DT30" s="344"/>
      <c r="DU30" s="344"/>
      <c r="DV30" s="344"/>
      <c r="DW30" s="344"/>
      <c r="DX30" s="344"/>
      <c r="DY30" s="344"/>
      <c r="DZ30" s="344"/>
      <c r="EA30" s="344"/>
      <c r="EB30" s="344"/>
      <c r="EC30" s="344"/>
      <c r="ED30" s="344"/>
      <c r="EE30" s="344"/>
      <c r="EF30" s="344"/>
      <c r="EG30" s="344"/>
      <c r="EH30" s="344"/>
      <c r="EI30" s="344"/>
      <c r="EJ30" s="344"/>
      <c r="EK30" s="344"/>
      <c r="EL30" s="344"/>
      <c r="EM30" s="344"/>
      <c r="EN30" s="344"/>
      <c r="EO30" s="344"/>
      <c r="EP30" s="344"/>
      <c r="EQ30" s="344"/>
      <c r="ER30" s="344"/>
      <c r="ES30" s="344"/>
      <c r="ET30" s="344"/>
      <c r="EU30" s="344"/>
      <c r="EV30" s="344"/>
      <c r="EW30" s="344"/>
      <c r="EX30" s="344"/>
      <c r="EY30" s="344"/>
      <c r="EZ30" s="344"/>
      <c r="FA30" s="344"/>
      <c r="FB30" s="344"/>
      <c r="FC30" s="344"/>
      <c r="FD30" s="344"/>
      <c r="FE30" s="344"/>
      <c r="FF30" s="344"/>
      <c r="FG30" s="344"/>
      <c r="FH30" s="344"/>
      <c r="FI30" s="344"/>
      <c r="FJ30" s="344"/>
      <c r="FK30" s="344"/>
      <c r="FL30" s="344"/>
      <c r="FM30" s="344"/>
      <c r="FN30" s="344"/>
      <c r="FO30" s="344"/>
      <c r="FP30" s="344"/>
      <c r="FQ30" s="344"/>
      <c r="FR30" s="344"/>
      <c r="FS30" s="344"/>
      <c r="FT30" s="344"/>
      <c r="FU30" s="344"/>
      <c r="FV30" s="344"/>
      <c r="FW30" s="344"/>
      <c r="FX30" s="344"/>
      <c r="FY30" s="344"/>
      <c r="FZ30" s="344"/>
      <c r="GA30" s="344"/>
      <c r="GB30" s="344"/>
      <c r="GC30" s="344"/>
      <c r="GD30" s="344"/>
      <c r="GE30" s="344"/>
      <c r="GF30" s="344"/>
      <c r="GG30" s="344"/>
      <c r="GH30" s="344"/>
      <c r="GI30" s="344"/>
      <c r="GJ30" s="344"/>
      <c r="GK30" s="344"/>
      <c r="GL30" s="344"/>
      <c r="GM30" s="344"/>
      <c r="GN30" s="344"/>
      <c r="GO30" s="344"/>
      <c r="GP30" s="344"/>
      <c r="GQ30" s="344"/>
      <c r="GR30" s="344"/>
      <c r="GS30" s="344"/>
      <c r="GT30" s="344"/>
      <c r="GU30" s="344"/>
      <c r="GV30" s="344"/>
      <c r="GW30" s="344"/>
      <c r="GX30" s="344"/>
      <c r="GY30" s="344"/>
      <c r="GZ30" s="344"/>
      <c r="HA30" s="344"/>
      <c r="HB30" s="344"/>
      <c r="HC30" s="344"/>
      <c r="HD30" s="344"/>
      <c r="HE30" s="344"/>
      <c r="HF30" s="344"/>
      <c r="HG30" s="344"/>
      <c r="HH30" s="344"/>
      <c r="HI30" s="344"/>
      <c r="HJ30" s="344"/>
      <c r="HK30" s="344"/>
      <c r="HL30" s="344"/>
      <c r="HM30" s="344"/>
      <c r="HN30" s="344"/>
      <c r="HO30" s="344"/>
      <c r="HP30" s="344"/>
      <c r="HQ30" s="344"/>
      <c r="HR30" s="344"/>
      <c r="HS30" s="344"/>
      <c r="HT30" s="344"/>
      <c r="HU30" s="344"/>
      <c r="HV30" s="344"/>
      <c r="HW30" s="344"/>
      <c r="HX30" s="344"/>
      <c r="HY30" s="344"/>
      <c r="HZ30" s="344"/>
      <c r="IA30" s="344"/>
      <c r="IB30" s="344"/>
      <c r="IC30" s="344"/>
      <c r="ID30" s="344"/>
      <c r="IE30" s="344"/>
      <c r="IF30" s="344"/>
      <c r="IG30" s="344"/>
      <c r="IH30" s="344"/>
      <c r="II30" s="344"/>
      <c r="IJ30" s="344"/>
      <c r="IK30" s="344"/>
      <c r="IL30" s="344"/>
      <c r="IM30" s="344"/>
      <c r="IN30" s="344"/>
      <c r="IO30" s="344"/>
      <c r="IP30" s="344"/>
      <c r="IQ30" s="344"/>
      <c r="IR30" s="344"/>
      <c r="IS30" s="344"/>
      <c r="IT30" s="344"/>
      <c r="IU30" s="344"/>
      <c r="IV30" s="344"/>
      <c r="IW30" s="344"/>
    </row>
    <row r="31" customFormat="false" ht="15.95" hidden="false" customHeight="true" outlineLevel="0" collapsed="false">
      <c r="A31" s="355" t="n">
        <v>27</v>
      </c>
      <c r="B31" s="356"/>
      <c r="C31" s="356"/>
      <c r="D31" s="357"/>
      <c r="E31" s="366"/>
      <c r="F31" s="367"/>
      <c r="G31" s="367"/>
      <c r="H31" s="365"/>
      <c r="I31" s="367"/>
      <c r="J31" s="367"/>
      <c r="K31" s="359"/>
      <c r="L31" s="361"/>
      <c r="M31" s="361"/>
      <c r="N31" s="370"/>
      <c r="O31" s="352"/>
      <c r="P31" s="353"/>
      <c r="Q31" s="353"/>
      <c r="R31" s="353"/>
      <c r="S31" s="353"/>
      <c r="T31" s="353"/>
      <c r="U31" s="353"/>
      <c r="V31" s="353"/>
      <c r="W31" s="353"/>
      <c r="X31" s="353"/>
      <c r="Y31" s="353"/>
      <c r="Z31" s="353"/>
      <c r="AA31" s="353"/>
      <c r="AB31" s="353"/>
      <c r="AC31" s="353"/>
      <c r="AD31" s="353"/>
      <c r="AE31" s="353"/>
      <c r="AF31" s="353"/>
      <c r="AG31" s="353"/>
      <c r="AH31" s="353"/>
      <c r="AI31" s="353"/>
      <c r="AJ31" s="353"/>
      <c r="AK31" s="353"/>
      <c r="AL31" s="353"/>
      <c r="AM31" s="353"/>
      <c r="AN31" s="353"/>
      <c r="AO31" s="353"/>
      <c r="AP31" s="353"/>
      <c r="AQ31" s="353"/>
      <c r="AR31" s="353"/>
      <c r="AS31" s="353"/>
      <c r="AT31" s="353"/>
      <c r="AU31" s="353"/>
      <c r="AV31" s="353"/>
      <c r="AW31" s="353"/>
      <c r="AX31" s="353"/>
      <c r="AY31" s="353"/>
      <c r="AZ31" s="353"/>
      <c r="BA31" s="353"/>
      <c r="BB31" s="353"/>
      <c r="BC31" s="353"/>
      <c r="BD31" s="353"/>
      <c r="BE31" s="353"/>
      <c r="BF31" s="353"/>
      <c r="BG31" s="353"/>
      <c r="BH31" s="353"/>
      <c r="BI31" s="353"/>
      <c r="BJ31" s="353"/>
      <c r="BK31" s="353"/>
      <c r="BL31" s="353"/>
      <c r="BM31" s="353"/>
      <c r="BN31" s="353"/>
      <c r="BO31" s="353"/>
      <c r="BP31" s="353"/>
      <c r="BQ31" s="353"/>
      <c r="BR31" s="353"/>
      <c r="BS31" s="353"/>
      <c r="BT31" s="353"/>
      <c r="BU31" s="353"/>
      <c r="BV31" s="353"/>
      <c r="BW31" s="353"/>
      <c r="BX31" s="353"/>
      <c r="BY31" s="353"/>
      <c r="BZ31" s="353"/>
      <c r="CA31" s="353"/>
      <c r="CB31" s="353"/>
      <c r="CC31" s="353"/>
      <c r="CD31" s="353"/>
      <c r="CE31" s="353"/>
      <c r="CF31" s="353"/>
      <c r="CG31" s="353"/>
      <c r="CH31" s="353"/>
      <c r="CI31" s="353"/>
      <c r="CJ31" s="353"/>
      <c r="CK31" s="353"/>
      <c r="CL31" s="353"/>
      <c r="CM31" s="353"/>
      <c r="CN31" s="353"/>
      <c r="CO31" s="353"/>
      <c r="CP31" s="353"/>
      <c r="CQ31" s="353"/>
      <c r="CR31" s="353"/>
      <c r="CS31" s="353"/>
      <c r="CT31" s="353"/>
      <c r="CU31" s="353"/>
      <c r="CV31" s="353"/>
      <c r="CW31" s="353"/>
      <c r="CX31" s="353"/>
      <c r="CY31" s="353"/>
      <c r="CZ31" s="353"/>
      <c r="DA31" s="353"/>
      <c r="DB31" s="353"/>
      <c r="DC31" s="353"/>
      <c r="DD31" s="353"/>
      <c r="DE31" s="353"/>
      <c r="DF31" s="353"/>
      <c r="DG31" s="353"/>
      <c r="DH31" s="353"/>
      <c r="DI31" s="353"/>
      <c r="DJ31" s="353"/>
      <c r="DK31" s="353"/>
      <c r="DL31" s="353"/>
      <c r="DM31" s="353"/>
      <c r="DN31" s="353"/>
      <c r="DO31" s="353"/>
      <c r="DP31" s="353"/>
      <c r="DQ31" s="353"/>
      <c r="DR31" s="353"/>
      <c r="DS31" s="353"/>
      <c r="DT31" s="353"/>
      <c r="DU31" s="353"/>
      <c r="DV31" s="353"/>
      <c r="DW31" s="353"/>
      <c r="DX31" s="353"/>
      <c r="DY31" s="353"/>
      <c r="DZ31" s="353"/>
      <c r="EA31" s="353"/>
      <c r="EB31" s="353"/>
      <c r="EC31" s="353"/>
      <c r="ED31" s="353"/>
      <c r="EE31" s="353"/>
      <c r="EF31" s="353"/>
      <c r="EG31" s="353"/>
      <c r="EH31" s="353"/>
      <c r="EI31" s="353"/>
      <c r="EJ31" s="353"/>
      <c r="EK31" s="353"/>
      <c r="EL31" s="353"/>
      <c r="EM31" s="353"/>
      <c r="EN31" s="353"/>
      <c r="EO31" s="353"/>
      <c r="EP31" s="353"/>
      <c r="EQ31" s="353"/>
      <c r="ER31" s="353"/>
      <c r="ES31" s="353"/>
      <c r="ET31" s="353"/>
      <c r="EU31" s="353"/>
      <c r="EV31" s="353"/>
      <c r="EW31" s="353"/>
      <c r="EX31" s="353"/>
      <c r="EY31" s="353"/>
      <c r="EZ31" s="353"/>
      <c r="FA31" s="353"/>
      <c r="FB31" s="353"/>
      <c r="FC31" s="353"/>
      <c r="FD31" s="353"/>
      <c r="FE31" s="353"/>
      <c r="FF31" s="353"/>
      <c r="FG31" s="353"/>
      <c r="FH31" s="353"/>
      <c r="FI31" s="353"/>
      <c r="FJ31" s="353"/>
      <c r="FK31" s="353"/>
      <c r="FL31" s="353"/>
      <c r="FM31" s="353"/>
      <c r="FN31" s="353"/>
      <c r="FO31" s="353"/>
      <c r="FP31" s="353"/>
      <c r="FQ31" s="353"/>
      <c r="FR31" s="353"/>
      <c r="FS31" s="353"/>
      <c r="FT31" s="353"/>
      <c r="FU31" s="353"/>
      <c r="FV31" s="353"/>
      <c r="FW31" s="353"/>
      <c r="FX31" s="353"/>
      <c r="FY31" s="353"/>
      <c r="FZ31" s="353"/>
      <c r="GA31" s="353"/>
      <c r="GB31" s="353"/>
      <c r="GC31" s="353"/>
      <c r="GD31" s="353"/>
      <c r="GE31" s="353"/>
      <c r="GF31" s="353"/>
      <c r="GG31" s="353"/>
      <c r="GH31" s="353"/>
      <c r="GI31" s="353"/>
      <c r="GJ31" s="353"/>
      <c r="GK31" s="353"/>
      <c r="GL31" s="353"/>
      <c r="GM31" s="353"/>
      <c r="GN31" s="353"/>
      <c r="GO31" s="353"/>
      <c r="GP31" s="353"/>
      <c r="GQ31" s="353"/>
      <c r="GR31" s="353"/>
      <c r="GS31" s="353"/>
      <c r="GT31" s="353"/>
      <c r="GU31" s="353"/>
      <c r="GV31" s="353"/>
      <c r="GW31" s="353"/>
      <c r="GX31" s="353"/>
      <c r="GY31" s="353"/>
      <c r="GZ31" s="353"/>
      <c r="HA31" s="353"/>
      <c r="HB31" s="353"/>
      <c r="HC31" s="353"/>
      <c r="HD31" s="353"/>
      <c r="HE31" s="353"/>
      <c r="HF31" s="353"/>
      <c r="HG31" s="353"/>
      <c r="HH31" s="353"/>
      <c r="HI31" s="353"/>
      <c r="HJ31" s="353"/>
      <c r="HK31" s="353"/>
      <c r="HL31" s="353"/>
      <c r="HM31" s="353"/>
      <c r="HN31" s="353"/>
      <c r="HO31" s="353"/>
      <c r="HP31" s="353"/>
      <c r="HQ31" s="353"/>
      <c r="HR31" s="353"/>
      <c r="HS31" s="353"/>
      <c r="HT31" s="353"/>
      <c r="HU31" s="353"/>
      <c r="HV31" s="353"/>
      <c r="HW31" s="353"/>
      <c r="HX31" s="353"/>
      <c r="HY31" s="353"/>
      <c r="HZ31" s="353"/>
      <c r="IA31" s="353"/>
      <c r="IB31" s="353"/>
      <c r="IC31" s="353"/>
      <c r="ID31" s="353"/>
      <c r="IE31" s="353"/>
      <c r="IF31" s="353"/>
      <c r="IG31" s="353"/>
      <c r="IH31" s="353"/>
      <c r="II31" s="353"/>
      <c r="IJ31" s="353"/>
      <c r="IK31" s="353"/>
      <c r="IL31" s="353"/>
      <c r="IM31" s="353"/>
      <c r="IN31" s="353"/>
      <c r="IO31" s="353"/>
      <c r="IP31" s="353"/>
      <c r="IQ31" s="353"/>
      <c r="IR31" s="353"/>
      <c r="IS31" s="353"/>
      <c r="IT31" s="353"/>
      <c r="IU31" s="353"/>
      <c r="IV31" s="353"/>
      <c r="IW31" s="353"/>
    </row>
    <row r="32" customFormat="false" ht="15.95" hidden="false" customHeight="true" outlineLevel="0" collapsed="false">
      <c r="A32" s="355" t="n">
        <v>28</v>
      </c>
      <c r="B32" s="366"/>
      <c r="C32" s="366"/>
      <c r="D32" s="367"/>
      <c r="E32" s="356"/>
      <c r="F32" s="357"/>
      <c r="G32" s="357"/>
      <c r="H32" s="365"/>
      <c r="I32" s="357"/>
      <c r="J32" s="357"/>
      <c r="K32" s="359"/>
      <c r="L32" s="361"/>
      <c r="M32" s="361"/>
      <c r="N32" s="370"/>
      <c r="O32" s="352"/>
      <c r="P32" s="353"/>
      <c r="Q32" s="353"/>
      <c r="R32" s="353"/>
      <c r="S32" s="353"/>
      <c r="T32" s="353"/>
      <c r="U32" s="353"/>
      <c r="V32" s="353"/>
      <c r="W32" s="353"/>
      <c r="X32" s="353"/>
      <c r="Y32" s="353"/>
      <c r="Z32" s="353"/>
      <c r="AA32" s="353"/>
      <c r="AB32" s="353"/>
      <c r="AC32" s="353"/>
      <c r="AD32" s="353"/>
      <c r="AE32" s="353"/>
      <c r="AF32" s="353"/>
      <c r="AG32" s="353"/>
      <c r="AH32" s="353"/>
      <c r="AI32" s="353"/>
      <c r="AJ32" s="353"/>
      <c r="AK32" s="353"/>
      <c r="AL32" s="353"/>
      <c r="AM32" s="353"/>
      <c r="AN32" s="353"/>
      <c r="AO32" s="353"/>
      <c r="AP32" s="363"/>
      <c r="AQ32" s="363"/>
      <c r="AR32" s="363"/>
      <c r="AS32" s="363"/>
      <c r="AT32" s="363"/>
      <c r="AU32" s="353"/>
      <c r="AV32" s="353"/>
      <c r="AW32" s="353"/>
      <c r="AX32" s="353"/>
      <c r="AY32" s="353"/>
      <c r="AZ32" s="363"/>
      <c r="BA32" s="363"/>
      <c r="BB32" s="363"/>
      <c r="BC32" s="363"/>
      <c r="BD32" s="363"/>
      <c r="BE32" s="363"/>
      <c r="BF32" s="363"/>
      <c r="BG32" s="363"/>
      <c r="BH32" s="363"/>
      <c r="BI32" s="363"/>
      <c r="BJ32" s="363"/>
      <c r="BK32" s="363"/>
      <c r="BL32" s="363"/>
      <c r="BM32" s="363"/>
      <c r="BN32" s="363"/>
      <c r="BO32" s="363"/>
      <c r="BP32" s="363"/>
      <c r="BQ32" s="363"/>
      <c r="BR32" s="363"/>
      <c r="BS32" s="363"/>
      <c r="BT32" s="363"/>
      <c r="BU32" s="363"/>
      <c r="BV32" s="363"/>
      <c r="BW32" s="363"/>
      <c r="BX32" s="363"/>
      <c r="BY32" s="363"/>
      <c r="BZ32" s="363"/>
      <c r="CA32" s="363"/>
      <c r="CB32" s="363"/>
      <c r="CC32" s="363"/>
      <c r="CD32" s="363"/>
      <c r="CE32" s="363"/>
      <c r="CF32" s="363"/>
      <c r="CG32" s="363"/>
      <c r="CH32" s="363"/>
      <c r="CI32" s="363"/>
      <c r="CJ32" s="363"/>
      <c r="CK32" s="363"/>
      <c r="CL32" s="363"/>
      <c r="CM32" s="363"/>
      <c r="CN32" s="363"/>
      <c r="CO32" s="363"/>
      <c r="CP32" s="363"/>
      <c r="CQ32" s="363"/>
      <c r="CR32" s="363"/>
      <c r="CS32" s="363"/>
      <c r="CT32" s="363"/>
      <c r="CU32" s="363"/>
      <c r="CV32" s="363"/>
      <c r="CW32" s="363"/>
      <c r="CX32" s="363"/>
      <c r="CY32" s="363"/>
      <c r="CZ32" s="353"/>
      <c r="DA32" s="353"/>
      <c r="DB32" s="353"/>
      <c r="DC32" s="353"/>
      <c r="DD32" s="353"/>
      <c r="DE32" s="353"/>
      <c r="DF32" s="353"/>
      <c r="DG32" s="353"/>
      <c r="DH32" s="353"/>
      <c r="DI32" s="353"/>
      <c r="DJ32" s="353"/>
      <c r="DK32" s="353"/>
      <c r="DL32" s="353"/>
      <c r="DM32" s="353"/>
      <c r="DN32" s="353"/>
      <c r="DO32" s="353"/>
      <c r="DP32" s="353"/>
      <c r="DQ32" s="353"/>
      <c r="DR32" s="353"/>
      <c r="DS32" s="353"/>
      <c r="DT32" s="353"/>
      <c r="DU32" s="353"/>
      <c r="DV32" s="353"/>
      <c r="DW32" s="353"/>
      <c r="DX32" s="353"/>
      <c r="DY32" s="353"/>
      <c r="DZ32" s="353"/>
      <c r="EA32" s="353"/>
      <c r="EB32" s="353"/>
      <c r="EC32" s="353"/>
      <c r="ED32" s="353"/>
      <c r="EE32" s="353"/>
      <c r="EF32" s="353"/>
      <c r="EG32" s="353"/>
      <c r="EH32" s="353"/>
      <c r="EI32" s="353"/>
      <c r="EJ32" s="353"/>
      <c r="EK32" s="353"/>
      <c r="EL32" s="353"/>
      <c r="EM32" s="353"/>
      <c r="EN32" s="353"/>
      <c r="EO32" s="353"/>
      <c r="EP32" s="353"/>
      <c r="EQ32" s="353"/>
      <c r="ER32" s="353"/>
      <c r="ES32" s="353"/>
      <c r="ET32" s="353"/>
      <c r="EU32" s="353"/>
      <c r="EV32" s="353"/>
      <c r="EW32" s="353"/>
      <c r="EX32" s="353"/>
      <c r="EY32" s="353"/>
      <c r="EZ32" s="353"/>
      <c r="FA32" s="353"/>
      <c r="FB32" s="353"/>
      <c r="FC32" s="353"/>
      <c r="FD32" s="353"/>
      <c r="FE32" s="353"/>
      <c r="FF32" s="353"/>
      <c r="FG32" s="353"/>
      <c r="FH32" s="353"/>
      <c r="FI32" s="353"/>
      <c r="FJ32" s="353"/>
      <c r="FK32" s="353"/>
      <c r="FL32" s="353"/>
      <c r="FM32" s="353"/>
      <c r="FN32" s="353"/>
      <c r="FO32" s="353"/>
      <c r="FP32" s="353"/>
      <c r="FQ32" s="353"/>
      <c r="FR32" s="353"/>
      <c r="FS32" s="353"/>
      <c r="FT32" s="353"/>
      <c r="FU32" s="353"/>
      <c r="FV32" s="353"/>
      <c r="FW32" s="353"/>
      <c r="FX32" s="353"/>
      <c r="FY32" s="353"/>
      <c r="FZ32" s="353"/>
      <c r="GA32" s="353"/>
      <c r="GB32" s="353"/>
      <c r="GC32" s="353"/>
      <c r="GD32" s="353"/>
      <c r="GE32" s="353"/>
      <c r="GF32" s="353"/>
      <c r="GG32" s="353"/>
      <c r="GH32" s="353"/>
      <c r="GI32" s="353"/>
      <c r="GJ32" s="353"/>
      <c r="GK32" s="353"/>
      <c r="GL32" s="353"/>
      <c r="GM32" s="353"/>
      <c r="GN32" s="353"/>
      <c r="GO32" s="353"/>
      <c r="GP32" s="353"/>
      <c r="GQ32" s="353"/>
      <c r="GR32" s="353"/>
      <c r="GS32" s="353"/>
      <c r="GT32" s="353"/>
      <c r="GU32" s="353"/>
      <c r="GV32" s="353"/>
      <c r="GW32" s="353"/>
      <c r="GX32" s="353"/>
      <c r="GY32" s="353"/>
      <c r="GZ32" s="353"/>
      <c r="HA32" s="353"/>
      <c r="HB32" s="353"/>
      <c r="HC32" s="353"/>
      <c r="HD32" s="353"/>
      <c r="HE32" s="353"/>
      <c r="HF32" s="353"/>
      <c r="HG32" s="353"/>
      <c r="HH32" s="353"/>
      <c r="HI32" s="353"/>
      <c r="HJ32" s="353"/>
      <c r="HK32" s="353"/>
      <c r="HL32" s="353"/>
      <c r="HM32" s="353"/>
      <c r="HN32" s="353"/>
      <c r="HO32" s="353"/>
      <c r="HP32" s="353"/>
      <c r="HQ32" s="353"/>
      <c r="HR32" s="353"/>
      <c r="HS32" s="353"/>
      <c r="HT32" s="353"/>
      <c r="HU32" s="353"/>
      <c r="HV32" s="353"/>
      <c r="HW32" s="353"/>
      <c r="HX32" s="353"/>
      <c r="HY32" s="353"/>
      <c r="HZ32" s="353"/>
      <c r="IA32" s="353"/>
      <c r="IB32" s="353"/>
      <c r="IC32" s="353"/>
      <c r="ID32" s="353"/>
      <c r="IE32" s="353"/>
      <c r="IF32" s="353"/>
      <c r="IG32" s="353"/>
      <c r="IH32" s="353"/>
      <c r="II32" s="353"/>
      <c r="IJ32" s="353"/>
      <c r="IK32" s="353"/>
      <c r="IL32" s="353"/>
      <c r="IM32" s="353"/>
      <c r="IN32" s="353"/>
      <c r="IO32" s="353"/>
      <c r="IP32" s="353"/>
      <c r="IQ32" s="353"/>
      <c r="IR32" s="353"/>
      <c r="IS32" s="353"/>
      <c r="IT32" s="353"/>
      <c r="IU32" s="353"/>
      <c r="IV32" s="353"/>
      <c r="IW32" s="353"/>
    </row>
    <row r="33" customFormat="false" ht="15.95" hidden="false" customHeight="true" outlineLevel="0" collapsed="false">
      <c r="A33" s="355" t="n">
        <v>29</v>
      </c>
      <c r="B33" s="356"/>
      <c r="C33" s="356"/>
      <c r="D33" s="357"/>
      <c r="E33" s="366"/>
      <c r="F33" s="367"/>
      <c r="G33" s="367"/>
      <c r="H33" s="365"/>
      <c r="I33" s="367"/>
      <c r="J33" s="367"/>
      <c r="K33" s="367"/>
      <c r="L33" s="361"/>
      <c r="M33" s="361"/>
      <c r="N33" s="370"/>
      <c r="O33" s="352"/>
      <c r="P33" s="344"/>
      <c r="Q33" s="344"/>
      <c r="R33" s="344"/>
      <c r="S33" s="344"/>
      <c r="T33" s="344"/>
      <c r="U33" s="344"/>
      <c r="V33" s="344"/>
      <c r="W33" s="344"/>
      <c r="X33" s="344"/>
      <c r="Y33" s="344"/>
      <c r="Z33" s="344"/>
      <c r="AA33" s="344"/>
      <c r="AB33" s="344"/>
      <c r="AC33" s="344"/>
      <c r="AD33" s="344"/>
      <c r="AE33" s="344"/>
      <c r="AF33" s="344"/>
      <c r="AG33" s="344"/>
      <c r="AH33" s="344"/>
      <c r="AI33" s="344"/>
      <c r="AJ33" s="344"/>
      <c r="AK33" s="344"/>
      <c r="AL33" s="344"/>
      <c r="AM33" s="344"/>
      <c r="AN33" s="344"/>
      <c r="AO33" s="344"/>
      <c r="AP33" s="344"/>
      <c r="AQ33" s="344"/>
      <c r="AR33" s="344"/>
      <c r="AS33" s="344"/>
      <c r="AT33" s="344"/>
      <c r="AU33" s="344"/>
      <c r="AV33" s="344"/>
      <c r="AW33" s="344"/>
      <c r="AX33" s="344"/>
      <c r="AY33" s="344"/>
      <c r="AZ33" s="344"/>
      <c r="BA33" s="344"/>
      <c r="BB33" s="344"/>
      <c r="BC33" s="344"/>
      <c r="BD33" s="344"/>
      <c r="BE33" s="344"/>
      <c r="BF33" s="344"/>
      <c r="BG33" s="344"/>
      <c r="BH33" s="344"/>
      <c r="BI33" s="344"/>
      <c r="BJ33" s="344"/>
      <c r="BK33" s="344"/>
      <c r="BL33" s="344"/>
      <c r="BM33" s="344"/>
      <c r="BN33" s="344"/>
      <c r="BO33" s="344"/>
      <c r="BP33" s="344"/>
      <c r="BQ33" s="344"/>
      <c r="BR33" s="344"/>
      <c r="BS33" s="344"/>
      <c r="BT33" s="344"/>
      <c r="BU33" s="344"/>
      <c r="BV33" s="344"/>
      <c r="BW33" s="344"/>
      <c r="BX33" s="344"/>
      <c r="BY33" s="344"/>
      <c r="BZ33" s="344"/>
      <c r="CA33" s="344"/>
      <c r="CB33" s="344"/>
      <c r="CC33" s="344"/>
      <c r="CD33" s="344"/>
      <c r="CE33" s="344"/>
      <c r="CF33" s="344"/>
      <c r="CG33" s="344"/>
      <c r="CH33" s="344"/>
      <c r="CI33" s="344"/>
      <c r="CJ33" s="344"/>
      <c r="CK33" s="344"/>
      <c r="CL33" s="344"/>
      <c r="CM33" s="344"/>
      <c r="CN33" s="344"/>
      <c r="CO33" s="344"/>
      <c r="CP33" s="344"/>
      <c r="CQ33" s="344"/>
      <c r="CR33" s="344"/>
      <c r="CS33" s="344"/>
      <c r="CT33" s="344"/>
      <c r="CU33" s="344"/>
      <c r="CV33" s="344"/>
      <c r="CW33" s="344"/>
      <c r="CX33" s="344"/>
      <c r="CY33" s="344"/>
      <c r="CZ33" s="344"/>
      <c r="DA33" s="344"/>
      <c r="DB33" s="344"/>
      <c r="DC33" s="344"/>
      <c r="DD33" s="344"/>
      <c r="DE33" s="344"/>
      <c r="DF33" s="344"/>
      <c r="DG33" s="344"/>
      <c r="DH33" s="344"/>
      <c r="DI33" s="344"/>
      <c r="DJ33" s="344"/>
      <c r="DK33" s="344"/>
      <c r="DL33" s="344"/>
      <c r="DM33" s="344"/>
      <c r="DN33" s="344"/>
      <c r="DO33" s="344"/>
      <c r="DP33" s="344"/>
      <c r="DQ33" s="344"/>
      <c r="DR33" s="344"/>
      <c r="DS33" s="344"/>
      <c r="DT33" s="344"/>
      <c r="DU33" s="344"/>
      <c r="DV33" s="344"/>
      <c r="DW33" s="344"/>
      <c r="DX33" s="344"/>
      <c r="DY33" s="344"/>
      <c r="DZ33" s="344"/>
      <c r="EA33" s="344"/>
      <c r="EB33" s="344"/>
      <c r="EC33" s="344"/>
      <c r="ED33" s="344"/>
      <c r="EE33" s="344"/>
      <c r="EF33" s="344"/>
      <c r="EG33" s="344"/>
      <c r="EH33" s="344"/>
      <c r="EI33" s="344"/>
      <c r="EJ33" s="344"/>
      <c r="EK33" s="344"/>
      <c r="EL33" s="344"/>
      <c r="EM33" s="344"/>
      <c r="EN33" s="344"/>
      <c r="EO33" s="344"/>
      <c r="EP33" s="344"/>
      <c r="EQ33" s="344"/>
      <c r="ER33" s="344"/>
      <c r="ES33" s="344"/>
      <c r="ET33" s="344"/>
      <c r="EU33" s="344"/>
      <c r="EV33" s="344"/>
      <c r="EW33" s="344"/>
      <c r="EX33" s="344"/>
      <c r="EY33" s="344"/>
      <c r="EZ33" s="344"/>
      <c r="FA33" s="344"/>
      <c r="FB33" s="344"/>
      <c r="FC33" s="344"/>
      <c r="FD33" s="344"/>
      <c r="FE33" s="344"/>
      <c r="FF33" s="344"/>
      <c r="FG33" s="344"/>
      <c r="FH33" s="344"/>
      <c r="FI33" s="344"/>
      <c r="FJ33" s="344"/>
      <c r="FK33" s="344"/>
      <c r="FL33" s="344"/>
      <c r="FM33" s="344"/>
      <c r="FN33" s="344"/>
      <c r="FO33" s="344"/>
      <c r="FP33" s="344"/>
      <c r="FQ33" s="344"/>
      <c r="FR33" s="344"/>
      <c r="FS33" s="344"/>
      <c r="FT33" s="344"/>
      <c r="FU33" s="344"/>
      <c r="FV33" s="344"/>
      <c r="FW33" s="344"/>
      <c r="FX33" s="344"/>
      <c r="FY33" s="344"/>
      <c r="FZ33" s="344"/>
      <c r="GA33" s="344"/>
      <c r="GB33" s="344"/>
      <c r="GC33" s="344"/>
      <c r="GD33" s="344"/>
      <c r="GE33" s="344"/>
      <c r="GF33" s="344"/>
      <c r="GG33" s="344"/>
      <c r="GH33" s="344"/>
      <c r="GI33" s="344"/>
      <c r="GJ33" s="344"/>
      <c r="GK33" s="344"/>
      <c r="GL33" s="344"/>
      <c r="GM33" s="344"/>
      <c r="GN33" s="344"/>
      <c r="GO33" s="344"/>
      <c r="GP33" s="344"/>
      <c r="GQ33" s="344"/>
      <c r="GR33" s="344"/>
      <c r="GS33" s="344"/>
      <c r="GT33" s="344"/>
      <c r="GU33" s="344"/>
      <c r="GV33" s="344"/>
      <c r="GW33" s="344"/>
      <c r="GX33" s="344"/>
      <c r="GY33" s="344"/>
      <c r="GZ33" s="344"/>
      <c r="HA33" s="344"/>
      <c r="HB33" s="344"/>
      <c r="HC33" s="344"/>
      <c r="HD33" s="344"/>
      <c r="HE33" s="344"/>
      <c r="HF33" s="344"/>
      <c r="HG33" s="344"/>
      <c r="HH33" s="344"/>
      <c r="HI33" s="344"/>
      <c r="HJ33" s="344"/>
      <c r="HK33" s="344"/>
      <c r="HL33" s="344"/>
      <c r="HM33" s="344"/>
      <c r="HN33" s="344"/>
      <c r="HO33" s="344"/>
      <c r="HP33" s="344"/>
      <c r="HQ33" s="344"/>
      <c r="HR33" s="344"/>
      <c r="HS33" s="344"/>
      <c r="HT33" s="344"/>
      <c r="HU33" s="344"/>
      <c r="HV33" s="344"/>
      <c r="HW33" s="344"/>
      <c r="HX33" s="344"/>
      <c r="HY33" s="344"/>
      <c r="HZ33" s="344"/>
      <c r="IA33" s="344"/>
      <c r="IB33" s="344"/>
      <c r="IC33" s="344"/>
      <c r="ID33" s="344"/>
      <c r="IE33" s="344"/>
      <c r="IF33" s="344"/>
      <c r="IG33" s="344"/>
      <c r="IH33" s="344"/>
      <c r="II33" s="344"/>
      <c r="IJ33" s="344"/>
      <c r="IK33" s="344"/>
      <c r="IL33" s="344"/>
      <c r="IM33" s="344"/>
      <c r="IN33" s="344"/>
      <c r="IO33" s="344"/>
      <c r="IP33" s="344"/>
      <c r="IQ33" s="344"/>
      <c r="IR33" s="344"/>
      <c r="IS33" s="344"/>
      <c r="IT33" s="344"/>
      <c r="IU33" s="344"/>
      <c r="IV33" s="344"/>
      <c r="IW33" s="344"/>
    </row>
    <row r="34" customFormat="false" ht="15.95" hidden="false" customHeight="true" outlineLevel="0" collapsed="false">
      <c r="A34" s="355" t="n">
        <v>30</v>
      </c>
      <c r="B34" s="366"/>
      <c r="C34" s="366"/>
      <c r="D34" s="367"/>
      <c r="E34" s="366"/>
      <c r="F34" s="367"/>
      <c r="G34" s="367"/>
      <c r="H34" s="365"/>
      <c r="I34" s="367"/>
      <c r="J34" s="367"/>
      <c r="K34" s="367"/>
      <c r="L34" s="361"/>
      <c r="M34" s="361"/>
      <c r="N34" s="370"/>
      <c r="O34" s="352"/>
      <c r="P34" s="344"/>
      <c r="Q34" s="344"/>
      <c r="R34" s="344"/>
      <c r="S34" s="344"/>
      <c r="T34" s="344"/>
      <c r="U34" s="344"/>
      <c r="V34" s="344"/>
      <c r="W34" s="344"/>
      <c r="X34" s="344"/>
      <c r="Y34" s="344"/>
      <c r="Z34" s="344"/>
      <c r="AA34" s="344"/>
      <c r="AB34" s="344"/>
      <c r="AC34" s="344"/>
      <c r="AD34" s="344"/>
      <c r="AE34" s="344"/>
      <c r="AF34" s="344"/>
      <c r="AG34" s="344"/>
      <c r="AH34" s="344"/>
      <c r="AI34" s="344"/>
      <c r="AJ34" s="344"/>
      <c r="AK34" s="344"/>
      <c r="AL34" s="344"/>
      <c r="AM34" s="344"/>
      <c r="AN34" s="344"/>
      <c r="AO34" s="344"/>
      <c r="AP34" s="344"/>
      <c r="AQ34" s="344"/>
      <c r="AR34" s="344"/>
      <c r="AS34" s="344"/>
      <c r="AT34" s="344"/>
      <c r="AU34" s="344"/>
      <c r="AV34" s="344"/>
      <c r="AW34" s="344"/>
      <c r="AX34" s="344"/>
      <c r="AY34" s="344"/>
      <c r="AZ34" s="344"/>
      <c r="BA34" s="344"/>
      <c r="BB34" s="344"/>
      <c r="BC34" s="344"/>
      <c r="BD34" s="344"/>
      <c r="BE34" s="344"/>
      <c r="BF34" s="344"/>
      <c r="BG34" s="344"/>
      <c r="BH34" s="344"/>
      <c r="BI34" s="344"/>
      <c r="BJ34" s="344"/>
      <c r="BK34" s="344"/>
      <c r="BL34" s="344"/>
      <c r="BM34" s="344"/>
      <c r="BN34" s="344"/>
      <c r="BO34" s="344"/>
      <c r="BP34" s="344"/>
      <c r="BQ34" s="344"/>
      <c r="BR34" s="344"/>
      <c r="BS34" s="344"/>
      <c r="BT34" s="344"/>
      <c r="BU34" s="344"/>
      <c r="BV34" s="344"/>
      <c r="BW34" s="344"/>
      <c r="BX34" s="344"/>
      <c r="BY34" s="344"/>
      <c r="BZ34" s="344"/>
      <c r="CA34" s="344"/>
      <c r="CB34" s="344"/>
      <c r="CC34" s="344"/>
      <c r="CD34" s="344"/>
      <c r="CE34" s="344"/>
      <c r="CF34" s="344"/>
      <c r="CG34" s="344"/>
      <c r="CH34" s="344"/>
      <c r="CI34" s="344"/>
      <c r="CJ34" s="344"/>
      <c r="CK34" s="344"/>
      <c r="CL34" s="344"/>
      <c r="CM34" s="344"/>
      <c r="CN34" s="344"/>
      <c r="CO34" s="344"/>
      <c r="CP34" s="344"/>
      <c r="CQ34" s="344"/>
      <c r="CR34" s="344"/>
      <c r="CS34" s="344"/>
      <c r="CT34" s="344"/>
      <c r="CU34" s="344"/>
      <c r="CV34" s="344"/>
      <c r="CW34" s="344"/>
      <c r="CX34" s="344"/>
      <c r="CY34" s="344"/>
      <c r="CZ34" s="344"/>
      <c r="DA34" s="344"/>
      <c r="DB34" s="344"/>
      <c r="DC34" s="344"/>
      <c r="DD34" s="344"/>
      <c r="DE34" s="344"/>
      <c r="DF34" s="344"/>
      <c r="DG34" s="344"/>
      <c r="DH34" s="344"/>
      <c r="DI34" s="344"/>
      <c r="DJ34" s="344"/>
      <c r="DK34" s="344"/>
      <c r="DL34" s="344"/>
      <c r="DM34" s="344"/>
      <c r="DN34" s="344"/>
      <c r="DO34" s="344"/>
      <c r="DP34" s="344"/>
      <c r="DQ34" s="344"/>
      <c r="DR34" s="344"/>
      <c r="DS34" s="344"/>
      <c r="DT34" s="344"/>
      <c r="DU34" s="344"/>
      <c r="DV34" s="344"/>
      <c r="DW34" s="344"/>
      <c r="DX34" s="344"/>
      <c r="DY34" s="344"/>
      <c r="DZ34" s="344"/>
      <c r="EA34" s="344"/>
      <c r="EB34" s="344"/>
      <c r="EC34" s="344"/>
      <c r="ED34" s="344"/>
      <c r="EE34" s="344"/>
      <c r="EF34" s="344"/>
      <c r="EG34" s="344"/>
      <c r="EH34" s="344"/>
      <c r="EI34" s="344"/>
      <c r="EJ34" s="344"/>
      <c r="EK34" s="344"/>
      <c r="EL34" s="344"/>
      <c r="EM34" s="344"/>
      <c r="EN34" s="344"/>
      <c r="EO34" s="344"/>
      <c r="EP34" s="344"/>
      <c r="EQ34" s="344"/>
      <c r="ER34" s="344"/>
      <c r="ES34" s="344"/>
      <c r="ET34" s="344"/>
      <c r="EU34" s="344"/>
      <c r="EV34" s="344"/>
      <c r="EW34" s="344"/>
      <c r="EX34" s="344"/>
      <c r="EY34" s="344"/>
      <c r="EZ34" s="344"/>
      <c r="FA34" s="344"/>
      <c r="FB34" s="344"/>
      <c r="FC34" s="344"/>
      <c r="FD34" s="344"/>
      <c r="FE34" s="344"/>
      <c r="FF34" s="344"/>
      <c r="FG34" s="344"/>
      <c r="FH34" s="344"/>
      <c r="FI34" s="344"/>
      <c r="FJ34" s="344"/>
      <c r="FK34" s="344"/>
      <c r="FL34" s="344"/>
      <c r="FM34" s="344"/>
      <c r="FN34" s="344"/>
      <c r="FO34" s="344"/>
      <c r="FP34" s="344"/>
      <c r="FQ34" s="344"/>
      <c r="FR34" s="344"/>
      <c r="FS34" s="344"/>
      <c r="FT34" s="344"/>
      <c r="FU34" s="344"/>
      <c r="FV34" s="344"/>
      <c r="FW34" s="344"/>
      <c r="FX34" s="344"/>
      <c r="FY34" s="344"/>
      <c r="FZ34" s="344"/>
      <c r="GA34" s="344"/>
      <c r="GB34" s="344"/>
      <c r="GC34" s="344"/>
      <c r="GD34" s="344"/>
      <c r="GE34" s="344"/>
      <c r="GF34" s="344"/>
      <c r="GG34" s="344"/>
      <c r="GH34" s="344"/>
      <c r="GI34" s="344"/>
      <c r="GJ34" s="344"/>
      <c r="GK34" s="344"/>
      <c r="GL34" s="344"/>
      <c r="GM34" s="344"/>
      <c r="GN34" s="344"/>
      <c r="GO34" s="344"/>
      <c r="GP34" s="344"/>
      <c r="GQ34" s="344"/>
      <c r="GR34" s="344"/>
      <c r="GS34" s="344"/>
      <c r="GT34" s="344"/>
      <c r="GU34" s="344"/>
      <c r="GV34" s="344"/>
      <c r="GW34" s="344"/>
      <c r="GX34" s="344"/>
      <c r="GY34" s="344"/>
      <c r="GZ34" s="344"/>
      <c r="HA34" s="344"/>
      <c r="HB34" s="344"/>
      <c r="HC34" s="344"/>
      <c r="HD34" s="344"/>
      <c r="HE34" s="344"/>
      <c r="HF34" s="344"/>
      <c r="HG34" s="344"/>
      <c r="HH34" s="344"/>
      <c r="HI34" s="344"/>
      <c r="HJ34" s="344"/>
      <c r="HK34" s="344"/>
      <c r="HL34" s="344"/>
      <c r="HM34" s="344"/>
      <c r="HN34" s="344"/>
      <c r="HO34" s="344"/>
      <c r="HP34" s="344"/>
      <c r="HQ34" s="344"/>
      <c r="HR34" s="344"/>
      <c r="HS34" s="344"/>
      <c r="HT34" s="344"/>
      <c r="HU34" s="344"/>
      <c r="HV34" s="344"/>
      <c r="HW34" s="344"/>
      <c r="HX34" s="344"/>
      <c r="HY34" s="344"/>
      <c r="HZ34" s="344"/>
      <c r="IA34" s="344"/>
      <c r="IB34" s="344"/>
      <c r="IC34" s="344"/>
      <c r="ID34" s="344"/>
      <c r="IE34" s="344"/>
      <c r="IF34" s="344"/>
      <c r="IG34" s="344"/>
      <c r="IH34" s="344"/>
      <c r="II34" s="344"/>
      <c r="IJ34" s="344"/>
      <c r="IK34" s="344"/>
      <c r="IL34" s="344"/>
      <c r="IM34" s="344"/>
      <c r="IN34" s="344"/>
      <c r="IO34" s="344"/>
      <c r="IP34" s="344"/>
      <c r="IQ34" s="344"/>
      <c r="IR34" s="344"/>
      <c r="IS34" s="344"/>
      <c r="IT34" s="344"/>
      <c r="IU34" s="344"/>
      <c r="IV34" s="344"/>
      <c r="IW34" s="344"/>
    </row>
    <row r="35" customFormat="false" ht="15.95" hidden="false" customHeight="true" outlineLevel="0" collapsed="false">
      <c r="A35" s="355" t="n">
        <v>31</v>
      </c>
      <c r="B35" s="366"/>
      <c r="C35" s="366"/>
      <c r="D35" s="367"/>
      <c r="E35" s="366"/>
      <c r="F35" s="367"/>
      <c r="G35" s="367"/>
      <c r="H35" s="365"/>
      <c r="I35" s="367"/>
      <c r="J35" s="367"/>
      <c r="K35" s="367"/>
      <c r="L35" s="361"/>
      <c r="M35" s="361"/>
      <c r="N35" s="370"/>
      <c r="O35" s="352"/>
      <c r="P35" s="344"/>
      <c r="Q35" s="344"/>
      <c r="R35" s="344"/>
      <c r="S35" s="344"/>
      <c r="T35" s="344"/>
      <c r="U35" s="344"/>
      <c r="V35" s="344"/>
      <c r="W35" s="344"/>
      <c r="X35" s="344"/>
      <c r="Y35" s="344"/>
      <c r="Z35" s="344"/>
      <c r="AA35" s="344"/>
      <c r="AB35" s="344"/>
      <c r="AC35" s="344"/>
      <c r="AD35" s="344"/>
      <c r="AE35" s="344"/>
      <c r="AF35" s="344"/>
      <c r="AG35" s="344"/>
      <c r="AH35" s="344"/>
      <c r="AI35" s="344"/>
      <c r="AJ35" s="344"/>
      <c r="AK35" s="344"/>
      <c r="AL35" s="344"/>
      <c r="AM35" s="344"/>
      <c r="AN35" s="344"/>
      <c r="AO35" s="344"/>
      <c r="AP35" s="344"/>
      <c r="AQ35" s="344"/>
      <c r="AR35" s="344"/>
      <c r="AS35" s="344"/>
      <c r="AT35" s="344"/>
      <c r="AU35" s="344"/>
      <c r="AV35" s="344"/>
      <c r="AW35" s="344"/>
      <c r="AX35" s="344"/>
      <c r="AY35" s="344"/>
      <c r="AZ35" s="344"/>
      <c r="BA35" s="344"/>
      <c r="BB35" s="344"/>
      <c r="BC35" s="344"/>
      <c r="BD35" s="344"/>
      <c r="BE35" s="344"/>
      <c r="BF35" s="344"/>
      <c r="BG35" s="344"/>
      <c r="BH35" s="344"/>
      <c r="BI35" s="344"/>
      <c r="BJ35" s="344"/>
      <c r="BK35" s="344"/>
      <c r="BL35" s="344"/>
      <c r="BM35" s="344"/>
      <c r="BN35" s="344"/>
      <c r="BO35" s="344"/>
      <c r="BP35" s="344"/>
      <c r="BQ35" s="344"/>
      <c r="BR35" s="344"/>
      <c r="BS35" s="344"/>
      <c r="BT35" s="344"/>
      <c r="BU35" s="344"/>
      <c r="BV35" s="344"/>
      <c r="BW35" s="344"/>
      <c r="BX35" s="344"/>
      <c r="BY35" s="344"/>
      <c r="BZ35" s="344"/>
      <c r="CA35" s="344"/>
      <c r="CB35" s="344"/>
      <c r="CC35" s="344"/>
      <c r="CD35" s="344"/>
      <c r="CE35" s="344"/>
      <c r="CF35" s="344"/>
      <c r="CG35" s="344"/>
      <c r="CH35" s="344"/>
      <c r="CI35" s="344"/>
      <c r="CJ35" s="344"/>
      <c r="CK35" s="344"/>
      <c r="CL35" s="344"/>
      <c r="CM35" s="344"/>
      <c r="CN35" s="344"/>
      <c r="CO35" s="344"/>
      <c r="CP35" s="344"/>
      <c r="CQ35" s="344"/>
      <c r="CR35" s="344"/>
      <c r="CS35" s="344"/>
      <c r="CT35" s="344"/>
      <c r="CU35" s="344"/>
      <c r="CV35" s="344"/>
      <c r="CW35" s="344"/>
      <c r="CX35" s="344"/>
      <c r="CY35" s="344"/>
      <c r="CZ35" s="344"/>
      <c r="DA35" s="344"/>
      <c r="DB35" s="344"/>
      <c r="DC35" s="344"/>
      <c r="DD35" s="344"/>
      <c r="DE35" s="344"/>
      <c r="DF35" s="344"/>
      <c r="DG35" s="344"/>
      <c r="DH35" s="344"/>
      <c r="DI35" s="344"/>
      <c r="DJ35" s="344"/>
      <c r="DK35" s="344"/>
      <c r="DL35" s="344"/>
      <c r="DM35" s="344"/>
      <c r="DN35" s="344"/>
      <c r="DO35" s="344"/>
      <c r="DP35" s="344"/>
      <c r="DQ35" s="344"/>
      <c r="DR35" s="344"/>
      <c r="DS35" s="344"/>
      <c r="DT35" s="344"/>
      <c r="DU35" s="344"/>
      <c r="DV35" s="344"/>
      <c r="DW35" s="344"/>
      <c r="DX35" s="344"/>
      <c r="DY35" s="344"/>
      <c r="DZ35" s="344"/>
      <c r="EA35" s="344"/>
      <c r="EB35" s="344"/>
      <c r="EC35" s="344"/>
      <c r="ED35" s="344"/>
      <c r="EE35" s="344"/>
      <c r="EF35" s="344"/>
      <c r="EG35" s="344"/>
      <c r="EH35" s="344"/>
      <c r="EI35" s="344"/>
      <c r="EJ35" s="344"/>
      <c r="EK35" s="344"/>
      <c r="EL35" s="344"/>
      <c r="EM35" s="344"/>
      <c r="EN35" s="344"/>
      <c r="EO35" s="344"/>
      <c r="EP35" s="344"/>
      <c r="EQ35" s="344"/>
      <c r="ER35" s="344"/>
      <c r="ES35" s="344"/>
      <c r="ET35" s="344"/>
      <c r="EU35" s="344"/>
      <c r="EV35" s="344"/>
      <c r="EW35" s="344"/>
      <c r="EX35" s="344"/>
      <c r="EY35" s="344"/>
      <c r="EZ35" s="344"/>
      <c r="FA35" s="344"/>
      <c r="FB35" s="344"/>
      <c r="FC35" s="344"/>
      <c r="FD35" s="344"/>
      <c r="FE35" s="344"/>
      <c r="FF35" s="344"/>
      <c r="FG35" s="344"/>
      <c r="FH35" s="344"/>
      <c r="FI35" s="344"/>
      <c r="FJ35" s="344"/>
      <c r="FK35" s="344"/>
      <c r="FL35" s="344"/>
      <c r="FM35" s="344"/>
      <c r="FN35" s="344"/>
      <c r="FO35" s="344"/>
      <c r="FP35" s="344"/>
      <c r="FQ35" s="344"/>
      <c r="FR35" s="344"/>
      <c r="FS35" s="344"/>
      <c r="FT35" s="344"/>
      <c r="FU35" s="344"/>
      <c r="FV35" s="344"/>
      <c r="FW35" s="344"/>
      <c r="FX35" s="344"/>
      <c r="FY35" s="344"/>
      <c r="FZ35" s="344"/>
      <c r="GA35" s="344"/>
      <c r="GB35" s="344"/>
      <c r="GC35" s="344"/>
      <c r="GD35" s="344"/>
      <c r="GE35" s="344"/>
      <c r="GF35" s="344"/>
      <c r="GG35" s="344"/>
      <c r="GH35" s="344"/>
      <c r="GI35" s="344"/>
      <c r="GJ35" s="344"/>
      <c r="GK35" s="344"/>
      <c r="GL35" s="344"/>
      <c r="GM35" s="344"/>
      <c r="GN35" s="344"/>
      <c r="GO35" s="344"/>
      <c r="GP35" s="344"/>
      <c r="GQ35" s="344"/>
      <c r="GR35" s="344"/>
      <c r="GS35" s="344"/>
      <c r="GT35" s="344"/>
      <c r="GU35" s="344"/>
      <c r="GV35" s="344"/>
      <c r="GW35" s="344"/>
      <c r="GX35" s="344"/>
      <c r="GY35" s="344"/>
      <c r="GZ35" s="344"/>
      <c r="HA35" s="344"/>
      <c r="HB35" s="344"/>
      <c r="HC35" s="344"/>
      <c r="HD35" s="344"/>
      <c r="HE35" s="344"/>
      <c r="HF35" s="344"/>
      <c r="HG35" s="344"/>
      <c r="HH35" s="344"/>
      <c r="HI35" s="344"/>
      <c r="HJ35" s="344"/>
      <c r="HK35" s="344"/>
      <c r="HL35" s="344"/>
      <c r="HM35" s="344"/>
      <c r="HN35" s="344"/>
      <c r="HO35" s="344"/>
      <c r="HP35" s="344"/>
      <c r="HQ35" s="344"/>
      <c r="HR35" s="344"/>
      <c r="HS35" s="344"/>
      <c r="HT35" s="344"/>
      <c r="HU35" s="344"/>
      <c r="HV35" s="344"/>
      <c r="HW35" s="344"/>
      <c r="HX35" s="344"/>
      <c r="HY35" s="344"/>
      <c r="HZ35" s="344"/>
      <c r="IA35" s="344"/>
      <c r="IB35" s="344"/>
      <c r="IC35" s="344"/>
      <c r="ID35" s="344"/>
      <c r="IE35" s="344"/>
      <c r="IF35" s="344"/>
      <c r="IG35" s="344"/>
      <c r="IH35" s="344"/>
      <c r="II35" s="344"/>
      <c r="IJ35" s="344"/>
      <c r="IK35" s="344"/>
      <c r="IL35" s="344"/>
      <c r="IM35" s="344"/>
      <c r="IN35" s="344"/>
      <c r="IO35" s="344"/>
      <c r="IP35" s="344"/>
      <c r="IQ35" s="344"/>
      <c r="IR35" s="344"/>
      <c r="IS35" s="344"/>
      <c r="IT35" s="344"/>
      <c r="IU35" s="344"/>
      <c r="IV35" s="344"/>
      <c r="IW35" s="344"/>
    </row>
    <row r="36" customFormat="false" ht="15.95" hidden="false" customHeight="true" outlineLevel="0" collapsed="false">
      <c r="A36" s="355" t="n">
        <v>32</v>
      </c>
      <c r="B36" s="366"/>
      <c r="C36" s="366"/>
      <c r="D36" s="367"/>
      <c r="E36" s="366"/>
      <c r="F36" s="367"/>
      <c r="G36" s="367"/>
      <c r="H36" s="367"/>
      <c r="I36" s="367"/>
      <c r="J36" s="367"/>
      <c r="K36" s="367"/>
      <c r="L36" s="361"/>
      <c r="M36" s="361"/>
      <c r="N36" s="370"/>
      <c r="O36" s="352"/>
      <c r="P36" s="344"/>
      <c r="Q36" s="344"/>
      <c r="R36" s="344"/>
      <c r="S36" s="344"/>
      <c r="T36" s="344"/>
      <c r="U36" s="344"/>
      <c r="V36" s="344"/>
      <c r="W36" s="344"/>
      <c r="X36" s="344"/>
      <c r="Y36" s="344"/>
      <c r="Z36" s="344"/>
      <c r="AA36" s="344"/>
      <c r="AB36" s="344"/>
      <c r="AC36" s="344"/>
      <c r="AD36" s="344"/>
      <c r="AE36" s="344"/>
      <c r="AF36" s="344"/>
      <c r="AG36" s="344"/>
      <c r="AH36" s="344"/>
      <c r="AI36" s="344"/>
      <c r="AJ36" s="344"/>
      <c r="AK36" s="344"/>
      <c r="AL36" s="344"/>
      <c r="AM36" s="344"/>
      <c r="AN36" s="344"/>
      <c r="AO36" s="344"/>
      <c r="AP36" s="344"/>
      <c r="AQ36" s="344"/>
      <c r="AR36" s="344"/>
      <c r="AS36" s="344"/>
      <c r="AT36" s="344"/>
      <c r="AU36" s="344"/>
      <c r="AV36" s="344"/>
      <c r="AW36" s="344"/>
      <c r="AX36" s="344"/>
      <c r="AY36" s="344"/>
      <c r="AZ36" s="344"/>
      <c r="BA36" s="344"/>
      <c r="BB36" s="344"/>
      <c r="BC36" s="344"/>
      <c r="BD36" s="344"/>
      <c r="BE36" s="344"/>
      <c r="BF36" s="344"/>
      <c r="BG36" s="344"/>
      <c r="BH36" s="344"/>
      <c r="BI36" s="344"/>
      <c r="BJ36" s="344"/>
      <c r="BK36" s="344"/>
      <c r="BL36" s="344"/>
      <c r="BM36" s="344"/>
      <c r="BN36" s="344"/>
      <c r="BO36" s="344"/>
      <c r="BP36" s="344"/>
      <c r="BQ36" s="344"/>
      <c r="BR36" s="344"/>
      <c r="BS36" s="344"/>
      <c r="BT36" s="344"/>
      <c r="BU36" s="344"/>
      <c r="BV36" s="344"/>
      <c r="BW36" s="344"/>
      <c r="BX36" s="344"/>
      <c r="BY36" s="344"/>
      <c r="BZ36" s="344"/>
      <c r="CA36" s="344"/>
      <c r="CB36" s="344"/>
      <c r="CC36" s="344"/>
      <c r="CD36" s="344"/>
      <c r="CE36" s="344"/>
      <c r="CF36" s="344"/>
      <c r="CG36" s="344"/>
      <c r="CH36" s="344"/>
      <c r="CI36" s="344"/>
      <c r="CJ36" s="344"/>
      <c r="CK36" s="344"/>
      <c r="CL36" s="344"/>
      <c r="CM36" s="344"/>
      <c r="CN36" s="344"/>
      <c r="CO36" s="344"/>
      <c r="CP36" s="344"/>
      <c r="CQ36" s="344"/>
      <c r="CR36" s="344"/>
      <c r="CS36" s="344"/>
      <c r="CT36" s="344"/>
      <c r="CU36" s="344"/>
      <c r="CV36" s="344"/>
      <c r="CW36" s="344"/>
      <c r="CX36" s="344"/>
      <c r="CY36" s="344"/>
      <c r="CZ36" s="344"/>
      <c r="DA36" s="344"/>
      <c r="DB36" s="344"/>
      <c r="DC36" s="344"/>
      <c r="DD36" s="344"/>
      <c r="DE36" s="344"/>
      <c r="DF36" s="344"/>
      <c r="DG36" s="344"/>
      <c r="DH36" s="344"/>
      <c r="DI36" s="344"/>
      <c r="DJ36" s="344"/>
      <c r="DK36" s="344"/>
      <c r="DL36" s="344"/>
      <c r="DM36" s="344"/>
      <c r="DN36" s="344"/>
      <c r="DO36" s="344"/>
      <c r="DP36" s="344"/>
      <c r="DQ36" s="344"/>
      <c r="DR36" s="344"/>
      <c r="DS36" s="344"/>
      <c r="DT36" s="344"/>
      <c r="DU36" s="344"/>
      <c r="DV36" s="344"/>
      <c r="DW36" s="344"/>
      <c r="DX36" s="344"/>
      <c r="DY36" s="344"/>
      <c r="DZ36" s="344"/>
      <c r="EA36" s="344"/>
      <c r="EB36" s="344"/>
      <c r="EC36" s="344"/>
      <c r="ED36" s="344"/>
      <c r="EE36" s="344"/>
      <c r="EF36" s="344"/>
      <c r="EG36" s="344"/>
      <c r="EH36" s="344"/>
      <c r="EI36" s="344"/>
      <c r="EJ36" s="344"/>
      <c r="EK36" s="344"/>
      <c r="EL36" s="344"/>
      <c r="EM36" s="344"/>
      <c r="EN36" s="344"/>
      <c r="EO36" s="344"/>
      <c r="EP36" s="344"/>
      <c r="EQ36" s="344"/>
      <c r="ER36" s="344"/>
      <c r="ES36" s="344"/>
      <c r="ET36" s="344"/>
      <c r="EU36" s="344"/>
      <c r="EV36" s="344"/>
      <c r="EW36" s="344"/>
      <c r="EX36" s="344"/>
      <c r="EY36" s="344"/>
      <c r="EZ36" s="344"/>
      <c r="FA36" s="344"/>
      <c r="FB36" s="344"/>
      <c r="FC36" s="344"/>
      <c r="FD36" s="344"/>
      <c r="FE36" s="344"/>
      <c r="FF36" s="344"/>
      <c r="FG36" s="344"/>
      <c r="FH36" s="344"/>
      <c r="FI36" s="344"/>
      <c r="FJ36" s="344"/>
      <c r="FK36" s="344"/>
      <c r="FL36" s="344"/>
      <c r="FM36" s="344"/>
      <c r="FN36" s="344"/>
      <c r="FO36" s="344"/>
      <c r="FP36" s="344"/>
      <c r="FQ36" s="344"/>
      <c r="FR36" s="344"/>
      <c r="FS36" s="344"/>
      <c r="FT36" s="344"/>
      <c r="FU36" s="344"/>
      <c r="FV36" s="344"/>
      <c r="FW36" s="344"/>
      <c r="FX36" s="344"/>
      <c r="FY36" s="344"/>
      <c r="FZ36" s="344"/>
      <c r="GA36" s="344"/>
      <c r="GB36" s="344"/>
      <c r="GC36" s="344"/>
      <c r="GD36" s="344"/>
      <c r="GE36" s="344"/>
      <c r="GF36" s="344"/>
      <c r="GG36" s="344"/>
      <c r="GH36" s="344"/>
      <c r="GI36" s="344"/>
      <c r="GJ36" s="344"/>
      <c r="GK36" s="344"/>
      <c r="GL36" s="344"/>
      <c r="GM36" s="344"/>
      <c r="GN36" s="344"/>
      <c r="GO36" s="344"/>
      <c r="GP36" s="344"/>
      <c r="GQ36" s="344"/>
      <c r="GR36" s="344"/>
      <c r="GS36" s="344"/>
      <c r="GT36" s="344"/>
      <c r="GU36" s="344"/>
      <c r="GV36" s="344"/>
      <c r="GW36" s="344"/>
      <c r="GX36" s="344"/>
      <c r="GY36" s="344"/>
      <c r="GZ36" s="344"/>
      <c r="HA36" s="344"/>
      <c r="HB36" s="344"/>
      <c r="HC36" s="344"/>
      <c r="HD36" s="344"/>
      <c r="HE36" s="344"/>
      <c r="HF36" s="344"/>
      <c r="HG36" s="344"/>
      <c r="HH36" s="344"/>
      <c r="HI36" s="344"/>
      <c r="HJ36" s="344"/>
      <c r="HK36" s="344"/>
      <c r="HL36" s="344"/>
      <c r="HM36" s="344"/>
      <c r="HN36" s="344"/>
      <c r="HO36" s="344"/>
      <c r="HP36" s="344"/>
      <c r="HQ36" s="344"/>
      <c r="HR36" s="344"/>
      <c r="HS36" s="344"/>
      <c r="HT36" s="344"/>
      <c r="HU36" s="344"/>
      <c r="HV36" s="344"/>
      <c r="HW36" s="344"/>
      <c r="HX36" s="344"/>
      <c r="HY36" s="344"/>
      <c r="HZ36" s="344"/>
      <c r="IA36" s="344"/>
      <c r="IB36" s="344"/>
      <c r="IC36" s="344"/>
      <c r="ID36" s="344"/>
      <c r="IE36" s="344"/>
      <c r="IF36" s="344"/>
      <c r="IG36" s="344"/>
      <c r="IH36" s="344"/>
      <c r="II36" s="344"/>
      <c r="IJ36" s="344"/>
      <c r="IK36" s="344"/>
      <c r="IL36" s="344"/>
      <c r="IM36" s="344"/>
      <c r="IN36" s="344"/>
      <c r="IO36" s="344"/>
      <c r="IP36" s="344"/>
      <c r="IQ36" s="344"/>
      <c r="IR36" s="344"/>
      <c r="IS36" s="344"/>
      <c r="IT36" s="344"/>
      <c r="IU36" s="344"/>
      <c r="IV36" s="344"/>
      <c r="IW36" s="344"/>
    </row>
    <row r="37" customFormat="false" ht="15.95" hidden="false" customHeight="true" outlineLevel="0" collapsed="false">
      <c r="A37" s="355" t="n">
        <v>33</v>
      </c>
      <c r="B37" s="366"/>
      <c r="C37" s="366"/>
      <c r="D37" s="367"/>
      <c r="E37" s="366"/>
      <c r="F37" s="367"/>
      <c r="G37" s="367"/>
      <c r="H37" s="367"/>
      <c r="I37" s="367"/>
      <c r="J37" s="367"/>
      <c r="K37" s="367"/>
      <c r="L37" s="361"/>
      <c r="M37" s="361"/>
      <c r="N37" s="370"/>
      <c r="O37" s="352"/>
      <c r="P37" s="344"/>
      <c r="Q37" s="344"/>
      <c r="R37" s="344"/>
      <c r="S37" s="344"/>
      <c r="T37" s="344"/>
      <c r="U37" s="344"/>
      <c r="V37" s="344"/>
      <c r="W37" s="344"/>
      <c r="X37" s="344"/>
      <c r="Y37" s="344"/>
      <c r="Z37" s="344"/>
      <c r="AA37" s="344"/>
      <c r="AB37" s="344"/>
      <c r="AC37" s="344"/>
      <c r="AD37" s="344"/>
      <c r="AE37" s="344"/>
      <c r="AF37" s="344"/>
      <c r="AG37" s="344"/>
      <c r="AH37" s="344"/>
      <c r="AI37" s="344"/>
      <c r="AJ37" s="344"/>
      <c r="AK37" s="344"/>
      <c r="AL37" s="344"/>
      <c r="AM37" s="344"/>
      <c r="AN37" s="344"/>
      <c r="AO37" s="344"/>
      <c r="AP37" s="344"/>
      <c r="AQ37" s="344"/>
      <c r="AR37" s="344"/>
      <c r="AS37" s="344"/>
      <c r="AT37" s="344"/>
      <c r="AU37" s="344"/>
      <c r="AV37" s="344"/>
      <c r="AW37" s="344"/>
      <c r="AX37" s="344"/>
      <c r="AY37" s="344"/>
      <c r="AZ37" s="344"/>
      <c r="BA37" s="344"/>
      <c r="BB37" s="344"/>
      <c r="BC37" s="344"/>
      <c r="BD37" s="344"/>
      <c r="BE37" s="344"/>
      <c r="BF37" s="344"/>
      <c r="BG37" s="344"/>
      <c r="BH37" s="344"/>
      <c r="BI37" s="344"/>
      <c r="BJ37" s="344"/>
      <c r="BK37" s="344"/>
      <c r="BL37" s="344"/>
      <c r="BM37" s="344"/>
      <c r="BN37" s="344"/>
      <c r="BO37" s="344"/>
      <c r="BP37" s="344"/>
      <c r="BQ37" s="344"/>
      <c r="BR37" s="344"/>
      <c r="BS37" s="344"/>
      <c r="BT37" s="344"/>
      <c r="BU37" s="344"/>
      <c r="BV37" s="344"/>
      <c r="BW37" s="344"/>
      <c r="BX37" s="344"/>
      <c r="BY37" s="344"/>
      <c r="BZ37" s="344"/>
      <c r="CA37" s="344"/>
      <c r="CB37" s="344"/>
      <c r="CC37" s="344"/>
      <c r="CD37" s="344"/>
      <c r="CE37" s="344"/>
      <c r="CF37" s="344"/>
      <c r="CG37" s="344"/>
      <c r="CH37" s="344"/>
      <c r="CI37" s="344"/>
      <c r="CJ37" s="344"/>
      <c r="CK37" s="344"/>
      <c r="CL37" s="344"/>
      <c r="CM37" s="344"/>
      <c r="CN37" s="344"/>
      <c r="CO37" s="344"/>
      <c r="CP37" s="344"/>
      <c r="CQ37" s="344"/>
      <c r="CR37" s="344"/>
      <c r="CS37" s="344"/>
      <c r="CT37" s="344"/>
      <c r="CU37" s="344"/>
      <c r="CV37" s="344"/>
      <c r="CW37" s="344"/>
      <c r="CX37" s="344"/>
      <c r="CY37" s="344"/>
      <c r="CZ37" s="344"/>
      <c r="DA37" s="344"/>
      <c r="DB37" s="344"/>
      <c r="DC37" s="344"/>
      <c r="DD37" s="344"/>
      <c r="DE37" s="344"/>
      <c r="DF37" s="344"/>
      <c r="DG37" s="344"/>
      <c r="DH37" s="344"/>
      <c r="DI37" s="344"/>
      <c r="DJ37" s="344"/>
      <c r="DK37" s="344"/>
      <c r="DL37" s="344"/>
      <c r="DM37" s="344"/>
      <c r="DN37" s="344"/>
      <c r="DO37" s="344"/>
      <c r="DP37" s="344"/>
      <c r="DQ37" s="344"/>
      <c r="DR37" s="344"/>
      <c r="DS37" s="344"/>
      <c r="DT37" s="344"/>
      <c r="DU37" s="344"/>
      <c r="DV37" s="344"/>
      <c r="DW37" s="344"/>
      <c r="DX37" s="344"/>
      <c r="DY37" s="344"/>
      <c r="DZ37" s="344"/>
      <c r="EA37" s="344"/>
      <c r="EB37" s="344"/>
      <c r="EC37" s="344"/>
      <c r="ED37" s="344"/>
      <c r="EE37" s="344"/>
      <c r="EF37" s="344"/>
      <c r="EG37" s="344"/>
      <c r="EH37" s="344"/>
      <c r="EI37" s="344"/>
      <c r="EJ37" s="344"/>
      <c r="EK37" s="344"/>
      <c r="EL37" s="344"/>
      <c r="EM37" s="344"/>
      <c r="EN37" s="344"/>
      <c r="EO37" s="344"/>
      <c r="EP37" s="344"/>
      <c r="EQ37" s="344"/>
      <c r="ER37" s="344"/>
      <c r="ES37" s="344"/>
      <c r="ET37" s="344"/>
      <c r="EU37" s="344"/>
      <c r="EV37" s="344"/>
      <c r="EW37" s="344"/>
      <c r="EX37" s="344"/>
      <c r="EY37" s="344"/>
      <c r="EZ37" s="344"/>
      <c r="FA37" s="344"/>
      <c r="FB37" s="344"/>
      <c r="FC37" s="344"/>
      <c r="FD37" s="344"/>
      <c r="FE37" s="344"/>
      <c r="FF37" s="344"/>
      <c r="FG37" s="344"/>
      <c r="FH37" s="344"/>
      <c r="FI37" s="344"/>
      <c r="FJ37" s="344"/>
      <c r="FK37" s="344"/>
      <c r="FL37" s="344"/>
      <c r="FM37" s="344"/>
      <c r="FN37" s="344"/>
      <c r="FO37" s="344"/>
      <c r="FP37" s="344"/>
      <c r="FQ37" s="344"/>
      <c r="FR37" s="344"/>
      <c r="FS37" s="344"/>
      <c r="FT37" s="344"/>
      <c r="FU37" s="344"/>
      <c r="FV37" s="344"/>
      <c r="FW37" s="344"/>
      <c r="FX37" s="344"/>
      <c r="FY37" s="344"/>
      <c r="FZ37" s="344"/>
      <c r="GA37" s="344"/>
      <c r="GB37" s="344"/>
      <c r="GC37" s="344"/>
      <c r="GD37" s="344"/>
      <c r="GE37" s="344"/>
      <c r="GF37" s="344"/>
      <c r="GG37" s="344"/>
      <c r="GH37" s="344"/>
      <c r="GI37" s="344"/>
      <c r="GJ37" s="344"/>
      <c r="GK37" s="344"/>
      <c r="GL37" s="344"/>
      <c r="GM37" s="344"/>
      <c r="GN37" s="344"/>
      <c r="GO37" s="344"/>
      <c r="GP37" s="344"/>
      <c r="GQ37" s="344"/>
      <c r="GR37" s="344"/>
      <c r="GS37" s="344"/>
      <c r="GT37" s="344"/>
      <c r="GU37" s="344"/>
      <c r="GV37" s="344"/>
      <c r="GW37" s="344"/>
      <c r="GX37" s="344"/>
      <c r="GY37" s="344"/>
      <c r="GZ37" s="344"/>
      <c r="HA37" s="344"/>
      <c r="HB37" s="344"/>
      <c r="HC37" s="344"/>
      <c r="HD37" s="344"/>
      <c r="HE37" s="344"/>
      <c r="HF37" s="344"/>
      <c r="HG37" s="344"/>
      <c r="HH37" s="344"/>
      <c r="HI37" s="344"/>
      <c r="HJ37" s="344"/>
      <c r="HK37" s="344"/>
      <c r="HL37" s="344"/>
      <c r="HM37" s="344"/>
      <c r="HN37" s="344"/>
      <c r="HO37" s="344"/>
      <c r="HP37" s="344"/>
      <c r="HQ37" s="344"/>
      <c r="HR37" s="344"/>
      <c r="HS37" s="344"/>
      <c r="HT37" s="344"/>
      <c r="HU37" s="344"/>
      <c r="HV37" s="344"/>
      <c r="HW37" s="344"/>
      <c r="HX37" s="344"/>
      <c r="HY37" s="344"/>
      <c r="HZ37" s="344"/>
      <c r="IA37" s="344"/>
      <c r="IB37" s="344"/>
      <c r="IC37" s="344"/>
      <c r="ID37" s="344"/>
      <c r="IE37" s="344"/>
      <c r="IF37" s="344"/>
      <c r="IG37" s="344"/>
      <c r="IH37" s="344"/>
      <c r="II37" s="344"/>
      <c r="IJ37" s="344"/>
      <c r="IK37" s="344"/>
      <c r="IL37" s="344"/>
      <c r="IM37" s="344"/>
      <c r="IN37" s="344"/>
      <c r="IO37" s="344"/>
      <c r="IP37" s="344"/>
      <c r="IQ37" s="344"/>
      <c r="IR37" s="344"/>
      <c r="IS37" s="344"/>
      <c r="IT37" s="344"/>
      <c r="IU37" s="344"/>
      <c r="IV37" s="344"/>
      <c r="IW37" s="344"/>
    </row>
    <row r="38" customFormat="false" ht="15.95" hidden="false" customHeight="true" outlineLevel="0" collapsed="false">
      <c r="A38" s="355" t="n">
        <v>34</v>
      </c>
      <c r="B38" s="356"/>
      <c r="C38" s="356"/>
      <c r="D38" s="357"/>
      <c r="E38" s="356"/>
      <c r="F38" s="357"/>
      <c r="G38" s="357"/>
      <c r="H38" s="357"/>
      <c r="I38" s="357"/>
      <c r="J38" s="357"/>
      <c r="K38" s="359"/>
      <c r="L38" s="361"/>
      <c r="M38" s="361"/>
      <c r="N38" s="370"/>
      <c r="O38" s="352"/>
      <c r="P38" s="371"/>
      <c r="Q38" s="371"/>
      <c r="R38" s="371"/>
      <c r="S38" s="371"/>
      <c r="T38" s="371"/>
      <c r="U38" s="371"/>
      <c r="V38" s="371"/>
      <c r="W38" s="371"/>
      <c r="X38" s="371"/>
      <c r="Y38" s="371"/>
      <c r="Z38" s="371"/>
      <c r="AA38" s="371"/>
      <c r="AB38" s="371"/>
      <c r="AC38" s="371"/>
      <c r="AD38" s="371"/>
      <c r="AE38" s="371"/>
      <c r="AF38" s="371"/>
      <c r="AG38" s="371"/>
      <c r="AH38" s="371"/>
      <c r="AI38" s="371"/>
      <c r="AJ38" s="371"/>
      <c r="AK38" s="371"/>
      <c r="AL38" s="371"/>
      <c r="AM38" s="371"/>
      <c r="AN38" s="371"/>
      <c r="AO38" s="371"/>
      <c r="AP38" s="371"/>
      <c r="AQ38" s="371"/>
      <c r="AR38" s="371"/>
      <c r="AS38" s="371"/>
      <c r="AT38" s="371"/>
      <c r="AU38" s="371"/>
      <c r="AV38" s="371"/>
      <c r="AW38" s="371"/>
      <c r="AX38" s="371"/>
      <c r="AY38" s="371"/>
      <c r="AZ38" s="371"/>
      <c r="BA38" s="371"/>
      <c r="BB38" s="371"/>
      <c r="BC38" s="371"/>
      <c r="BD38" s="371"/>
      <c r="BE38" s="371"/>
      <c r="BF38" s="371"/>
      <c r="BG38" s="371"/>
      <c r="BH38" s="371"/>
      <c r="BI38" s="371"/>
      <c r="BJ38" s="371"/>
      <c r="BK38" s="371"/>
      <c r="BL38" s="371"/>
      <c r="BM38" s="371"/>
      <c r="BN38" s="371"/>
      <c r="BO38" s="371"/>
      <c r="BP38" s="371"/>
      <c r="BQ38" s="371"/>
      <c r="BR38" s="371"/>
      <c r="BS38" s="371"/>
      <c r="BT38" s="371"/>
      <c r="BU38" s="371"/>
      <c r="BV38" s="371"/>
      <c r="BW38" s="371"/>
      <c r="BX38" s="371"/>
      <c r="BY38" s="371"/>
      <c r="BZ38" s="371"/>
      <c r="CA38" s="371"/>
      <c r="CB38" s="371"/>
      <c r="CC38" s="371"/>
      <c r="CD38" s="371"/>
      <c r="CE38" s="371"/>
      <c r="CF38" s="371"/>
      <c r="CG38" s="371"/>
      <c r="CH38" s="371"/>
      <c r="CI38" s="371"/>
      <c r="CJ38" s="371"/>
      <c r="CK38" s="371"/>
      <c r="CL38" s="371"/>
      <c r="CM38" s="371"/>
      <c r="CN38" s="371"/>
      <c r="CO38" s="371"/>
      <c r="CP38" s="371"/>
      <c r="CQ38" s="371"/>
      <c r="CR38" s="371"/>
      <c r="CS38" s="371"/>
      <c r="CT38" s="371"/>
      <c r="CU38" s="371"/>
      <c r="CV38" s="371"/>
      <c r="CW38" s="371"/>
      <c r="CX38" s="371"/>
      <c r="CY38" s="371"/>
      <c r="CZ38" s="371"/>
      <c r="DA38" s="371"/>
      <c r="DB38" s="371"/>
      <c r="DC38" s="371"/>
      <c r="DD38" s="371"/>
      <c r="DE38" s="371"/>
      <c r="DF38" s="371"/>
      <c r="DG38" s="371"/>
      <c r="DH38" s="371"/>
      <c r="DI38" s="371"/>
      <c r="DJ38" s="371"/>
      <c r="DK38" s="371"/>
      <c r="DL38" s="371"/>
      <c r="DM38" s="371"/>
      <c r="DN38" s="371"/>
      <c r="DO38" s="371"/>
      <c r="DP38" s="371"/>
      <c r="DQ38" s="371"/>
      <c r="DR38" s="371"/>
      <c r="DS38" s="371"/>
      <c r="DT38" s="371"/>
      <c r="DU38" s="371"/>
      <c r="DV38" s="371"/>
      <c r="DW38" s="371"/>
      <c r="DX38" s="371"/>
      <c r="DY38" s="371"/>
      <c r="DZ38" s="371"/>
      <c r="EA38" s="371"/>
      <c r="EB38" s="371"/>
      <c r="EC38" s="371"/>
      <c r="ED38" s="371"/>
      <c r="EE38" s="371"/>
      <c r="EF38" s="371"/>
      <c r="EG38" s="371"/>
      <c r="EH38" s="371"/>
      <c r="EI38" s="371"/>
      <c r="EJ38" s="371"/>
      <c r="EK38" s="371"/>
      <c r="EL38" s="371"/>
      <c r="EM38" s="371"/>
      <c r="EN38" s="371"/>
      <c r="EO38" s="371"/>
      <c r="EP38" s="371"/>
      <c r="EQ38" s="371"/>
      <c r="ER38" s="371"/>
      <c r="ES38" s="371"/>
      <c r="ET38" s="371"/>
      <c r="EU38" s="371"/>
      <c r="EV38" s="371"/>
      <c r="EW38" s="371"/>
      <c r="EX38" s="371"/>
      <c r="EY38" s="371"/>
      <c r="EZ38" s="371"/>
      <c r="FA38" s="371"/>
      <c r="FB38" s="371"/>
      <c r="FC38" s="371"/>
      <c r="FD38" s="371"/>
      <c r="FE38" s="371"/>
      <c r="FF38" s="371"/>
      <c r="FG38" s="371"/>
      <c r="FH38" s="371"/>
      <c r="FI38" s="371"/>
      <c r="FJ38" s="371"/>
      <c r="FK38" s="371"/>
      <c r="FL38" s="371"/>
      <c r="FM38" s="371"/>
      <c r="FN38" s="371"/>
      <c r="FO38" s="371"/>
      <c r="FP38" s="371"/>
      <c r="FQ38" s="371"/>
      <c r="FR38" s="371"/>
      <c r="FS38" s="371"/>
      <c r="FT38" s="371"/>
      <c r="FU38" s="371"/>
      <c r="FV38" s="371"/>
      <c r="FW38" s="371"/>
      <c r="FX38" s="371"/>
      <c r="FY38" s="371"/>
      <c r="FZ38" s="371"/>
      <c r="GA38" s="371"/>
      <c r="GB38" s="371"/>
      <c r="GC38" s="371"/>
      <c r="GD38" s="371"/>
      <c r="GE38" s="371"/>
      <c r="GF38" s="371"/>
      <c r="GG38" s="371"/>
      <c r="GH38" s="371"/>
      <c r="GI38" s="371"/>
      <c r="GJ38" s="371"/>
      <c r="GK38" s="371"/>
      <c r="GL38" s="371"/>
      <c r="GM38" s="371"/>
      <c r="GN38" s="371"/>
      <c r="GO38" s="371"/>
      <c r="GP38" s="371"/>
      <c r="GQ38" s="371"/>
      <c r="GR38" s="371"/>
      <c r="GS38" s="371"/>
      <c r="GT38" s="371"/>
      <c r="GU38" s="371"/>
      <c r="GV38" s="371"/>
      <c r="GW38" s="371"/>
      <c r="GX38" s="371"/>
      <c r="GY38" s="371"/>
      <c r="GZ38" s="371"/>
      <c r="HA38" s="371"/>
      <c r="HB38" s="371"/>
      <c r="HC38" s="371"/>
      <c r="HD38" s="371"/>
      <c r="HE38" s="371"/>
      <c r="HF38" s="371"/>
      <c r="HG38" s="371"/>
      <c r="HH38" s="371"/>
      <c r="HI38" s="371"/>
      <c r="HJ38" s="371"/>
      <c r="HK38" s="371"/>
      <c r="HL38" s="371"/>
      <c r="HM38" s="371"/>
      <c r="HN38" s="371"/>
      <c r="HO38" s="371"/>
      <c r="HP38" s="371"/>
      <c r="HQ38" s="371"/>
      <c r="HR38" s="371"/>
      <c r="HS38" s="371"/>
      <c r="HT38" s="371"/>
      <c r="HU38" s="371"/>
      <c r="HV38" s="371"/>
      <c r="HW38" s="371"/>
      <c r="HX38" s="371"/>
      <c r="HY38" s="371"/>
      <c r="HZ38" s="371"/>
      <c r="IA38" s="371"/>
      <c r="IB38" s="371"/>
      <c r="IC38" s="371"/>
      <c r="ID38" s="371"/>
      <c r="IE38" s="371"/>
      <c r="IF38" s="371"/>
      <c r="IG38" s="371"/>
      <c r="IH38" s="371"/>
      <c r="II38" s="371"/>
      <c r="IJ38" s="371"/>
      <c r="IK38" s="371"/>
      <c r="IL38" s="371"/>
      <c r="IM38" s="371"/>
      <c r="IN38" s="371"/>
      <c r="IO38" s="371"/>
      <c r="IP38" s="371"/>
      <c r="IQ38" s="371"/>
      <c r="IR38" s="371"/>
      <c r="IS38" s="371"/>
      <c r="IT38" s="371"/>
      <c r="IU38" s="371"/>
      <c r="IV38" s="371"/>
      <c r="IW38" s="371"/>
    </row>
    <row r="39" customFormat="false" ht="15.95" hidden="false" customHeight="true" outlineLevel="0" collapsed="false">
      <c r="A39" s="355" t="n">
        <v>35</v>
      </c>
      <c r="B39" s="356"/>
      <c r="C39" s="356"/>
      <c r="D39" s="357"/>
      <c r="E39" s="356"/>
      <c r="F39" s="357"/>
      <c r="G39" s="357"/>
      <c r="H39" s="357"/>
      <c r="I39" s="357"/>
      <c r="J39" s="357"/>
      <c r="K39" s="359"/>
      <c r="L39" s="361"/>
      <c r="M39" s="361"/>
      <c r="N39" s="370"/>
      <c r="O39" s="352"/>
      <c r="P39" s="344"/>
      <c r="Q39" s="344"/>
      <c r="R39" s="344"/>
      <c r="S39" s="344"/>
      <c r="T39" s="344"/>
      <c r="U39" s="344"/>
      <c r="V39" s="344"/>
      <c r="W39" s="344"/>
      <c r="X39" s="344"/>
      <c r="Y39" s="344"/>
      <c r="Z39" s="344"/>
      <c r="AA39" s="344"/>
      <c r="AB39" s="344"/>
      <c r="AC39" s="344"/>
      <c r="AD39" s="344"/>
      <c r="AE39" s="344"/>
      <c r="AF39" s="344"/>
      <c r="AG39" s="344"/>
      <c r="AH39" s="344"/>
      <c r="AI39" s="344"/>
      <c r="AJ39" s="344"/>
      <c r="AK39" s="344"/>
      <c r="AL39" s="344"/>
      <c r="AM39" s="344"/>
      <c r="AN39" s="344"/>
      <c r="AO39" s="344"/>
      <c r="AP39" s="344"/>
      <c r="AQ39" s="344"/>
      <c r="AR39" s="344"/>
      <c r="AS39" s="344"/>
      <c r="AT39" s="344"/>
      <c r="AU39" s="344"/>
      <c r="AV39" s="344"/>
      <c r="AW39" s="344"/>
      <c r="AX39" s="344"/>
      <c r="AY39" s="344"/>
      <c r="AZ39" s="344"/>
      <c r="BA39" s="344"/>
      <c r="BB39" s="344"/>
      <c r="BC39" s="344"/>
      <c r="BD39" s="344"/>
      <c r="BE39" s="344"/>
      <c r="BF39" s="344"/>
      <c r="BG39" s="344"/>
      <c r="BH39" s="344"/>
      <c r="BI39" s="344"/>
      <c r="BJ39" s="344"/>
      <c r="BK39" s="344"/>
      <c r="BL39" s="344"/>
      <c r="BM39" s="344"/>
      <c r="BN39" s="344"/>
      <c r="BO39" s="344"/>
      <c r="BP39" s="344"/>
      <c r="BQ39" s="344"/>
      <c r="BR39" s="344"/>
      <c r="BS39" s="344"/>
      <c r="BT39" s="344"/>
      <c r="BU39" s="344"/>
      <c r="BV39" s="344"/>
      <c r="BW39" s="344"/>
      <c r="BX39" s="344"/>
      <c r="BY39" s="344"/>
      <c r="BZ39" s="344"/>
      <c r="CA39" s="344"/>
      <c r="CB39" s="344"/>
      <c r="CC39" s="344"/>
      <c r="CD39" s="344"/>
      <c r="CE39" s="344"/>
      <c r="CF39" s="344"/>
      <c r="CG39" s="344"/>
      <c r="CH39" s="344"/>
      <c r="CI39" s="344"/>
      <c r="CJ39" s="344"/>
      <c r="CK39" s="344"/>
      <c r="CL39" s="344"/>
      <c r="CM39" s="344"/>
      <c r="CN39" s="344"/>
      <c r="CO39" s="344"/>
      <c r="CP39" s="344"/>
      <c r="CQ39" s="344"/>
      <c r="CR39" s="344"/>
      <c r="CS39" s="344"/>
      <c r="CT39" s="344"/>
      <c r="CU39" s="344"/>
      <c r="CV39" s="344"/>
      <c r="CW39" s="344"/>
      <c r="CX39" s="344"/>
      <c r="CY39" s="344"/>
      <c r="CZ39" s="344"/>
      <c r="DA39" s="344"/>
      <c r="DB39" s="344"/>
      <c r="DC39" s="344"/>
      <c r="DD39" s="344"/>
      <c r="DE39" s="344"/>
      <c r="DF39" s="344"/>
      <c r="DG39" s="344"/>
      <c r="DH39" s="344"/>
      <c r="DI39" s="344"/>
      <c r="DJ39" s="344"/>
      <c r="DK39" s="344"/>
      <c r="DL39" s="344"/>
      <c r="DM39" s="344"/>
      <c r="DN39" s="344"/>
      <c r="DO39" s="344"/>
      <c r="DP39" s="344"/>
      <c r="DQ39" s="344"/>
      <c r="DR39" s="344"/>
      <c r="DS39" s="344"/>
      <c r="DT39" s="344"/>
      <c r="DU39" s="344"/>
      <c r="DV39" s="344"/>
      <c r="DW39" s="344"/>
      <c r="DX39" s="344"/>
      <c r="DY39" s="344"/>
      <c r="DZ39" s="344"/>
      <c r="EA39" s="344"/>
      <c r="EB39" s="344"/>
      <c r="EC39" s="344"/>
      <c r="ED39" s="344"/>
      <c r="EE39" s="344"/>
      <c r="EF39" s="344"/>
      <c r="EG39" s="344"/>
      <c r="EH39" s="344"/>
      <c r="EI39" s="344"/>
      <c r="EJ39" s="344"/>
      <c r="EK39" s="344"/>
      <c r="EL39" s="344"/>
      <c r="EM39" s="344"/>
      <c r="EN39" s="344"/>
      <c r="EO39" s="344"/>
      <c r="EP39" s="344"/>
      <c r="EQ39" s="344"/>
      <c r="ER39" s="344"/>
      <c r="ES39" s="344"/>
      <c r="ET39" s="344"/>
      <c r="EU39" s="344"/>
      <c r="EV39" s="344"/>
      <c r="EW39" s="344"/>
      <c r="EX39" s="344"/>
      <c r="EY39" s="344"/>
      <c r="EZ39" s="344"/>
      <c r="FA39" s="344"/>
      <c r="FB39" s="344"/>
      <c r="FC39" s="344"/>
      <c r="FD39" s="344"/>
      <c r="FE39" s="344"/>
      <c r="FF39" s="344"/>
      <c r="FG39" s="344"/>
      <c r="FH39" s="344"/>
      <c r="FI39" s="344"/>
      <c r="FJ39" s="344"/>
      <c r="FK39" s="344"/>
      <c r="FL39" s="344"/>
      <c r="FM39" s="344"/>
      <c r="FN39" s="344"/>
      <c r="FO39" s="344"/>
      <c r="FP39" s="344"/>
      <c r="FQ39" s="344"/>
      <c r="FR39" s="344"/>
      <c r="FS39" s="344"/>
      <c r="FT39" s="344"/>
      <c r="FU39" s="344"/>
      <c r="FV39" s="344"/>
      <c r="FW39" s="344"/>
      <c r="FX39" s="344"/>
      <c r="FY39" s="344"/>
      <c r="FZ39" s="344"/>
      <c r="GA39" s="344"/>
      <c r="GB39" s="344"/>
      <c r="GC39" s="344"/>
      <c r="GD39" s="344"/>
      <c r="GE39" s="344"/>
      <c r="GF39" s="344"/>
      <c r="GG39" s="344"/>
      <c r="GH39" s="344"/>
      <c r="GI39" s="344"/>
      <c r="GJ39" s="344"/>
      <c r="GK39" s="344"/>
      <c r="GL39" s="344"/>
      <c r="GM39" s="344"/>
      <c r="GN39" s="344"/>
      <c r="GO39" s="344"/>
      <c r="GP39" s="344"/>
      <c r="GQ39" s="344"/>
      <c r="GR39" s="344"/>
      <c r="GS39" s="344"/>
      <c r="GT39" s="344"/>
      <c r="GU39" s="344"/>
      <c r="GV39" s="344"/>
      <c r="GW39" s="344"/>
      <c r="GX39" s="344"/>
      <c r="GY39" s="344"/>
      <c r="GZ39" s="344"/>
      <c r="HA39" s="344"/>
      <c r="HB39" s="344"/>
      <c r="HC39" s="344"/>
      <c r="HD39" s="344"/>
      <c r="HE39" s="344"/>
      <c r="HF39" s="344"/>
      <c r="HG39" s="344"/>
      <c r="HH39" s="344"/>
      <c r="HI39" s="344"/>
      <c r="HJ39" s="344"/>
      <c r="HK39" s="344"/>
      <c r="HL39" s="344"/>
      <c r="HM39" s="344"/>
      <c r="HN39" s="344"/>
      <c r="HO39" s="344"/>
      <c r="HP39" s="344"/>
      <c r="HQ39" s="344"/>
      <c r="HR39" s="344"/>
      <c r="HS39" s="344"/>
      <c r="HT39" s="344"/>
      <c r="HU39" s="344"/>
      <c r="HV39" s="344"/>
      <c r="HW39" s="344"/>
      <c r="HX39" s="344"/>
      <c r="HY39" s="344"/>
      <c r="HZ39" s="344"/>
      <c r="IA39" s="344"/>
      <c r="IB39" s="344"/>
      <c r="IC39" s="344"/>
      <c r="ID39" s="344"/>
      <c r="IE39" s="344"/>
      <c r="IF39" s="344"/>
      <c r="IG39" s="344"/>
      <c r="IH39" s="344"/>
      <c r="II39" s="344"/>
      <c r="IJ39" s="344"/>
      <c r="IK39" s="344"/>
      <c r="IL39" s="344"/>
      <c r="IM39" s="344"/>
      <c r="IN39" s="344"/>
      <c r="IO39" s="344"/>
      <c r="IP39" s="344"/>
      <c r="IQ39" s="344"/>
      <c r="IR39" s="344"/>
      <c r="IS39" s="344"/>
      <c r="IT39" s="344"/>
      <c r="IU39" s="344"/>
      <c r="IV39" s="344"/>
      <c r="IW39" s="344"/>
    </row>
    <row r="40" customFormat="false" ht="15.95" hidden="false" customHeight="true" outlineLevel="0" collapsed="false">
      <c r="A40" s="355" t="n">
        <v>36</v>
      </c>
      <c r="B40" s="356"/>
      <c r="C40" s="356"/>
      <c r="D40" s="357"/>
      <c r="E40" s="356"/>
      <c r="F40" s="357"/>
      <c r="G40" s="357"/>
      <c r="H40" s="357"/>
      <c r="I40" s="357"/>
      <c r="J40" s="357"/>
      <c r="K40" s="359"/>
      <c r="L40" s="361"/>
      <c r="M40" s="361"/>
      <c r="N40" s="370"/>
      <c r="O40" s="352"/>
      <c r="P40" s="344"/>
      <c r="Q40" s="344"/>
      <c r="R40" s="344"/>
      <c r="S40" s="344"/>
      <c r="T40" s="344"/>
      <c r="U40" s="344"/>
      <c r="V40" s="344"/>
      <c r="W40" s="344"/>
      <c r="X40" s="344"/>
      <c r="Y40" s="344"/>
      <c r="Z40" s="344"/>
      <c r="AA40" s="344"/>
      <c r="AB40" s="344"/>
      <c r="AC40" s="344"/>
      <c r="AD40" s="344"/>
      <c r="AE40" s="344"/>
      <c r="AF40" s="344"/>
      <c r="AG40" s="344"/>
      <c r="AH40" s="344"/>
      <c r="AI40" s="344"/>
      <c r="AJ40" s="344"/>
      <c r="AK40" s="344"/>
      <c r="AL40" s="344"/>
      <c r="AM40" s="344"/>
      <c r="AN40" s="344"/>
      <c r="AO40" s="344"/>
      <c r="AP40" s="344"/>
      <c r="AQ40" s="344"/>
      <c r="AR40" s="344"/>
      <c r="AS40" s="344"/>
      <c r="AT40" s="344"/>
      <c r="AU40" s="344"/>
      <c r="AV40" s="344"/>
      <c r="AW40" s="344"/>
      <c r="AX40" s="344"/>
      <c r="AY40" s="344"/>
      <c r="AZ40" s="344"/>
      <c r="BA40" s="344"/>
      <c r="BB40" s="344"/>
      <c r="BC40" s="344"/>
      <c r="BD40" s="344"/>
      <c r="BE40" s="344"/>
      <c r="BF40" s="344"/>
      <c r="BG40" s="344"/>
      <c r="BH40" s="344"/>
      <c r="BI40" s="344"/>
      <c r="BJ40" s="344"/>
      <c r="BK40" s="344"/>
      <c r="BL40" s="344"/>
      <c r="BM40" s="344"/>
      <c r="BN40" s="344"/>
      <c r="BO40" s="344"/>
      <c r="BP40" s="344"/>
      <c r="BQ40" s="344"/>
      <c r="BR40" s="344"/>
      <c r="BS40" s="344"/>
      <c r="BT40" s="344"/>
      <c r="BU40" s="344"/>
      <c r="BV40" s="344"/>
      <c r="BW40" s="344"/>
      <c r="BX40" s="344"/>
      <c r="BY40" s="344"/>
      <c r="BZ40" s="344"/>
      <c r="CA40" s="344"/>
      <c r="CB40" s="344"/>
      <c r="CC40" s="344"/>
      <c r="CD40" s="344"/>
      <c r="CE40" s="344"/>
      <c r="CF40" s="344"/>
      <c r="CG40" s="344"/>
      <c r="CH40" s="344"/>
      <c r="CI40" s="344"/>
      <c r="CJ40" s="344"/>
      <c r="CK40" s="344"/>
      <c r="CL40" s="344"/>
      <c r="CM40" s="344"/>
      <c r="CN40" s="344"/>
      <c r="CO40" s="344"/>
      <c r="CP40" s="344"/>
      <c r="CQ40" s="344"/>
      <c r="CR40" s="344"/>
      <c r="CS40" s="344"/>
      <c r="CT40" s="344"/>
      <c r="CU40" s="344"/>
      <c r="CV40" s="344"/>
      <c r="CW40" s="344"/>
      <c r="CX40" s="344"/>
      <c r="CY40" s="344"/>
      <c r="CZ40" s="344"/>
      <c r="DA40" s="344"/>
      <c r="DB40" s="344"/>
      <c r="DC40" s="344"/>
      <c r="DD40" s="344"/>
      <c r="DE40" s="344"/>
      <c r="DF40" s="344"/>
      <c r="DG40" s="344"/>
      <c r="DH40" s="344"/>
      <c r="DI40" s="344"/>
      <c r="DJ40" s="344"/>
      <c r="DK40" s="344"/>
      <c r="DL40" s="344"/>
      <c r="DM40" s="344"/>
      <c r="DN40" s="344"/>
      <c r="DO40" s="344"/>
      <c r="DP40" s="344"/>
      <c r="DQ40" s="344"/>
      <c r="DR40" s="344"/>
      <c r="DS40" s="344"/>
      <c r="DT40" s="344"/>
      <c r="DU40" s="344"/>
      <c r="DV40" s="344"/>
      <c r="DW40" s="344"/>
      <c r="DX40" s="344"/>
      <c r="DY40" s="344"/>
      <c r="DZ40" s="344"/>
      <c r="EA40" s="344"/>
      <c r="EB40" s="344"/>
      <c r="EC40" s="344"/>
      <c r="ED40" s="344"/>
      <c r="EE40" s="344"/>
      <c r="EF40" s="344"/>
      <c r="EG40" s="344"/>
      <c r="EH40" s="344"/>
      <c r="EI40" s="344"/>
      <c r="EJ40" s="344"/>
      <c r="EK40" s="344"/>
      <c r="EL40" s="344"/>
      <c r="EM40" s="344"/>
      <c r="EN40" s="344"/>
      <c r="EO40" s="344"/>
      <c r="EP40" s="344"/>
      <c r="EQ40" s="344"/>
      <c r="ER40" s="344"/>
      <c r="ES40" s="344"/>
      <c r="ET40" s="344"/>
      <c r="EU40" s="344"/>
      <c r="EV40" s="344"/>
      <c r="EW40" s="344"/>
      <c r="EX40" s="344"/>
      <c r="EY40" s="344"/>
      <c r="EZ40" s="344"/>
      <c r="FA40" s="344"/>
      <c r="FB40" s="344"/>
      <c r="FC40" s="344"/>
      <c r="FD40" s="344"/>
      <c r="FE40" s="344"/>
      <c r="FF40" s="344"/>
      <c r="FG40" s="344"/>
      <c r="FH40" s="344"/>
      <c r="FI40" s="344"/>
      <c r="FJ40" s="344"/>
      <c r="FK40" s="344"/>
      <c r="FL40" s="344"/>
      <c r="FM40" s="344"/>
      <c r="FN40" s="344"/>
      <c r="FO40" s="344"/>
      <c r="FP40" s="344"/>
      <c r="FQ40" s="344"/>
      <c r="FR40" s="344"/>
      <c r="FS40" s="344"/>
      <c r="FT40" s="344"/>
      <c r="FU40" s="344"/>
      <c r="FV40" s="344"/>
      <c r="FW40" s="344"/>
      <c r="FX40" s="344"/>
      <c r="FY40" s="344"/>
      <c r="FZ40" s="344"/>
      <c r="GA40" s="344"/>
      <c r="GB40" s="344"/>
      <c r="GC40" s="344"/>
      <c r="GD40" s="344"/>
      <c r="GE40" s="344"/>
      <c r="GF40" s="344"/>
      <c r="GG40" s="344"/>
      <c r="GH40" s="344"/>
      <c r="GI40" s="344"/>
      <c r="GJ40" s="344"/>
      <c r="GK40" s="344"/>
      <c r="GL40" s="344"/>
      <c r="GM40" s="344"/>
      <c r="GN40" s="344"/>
      <c r="GO40" s="344"/>
      <c r="GP40" s="344"/>
      <c r="GQ40" s="344"/>
      <c r="GR40" s="344"/>
      <c r="GS40" s="344"/>
      <c r="GT40" s="344"/>
      <c r="GU40" s="344"/>
      <c r="GV40" s="344"/>
      <c r="GW40" s="344"/>
      <c r="GX40" s="344"/>
      <c r="GY40" s="344"/>
      <c r="GZ40" s="344"/>
      <c r="HA40" s="344"/>
      <c r="HB40" s="344"/>
      <c r="HC40" s="344"/>
      <c r="HD40" s="344"/>
      <c r="HE40" s="344"/>
      <c r="HF40" s="344"/>
      <c r="HG40" s="344"/>
      <c r="HH40" s="344"/>
      <c r="HI40" s="344"/>
      <c r="HJ40" s="344"/>
      <c r="HK40" s="344"/>
      <c r="HL40" s="344"/>
      <c r="HM40" s="344"/>
      <c r="HN40" s="344"/>
      <c r="HO40" s="344"/>
      <c r="HP40" s="344"/>
      <c r="HQ40" s="344"/>
      <c r="HR40" s="344"/>
      <c r="HS40" s="344"/>
      <c r="HT40" s="344"/>
      <c r="HU40" s="344"/>
      <c r="HV40" s="344"/>
      <c r="HW40" s="344"/>
      <c r="HX40" s="344"/>
      <c r="HY40" s="344"/>
      <c r="HZ40" s="344"/>
      <c r="IA40" s="344"/>
      <c r="IB40" s="344"/>
      <c r="IC40" s="344"/>
      <c r="ID40" s="344"/>
      <c r="IE40" s="344"/>
      <c r="IF40" s="344"/>
      <c r="IG40" s="344"/>
      <c r="IH40" s="344"/>
      <c r="II40" s="344"/>
      <c r="IJ40" s="344"/>
      <c r="IK40" s="344"/>
      <c r="IL40" s="344"/>
      <c r="IM40" s="344"/>
      <c r="IN40" s="344"/>
      <c r="IO40" s="344"/>
      <c r="IP40" s="344"/>
      <c r="IQ40" s="344"/>
      <c r="IR40" s="344"/>
      <c r="IS40" s="344"/>
      <c r="IT40" s="344"/>
      <c r="IU40" s="344"/>
      <c r="IV40" s="344"/>
      <c r="IW40" s="344"/>
    </row>
    <row r="41" customFormat="false" ht="15.95" hidden="false" customHeight="true" outlineLevel="0" collapsed="false">
      <c r="A41" s="355" t="n">
        <v>37</v>
      </c>
      <c r="B41" s="366"/>
      <c r="C41" s="366"/>
      <c r="D41" s="367"/>
      <c r="E41" s="366"/>
      <c r="F41" s="367"/>
      <c r="G41" s="367"/>
      <c r="H41" s="367"/>
      <c r="I41" s="367"/>
      <c r="J41" s="367"/>
      <c r="K41" s="359"/>
      <c r="L41" s="361"/>
      <c r="M41" s="361"/>
      <c r="N41" s="370"/>
      <c r="O41" s="352"/>
      <c r="P41" s="353"/>
      <c r="Q41" s="353"/>
      <c r="R41" s="353"/>
      <c r="S41" s="353"/>
      <c r="T41" s="353"/>
      <c r="U41" s="353"/>
      <c r="V41" s="353"/>
      <c r="W41" s="353"/>
      <c r="X41" s="353"/>
      <c r="Y41" s="353"/>
      <c r="Z41" s="353"/>
      <c r="AA41" s="353"/>
      <c r="AB41" s="353"/>
      <c r="AC41" s="353"/>
      <c r="AD41" s="353"/>
      <c r="AE41" s="353"/>
      <c r="AF41" s="353"/>
      <c r="AG41" s="353"/>
      <c r="AH41" s="353"/>
      <c r="AI41" s="353"/>
      <c r="AJ41" s="353"/>
      <c r="AK41" s="353"/>
      <c r="AL41" s="353"/>
      <c r="AM41" s="353"/>
      <c r="AN41" s="353"/>
      <c r="AO41" s="353"/>
      <c r="AP41" s="353"/>
      <c r="AQ41" s="353"/>
      <c r="AR41" s="353"/>
      <c r="AS41" s="353"/>
      <c r="AT41" s="353"/>
      <c r="AU41" s="353"/>
      <c r="AV41" s="353"/>
      <c r="AW41" s="353"/>
      <c r="AX41" s="353"/>
      <c r="AY41" s="353"/>
      <c r="AZ41" s="353"/>
      <c r="BA41" s="353"/>
      <c r="BB41" s="353"/>
      <c r="BC41" s="353"/>
      <c r="BD41" s="353"/>
      <c r="BE41" s="353"/>
      <c r="BF41" s="353"/>
      <c r="BG41" s="353"/>
      <c r="BH41" s="353"/>
      <c r="BI41" s="353"/>
      <c r="BJ41" s="353"/>
      <c r="BK41" s="353"/>
      <c r="BL41" s="353"/>
      <c r="BM41" s="353"/>
      <c r="BN41" s="353"/>
      <c r="BO41" s="353"/>
      <c r="BP41" s="353"/>
      <c r="BQ41" s="353"/>
      <c r="BR41" s="353"/>
      <c r="BS41" s="353"/>
      <c r="BT41" s="353"/>
      <c r="BU41" s="353"/>
      <c r="BV41" s="353"/>
      <c r="BW41" s="353"/>
      <c r="BX41" s="353"/>
      <c r="BY41" s="353"/>
      <c r="BZ41" s="353"/>
      <c r="CA41" s="353"/>
      <c r="CB41" s="353"/>
      <c r="CC41" s="353"/>
      <c r="CD41" s="353"/>
      <c r="CE41" s="353"/>
      <c r="CF41" s="353"/>
      <c r="CG41" s="353"/>
      <c r="CH41" s="353"/>
      <c r="CI41" s="353"/>
      <c r="CJ41" s="353"/>
      <c r="CK41" s="353"/>
      <c r="CL41" s="353"/>
      <c r="CM41" s="353"/>
      <c r="CN41" s="353"/>
      <c r="CO41" s="353"/>
      <c r="CP41" s="353"/>
      <c r="CQ41" s="353"/>
      <c r="CR41" s="353"/>
      <c r="CS41" s="353"/>
      <c r="CT41" s="353"/>
      <c r="CU41" s="353"/>
      <c r="CV41" s="353"/>
      <c r="CW41" s="353"/>
      <c r="CX41" s="353"/>
      <c r="CY41" s="353"/>
      <c r="CZ41" s="353"/>
      <c r="DA41" s="353"/>
      <c r="DB41" s="353"/>
      <c r="DC41" s="353"/>
      <c r="DD41" s="353"/>
      <c r="DE41" s="353"/>
      <c r="DF41" s="353"/>
      <c r="DG41" s="353"/>
      <c r="DH41" s="353"/>
      <c r="DI41" s="353"/>
      <c r="DJ41" s="353"/>
      <c r="DK41" s="353"/>
      <c r="DL41" s="353"/>
      <c r="DM41" s="353"/>
      <c r="DN41" s="353"/>
      <c r="DO41" s="353"/>
      <c r="DP41" s="353"/>
      <c r="DQ41" s="353"/>
      <c r="DR41" s="353"/>
      <c r="DS41" s="353"/>
      <c r="DT41" s="353"/>
      <c r="DU41" s="353"/>
      <c r="DV41" s="353"/>
      <c r="DW41" s="353"/>
      <c r="DX41" s="353"/>
      <c r="DY41" s="353"/>
      <c r="DZ41" s="353"/>
      <c r="EA41" s="353"/>
      <c r="EB41" s="353"/>
      <c r="EC41" s="353"/>
      <c r="ED41" s="353"/>
      <c r="EE41" s="353"/>
      <c r="EF41" s="353"/>
      <c r="EG41" s="353"/>
      <c r="EH41" s="353"/>
      <c r="EI41" s="353"/>
      <c r="EJ41" s="353"/>
      <c r="EK41" s="353"/>
      <c r="EL41" s="353"/>
      <c r="EM41" s="353"/>
      <c r="EN41" s="353"/>
      <c r="EO41" s="353"/>
      <c r="EP41" s="353"/>
      <c r="EQ41" s="353"/>
      <c r="ER41" s="353"/>
      <c r="ES41" s="353"/>
      <c r="ET41" s="353"/>
      <c r="EU41" s="353"/>
      <c r="EV41" s="353"/>
      <c r="EW41" s="353"/>
      <c r="EX41" s="353"/>
      <c r="EY41" s="353"/>
      <c r="EZ41" s="353"/>
      <c r="FA41" s="353"/>
      <c r="FB41" s="353"/>
      <c r="FC41" s="353"/>
      <c r="FD41" s="353"/>
      <c r="FE41" s="353"/>
      <c r="FF41" s="353"/>
      <c r="FG41" s="353"/>
      <c r="FH41" s="353"/>
      <c r="FI41" s="353"/>
      <c r="FJ41" s="353"/>
      <c r="FK41" s="353"/>
      <c r="FL41" s="353"/>
      <c r="FM41" s="353"/>
      <c r="FN41" s="353"/>
      <c r="FO41" s="353"/>
      <c r="FP41" s="353"/>
      <c r="FQ41" s="353"/>
      <c r="FR41" s="353"/>
      <c r="FS41" s="353"/>
      <c r="FT41" s="353"/>
      <c r="FU41" s="353"/>
      <c r="FV41" s="353"/>
      <c r="FW41" s="353"/>
      <c r="FX41" s="353"/>
      <c r="FY41" s="353"/>
      <c r="FZ41" s="353"/>
      <c r="GA41" s="353"/>
      <c r="GB41" s="353"/>
      <c r="GC41" s="353"/>
      <c r="GD41" s="353"/>
      <c r="GE41" s="353"/>
      <c r="GF41" s="353"/>
      <c r="GG41" s="353"/>
      <c r="GH41" s="353"/>
      <c r="GI41" s="353"/>
      <c r="GJ41" s="353"/>
      <c r="GK41" s="353"/>
      <c r="GL41" s="353"/>
      <c r="GM41" s="353"/>
      <c r="GN41" s="353"/>
      <c r="GO41" s="353"/>
      <c r="GP41" s="353"/>
      <c r="GQ41" s="353"/>
      <c r="GR41" s="353"/>
      <c r="GS41" s="353"/>
      <c r="GT41" s="353"/>
      <c r="GU41" s="353"/>
      <c r="GV41" s="353"/>
      <c r="GW41" s="353"/>
      <c r="GX41" s="353"/>
      <c r="GY41" s="353"/>
      <c r="GZ41" s="353"/>
      <c r="HA41" s="353"/>
      <c r="HB41" s="353"/>
      <c r="HC41" s="353"/>
      <c r="HD41" s="353"/>
      <c r="HE41" s="353"/>
      <c r="HF41" s="353"/>
      <c r="HG41" s="353"/>
      <c r="HH41" s="353"/>
      <c r="HI41" s="353"/>
      <c r="HJ41" s="353"/>
      <c r="HK41" s="353"/>
      <c r="HL41" s="353"/>
      <c r="HM41" s="353"/>
      <c r="HN41" s="353"/>
      <c r="HO41" s="353"/>
      <c r="HP41" s="353"/>
      <c r="HQ41" s="353"/>
      <c r="HR41" s="353"/>
      <c r="HS41" s="353"/>
      <c r="HT41" s="353"/>
      <c r="HU41" s="353"/>
      <c r="HV41" s="353"/>
      <c r="HW41" s="353"/>
      <c r="HX41" s="353"/>
      <c r="HY41" s="353"/>
      <c r="HZ41" s="353"/>
      <c r="IA41" s="353"/>
      <c r="IB41" s="353"/>
      <c r="IC41" s="353"/>
      <c r="ID41" s="353"/>
      <c r="IE41" s="353"/>
      <c r="IF41" s="353"/>
      <c r="IG41" s="353"/>
      <c r="IH41" s="353"/>
      <c r="II41" s="353"/>
      <c r="IJ41" s="353"/>
      <c r="IK41" s="353"/>
      <c r="IL41" s="353"/>
      <c r="IM41" s="353"/>
      <c r="IN41" s="353"/>
      <c r="IO41" s="353"/>
      <c r="IP41" s="353"/>
      <c r="IQ41" s="353"/>
      <c r="IR41" s="353"/>
      <c r="IS41" s="353"/>
      <c r="IT41" s="353"/>
      <c r="IU41" s="353"/>
      <c r="IV41" s="353"/>
      <c r="IW41" s="353"/>
    </row>
    <row r="42" customFormat="false" ht="15.95" hidden="false" customHeight="true" outlineLevel="0" collapsed="false">
      <c r="A42" s="355" t="n">
        <v>38</v>
      </c>
      <c r="B42" s="356"/>
      <c r="C42" s="356"/>
      <c r="D42" s="357"/>
      <c r="E42" s="356"/>
      <c r="F42" s="357"/>
      <c r="G42" s="357"/>
      <c r="H42" s="357"/>
      <c r="I42" s="357"/>
      <c r="J42" s="357"/>
      <c r="K42" s="359"/>
      <c r="L42" s="361"/>
      <c r="M42" s="361"/>
      <c r="N42" s="370"/>
      <c r="O42" s="352"/>
      <c r="P42" s="353"/>
      <c r="Q42" s="353"/>
      <c r="R42" s="353"/>
      <c r="S42" s="353"/>
      <c r="T42" s="353"/>
      <c r="U42" s="353"/>
      <c r="V42" s="353"/>
      <c r="W42" s="353"/>
      <c r="X42" s="353"/>
      <c r="Y42" s="353"/>
      <c r="Z42" s="353"/>
      <c r="AA42" s="353"/>
      <c r="AB42" s="353"/>
      <c r="AC42" s="353"/>
      <c r="AD42" s="353"/>
      <c r="AE42" s="353"/>
      <c r="AF42" s="353"/>
      <c r="AG42" s="353"/>
      <c r="AH42" s="353"/>
      <c r="AI42" s="353"/>
      <c r="AJ42" s="353"/>
      <c r="AK42" s="353"/>
      <c r="AL42" s="353"/>
      <c r="AM42" s="353"/>
      <c r="AN42" s="353"/>
      <c r="AO42" s="353"/>
      <c r="AP42" s="363"/>
      <c r="AQ42" s="363"/>
      <c r="AR42" s="363"/>
      <c r="AS42" s="363"/>
      <c r="AT42" s="363"/>
      <c r="AU42" s="353"/>
      <c r="AV42" s="353"/>
      <c r="AW42" s="353"/>
      <c r="AX42" s="353"/>
      <c r="AY42" s="353"/>
      <c r="AZ42" s="363"/>
      <c r="BA42" s="363"/>
      <c r="BB42" s="363"/>
      <c r="BC42" s="363"/>
      <c r="BD42" s="363"/>
      <c r="BE42" s="363"/>
      <c r="BF42" s="363"/>
      <c r="BG42" s="363"/>
      <c r="BH42" s="363"/>
      <c r="BI42" s="363"/>
      <c r="BJ42" s="363"/>
      <c r="BK42" s="363"/>
      <c r="BL42" s="363"/>
      <c r="BM42" s="363"/>
      <c r="BN42" s="363"/>
      <c r="BO42" s="363"/>
      <c r="BP42" s="363"/>
      <c r="BQ42" s="363"/>
      <c r="BR42" s="363"/>
      <c r="BS42" s="363"/>
      <c r="BT42" s="363"/>
      <c r="BU42" s="363"/>
      <c r="BV42" s="363"/>
      <c r="BW42" s="363"/>
      <c r="BX42" s="363"/>
      <c r="BY42" s="363"/>
      <c r="BZ42" s="363"/>
      <c r="CA42" s="363"/>
      <c r="CB42" s="363"/>
      <c r="CC42" s="363"/>
      <c r="CD42" s="363"/>
      <c r="CE42" s="363"/>
      <c r="CF42" s="363"/>
      <c r="CG42" s="363"/>
      <c r="CH42" s="363"/>
      <c r="CI42" s="363"/>
      <c r="CJ42" s="363"/>
      <c r="CK42" s="363"/>
      <c r="CL42" s="363"/>
      <c r="CM42" s="363"/>
      <c r="CN42" s="363"/>
      <c r="CO42" s="363"/>
      <c r="CP42" s="363"/>
      <c r="CQ42" s="363"/>
      <c r="CR42" s="363"/>
      <c r="CS42" s="363"/>
      <c r="CT42" s="363"/>
      <c r="CU42" s="363"/>
      <c r="CV42" s="363"/>
      <c r="CW42" s="363"/>
      <c r="CX42" s="363"/>
      <c r="CY42" s="363"/>
      <c r="CZ42" s="353"/>
      <c r="DA42" s="353"/>
      <c r="DB42" s="353"/>
      <c r="DC42" s="353"/>
      <c r="DD42" s="353"/>
      <c r="DE42" s="353"/>
      <c r="DF42" s="353"/>
      <c r="DG42" s="353"/>
      <c r="DH42" s="353"/>
      <c r="DI42" s="353"/>
      <c r="DJ42" s="353"/>
      <c r="DK42" s="353"/>
      <c r="DL42" s="353"/>
      <c r="DM42" s="353"/>
      <c r="DN42" s="353"/>
      <c r="DO42" s="353"/>
      <c r="DP42" s="353"/>
      <c r="DQ42" s="353"/>
      <c r="DR42" s="353"/>
      <c r="DS42" s="353"/>
      <c r="DT42" s="353"/>
      <c r="DU42" s="353"/>
      <c r="DV42" s="353"/>
      <c r="DW42" s="353"/>
      <c r="DX42" s="353"/>
      <c r="DY42" s="353"/>
      <c r="DZ42" s="353"/>
      <c r="EA42" s="353"/>
      <c r="EB42" s="353"/>
      <c r="EC42" s="353"/>
      <c r="ED42" s="353"/>
      <c r="EE42" s="353"/>
      <c r="EF42" s="353"/>
      <c r="EG42" s="353"/>
      <c r="EH42" s="353"/>
      <c r="EI42" s="353"/>
      <c r="EJ42" s="353"/>
      <c r="EK42" s="353"/>
      <c r="EL42" s="353"/>
      <c r="EM42" s="353"/>
      <c r="EN42" s="353"/>
      <c r="EO42" s="353"/>
      <c r="EP42" s="353"/>
      <c r="EQ42" s="353"/>
      <c r="ER42" s="353"/>
      <c r="ES42" s="353"/>
      <c r="ET42" s="353"/>
      <c r="EU42" s="353"/>
      <c r="EV42" s="353"/>
      <c r="EW42" s="353"/>
      <c r="EX42" s="353"/>
      <c r="EY42" s="353"/>
      <c r="EZ42" s="353"/>
      <c r="FA42" s="353"/>
      <c r="FB42" s="353"/>
      <c r="FC42" s="353"/>
      <c r="FD42" s="353"/>
      <c r="FE42" s="353"/>
      <c r="FF42" s="353"/>
      <c r="FG42" s="353"/>
      <c r="FH42" s="353"/>
      <c r="FI42" s="353"/>
      <c r="FJ42" s="353"/>
      <c r="FK42" s="353"/>
      <c r="FL42" s="353"/>
      <c r="FM42" s="353"/>
      <c r="FN42" s="353"/>
      <c r="FO42" s="353"/>
      <c r="FP42" s="353"/>
      <c r="FQ42" s="353"/>
      <c r="FR42" s="353"/>
      <c r="FS42" s="353"/>
      <c r="FT42" s="353"/>
      <c r="FU42" s="353"/>
      <c r="FV42" s="353"/>
      <c r="FW42" s="353"/>
      <c r="FX42" s="353"/>
      <c r="FY42" s="353"/>
      <c r="FZ42" s="353"/>
      <c r="GA42" s="353"/>
      <c r="GB42" s="353"/>
      <c r="GC42" s="353"/>
      <c r="GD42" s="353"/>
      <c r="GE42" s="353"/>
      <c r="GF42" s="353"/>
      <c r="GG42" s="353"/>
      <c r="GH42" s="353"/>
      <c r="GI42" s="353"/>
      <c r="GJ42" s="353"/>
      <c r="GK42" s="353"/>
      <c r="GL42" s="353"/>
      <c r="GM42" s="353"/>
      <c r="GN42" s="353"/>
      <c r="GO42" s="353"/>
      <c r="GP42" s="353"/>
      <c r="GQ42" s="353"/>
      <c r="GR42" s="353"/>
      <c r="GS42" s="353"/>
      <c r="GT42" s="353"/>
      <c r="GU42" s="353"/>
      <c r="GV42" s="353"/>
      <c r="GW42" s="353"/>
      <c r="GX42" s="353"/>
      <c r="GY42" s="353"/>
      <c r="GZ42" s="353"/>
      <c r="HA42" s="353"/>
      <c r="HB42" s="353"/>
      <c r="HC42" s="353"/>
      <c r="HD42" s="353"/>
      <c r="HE42" s="353"/>
      <c r="HF42" s="353"/>
      <c r="HG42" s="353"/>
      <c r="HH42" s="353"/>
      <c r="HI42" s="353"/>
      <c r="HJ42" s="353"/>
      <c r="HK42" s="353"/>
      <c r="HL42" s="353"/>
      <c r="HM42" s="353"/>
      <c r="HN42" s="353"/>
      <c r="HO42" s="353"/>
      <c r="HP42" s="353"/>
      <c r="HQ42" s="353"/>
      <c r="HR42" s="353"/>
      <c r="HS42" s="353"/>
      <c r="HT42" s="353"/>
      <c r="HU42" s="353"/>
      <c r="HV42" s="353"/>
      <c r="HW42" s="353"/>
      <c r="HX42" s="353"/>
      <c r="HY42" s="353"/>
      <c r="HZ42" s="353"/>
      <c r="IA42" s="353"/>
      <c r="IB42" s="353"/>
      <c r="IC42" s="353"/>
      <c r="ID42" s="353"/>
      <c r="IE42" s="353"/>
      <c r="IF42" s="353"/>
      <c r="IG42" s="353"/>
      <c r="IH42" s="353"/>
      <c r="II42" s="353"/>
      <c r="IJ42" s="353"/>
      <c r="IK42" s="353"/>
      <c r="IL42" s="353"/>
      <c r="IM42" s="353"/>
      <c r="IN42" s="353"/>
      <c r="IO42" s="353"/>
      <c r="IP42" s="353"/>
      <c r="IQ42" s="353"/>
      <c r="IR42" s="353"/>
      <c r="IS42" s="353"/>
      <c r="IT42" s="353"/>
      <c r="IU42" s="353"/>
      <c r="IV42" s="353"/>
      <c r="IW42" s="353"/>
    </row>
    <row r="43" customFormat="false" ht="15.95" hidden="false" customHeight="true" outlineLevel="0" collapsed="false">
      <c r="A43" s="355" t="n">
        <v>39</v>
      </c>
      <c r="B43" s="366"/>
      <c r="C43" s="366"/>
      <c r="D43" s="367"/>
      <c r="E43" s="366"/>
      <c r="F43" s="367"/>
      <c r="G43" s="367"/>
      <c r="H43" s="367"/>
      <c r="I43" s="367"/>
      <c r="J43" s="367"/>
      <c r="K43" s="367"/>
      <c r="L43" s="361"/>
      <c r="M43" s="361"/>
      <c r="N43" s="370"/>
      <c r="O43" s="352"/>
      <c r="P43" s="344"/>
      <c r="Q43" s="344"/>
      <c r="R43" s="344"/>
      <c r="S43" s="344"/>
      <c r="T43" s="344"/>
      <c r="U43" s="344"/>
      <c r="V43" s="344"/>
      <c r="W43" s="344"/>
      <c r="X43" s="344"/>
      <c r="Y43" s="344"/>
      <c r="Z43" s="344"/>
      <c r="AA43" s="344"/>
      <c r="AB43" s="344"/>
      <c r="AC43" s="344"/>
      <c r="AD43" s="344"/>
      <c r="AE43" s="344"/>
      <c r="AF43" s="344"/>
      <c r="AG43" s="344"/>
      <c r="AH43" s="344"/>
      <c r="AI43" s="344"/>
      <c r="AJ43" s="344"/>
      <c r="AK43" s="344"/>
      <c r="AL43" s="344"/>
      <c r="AM43" s="344"/>
      <c r="AN43" s="344"/>
      <c r="AO43" s="344"/>
      <c r="AP43" s="344"/>
      <c r="AQ43" s="344"/>
      <c r="AR43" s="344"/>
      <c r="AS43" s="344"/>
      <c r="AT43" s="344"/>
      <c r="AU43" s="344"/>
      <c r="AV43" s="344"/>
      <c r="AW43" s="344"/>
      <c r="AX43" s="344"/>
      <c r="AY43" s="344"/>
      <c r="AZ43" s="344"/>
      <c r="BA43" s="344"/>
      <c r="BB43" s="344"/>
      <c r="BC43" s="344"/>
      <c r="BD43" s="344"/>
      <c r="BE43" s="344"/>
      <c r="BF43" s="344"/>
      <c r="BG43" s="344"/>
      <c r="BH43" s="344"/>
      <c r="BI43" s="344"/>
      <c r="BJ43" s="344"/>
      <c r="BK43" s="344"/>
      <c r="BL43" s="344"/>
      <c r="BM43" s="344"/>
      <c r="BN43" s="344"/>
      <c r="BO43" s="344"/>
      <c r="BP43" s="344"/>
      <c r="BQ43" s="344"/>
      <c r="BR43" s="344"/>
      <c r="BS43" s="344"/>
      <c r="BT43" s="344"/>
      <c r="BU43" s="344"/>
      <c r="BV43" s="344"/>
      <c r="BW43" s="344"/>
      <c r="BX43" s="344"/>
      <c r="BY43" s="344"/>
      <c r="BZ43" s="344"/>
      <c r="CA43" s="344"/>
      <c r="CB43" s="344"/>
      <c r="CC43" s="344"/>
      <c r="CD43" s="344"/>
      <c r="CE43" s="344"/>
      <c r="CF43" s="344"/>
      <c r="CG43" s="344"/>
      <c r="CH43" s="344"/>
      <c r="CI43" s="344"/>
      <c r="CJ43" s="344"/>
      <c r="CK43" s="344"/>
      <c r="CL43" s="344"/>
      <c r="CM43" s="344"/>
      <c r="CN43" s="344"/>
      <c r="CO43" s="344"/>
      <c r="CP43" s="344"/>
      <c r="CQ43" s="344"/>
      <c r="CR43" s="344"/>
      <c r="CS43" s="344"/>
      <c r="CT43" s="344"/>
      <c r="CU43" s="344"/>
      <c r="CV43" s="344"/>
      <c r="CW43" s="344"/>
      <c r="CX43" s="344"/>
      <c r="CY43" s="344"/>
      <c r="CZ43" s="344"/>
      <c r="DA43" s="344"/>
      <c r="DB43" s="344"/>
      <c r="DC43" s="344"/>
      <c r="DD43" s="344"/>
      <c r="DE43" s="344"/>
      <c r="DF43" s="344"/>
      <c r="DG43" s="344"/>
      <c r="DH43" s="344"/>
      <c r="DI43" s="344"/>
      <c r="DJ43" s="344"/>
      <c r="DK43" s="344"/>
      <c r="DL43" s="344"/>
      <c r="DM43" s="344"/>
      <c r="DN43" s="344"/>
      <c r="DO43" s="344"/>
      <c r="DP43" s="344"/>
      <c r="DQ43" s="344"/>
      <c r="DR43" s="344"/>
      <c r="DS43" s="344"/>
      <c r="DT43" s="344"/>
      <c r="DU43" s="344"/>
      <c r="DV43" s="344"/>
      <c r="DW43" s="344"/>
      <c r="DX43" s="344"/>
      <c r="DY43" s="344"/>
      <c r="DZ43" s="344"/>
      <c r="EA43" s="344"/>
      <c r="EB43" s="344"/>
      <c r="EC43" s="344"/>
      <c r="ED43" s="344"/>
      <c r="EE43" s="344"/>
      <c r="EF43" s="344"/>
      <c r="EG43" s="344"/>
      <c r="EH43" s="344"/>
      <c r="EI43" s="344"/>
      <c r="EJ43" s="344"/>
      <c r="EK43" s="344"/>
      <c r="EL43" s="344"/>
      <c r="EM43" s="344"/>
      <c r="EN43" s="344"/>
      <c r="EO43" s="344"/>
      <c r="EP43" s="344"/>
      <c r="EQ43" s="344"/>
      <c r="ER43" s="344"/>
      <c r="ES43" s="344"/>
      <c r="ET43" s="344"/>
      <c r="EU43" s="344"/>
      <c r="EV43" s="344"/>
      <c r="EW43" s="344"/>
      <c r="EX43" s="344"/>
      <c r="EY43" s="344"/>
      <c r="EZ43" s="344"/>
      <c r="FA43" s="344"/>
      <c r="FB43" s="344"/>
      <c r="FC43" s="344"/>
      <c r="FD43" s="344"/>
      <c r="FE43" s="344"/>
      <c r="FF43" s="344"/>
      <c r="FG43" s="344"/>
      <c r="FH43" s="344"/>
      <c r="FI43" s="344"/>
      <c r="FJ43" s="344"/>
      <c r="FK43" s="344"/>
      <c r="FL43" s="344"/>
      <c r="FM43" s="344"/>
      <c r="FN43" s="344"/>
      <c r="FO43" s="344"/>
      <c r="FP43" s="344"/>
      <c r="FQ43" s="344"/>
      <c r="FR43" s="344"/>
      <c r="FS43" s="344"/>
      <c r="FT43" s="344"/>
      <c r="FU43" s="344"/>
      <c r="FV43" s="344"/>
      <c r="FW43" s="344"/>
      <c r="FX43" s="344"/>
      <c r="FY43" s="344"/>
      <c r="FZ43" s="344"/>
      <c r="GA43" s="344"/>
      <c r="GB43" s="344"/>
      <c r="GC43" s="344"/>
      <c r="GD43" s="344"/>
      <c r="GE43" s="344"/>
      <c r="GF43" s="344"/>
      <c r="GG43" s="344"/>
      <c r="GH43" s="344"/>
      <c r="GI43" s="344"/>
      <c r="GJ43" s="344"/>
      <c r="GK43" s="344"/>
      <c r="GL43" s="344"/>
      <c r="GM43" s="344"/>
      <c r="GN43" s="344"/>
      <c r="GO43" s="344"/>
      <c r="GP43" s="344"/>
      <c r="GQ43" s="344"/>
      <c r="GR43" s="344"/>
      <c r="GS43" s="344"/>
      <c r="GT43" s="344"/>
      <c r="GU43" s="344"/>
      <c r="GV43" s="344"/>
      <c r="GW43" s="344"/>
      <c r="GX43" s="344"/>
      <c r="GY43" s="344"/>
      <c r="GZ43" s="344"/>
      <c r="HA43" s="344"/>
      <c r="HB43" s="344"/>
      <c r="HC43" s="344"/>
      <c r="HD43" s="344"/>
      <c r="HE43" s="344"/>
      <c r="HF43" s="344"/>
      <c r="HG43" s="344"/>
      <c r="HH43" s="344"/>
      <c r="HI43" s="344"/>
      <c r="HJ43" s="344"/>
      <c r="HK43" s="344"/>
      <c r="HL43" s="344"/>
      <c r="HM43" s="344"/>
      <c r="HN43" s="344"/>
      <c r="HO43" s="344"/>
      <c r="HP43" s="344"/>
      <c r="HQ43" s="344"/>
      <c r="HR43" s="344"/>
      <c r="HS43" s="344"/>
      <c r="HT43" s="344"/>
      <c r="HU43" s="344"/>
      <c r="HV43" s="344"/>
      <c r="HW43" s="344"/>
      <c r="HX43" s="344"/>
      <c r="HY43" s="344"/>
      <c r="HZ43" s="344"/>
      <c r="IA43" s="344"/>
      <c r="IB43" s="344"/>
      <c r="IC43" s="344"/>
      <c r="ID43" s="344"/>
      <c r="IE43" s="344"/>
      <c r="IF43" s="344"/>
      <c r="IG43" s="344"/>
      <c r="IH43" s="344"/>
      <c r="II43" s="344"/>
      <c r="IJ43" s="344"/>
      <c r="IK43" s="344"/>
      <c r="IL43" s="344"/>
      <c r="IM43" s="344"/>
      <c r="IN43" s="344"/>
      <c r="IO43" s="344"/>
      <c r="IP43" s="344"/>
      <c r="IQ43" s="344"/>
      <c r="IR43" s="344"/>
      <c r="IS43" s="344"/>
      <c r="IT43" s="344"/>
      <c r="IU43" s="344"/>
      <c r="IV43" s="344"/>
      <c r="IW43" s="344"/>
    </row>
    <row r="44" customFormat="false" ht="15.95" hidden="false" customHeight="true" outlineLevel="0" collapsed="false">
      <c r="A44" s="355" t="n">
        <v>40</v>
      </c>
      <c r="B44" s="366"/>
      <c r="C44" s="366"/>
      <c r="D44" s="367"/>
      <c r="E44" s="366"/>
      <c r="F44" s="367"/>
      <c r="G44" s="367"/>
      <c r="H44" s="367"/>
      <c r="I44" s="367"/>
      <c r="J44" s="367"/>
      <c r="K44" s="367"/>
      <c r="L44" s="361"/>
      <c r="M44" s="361"/>
      <c r="N44" s="370"/>
      <c r="O44" s="352"/>
      <c r="P44" s="344"/>
      <c r="Q44" s="344"/>
      <c r="R44" s="344"/>
      <c r="S44" s="344"/>
      <c r="T44" s="344"/>
      <c r="U44" s="344"/>
      <c r="V44" s="344"/>
      <c r="W44" s="344"/>
      <c r="X44" s="344"/>
      <c r="Y44" s="344"/>
      <c r="Z44" s="344"/>
      <c r="AA44" s="344"/>
      <c r="AB44" s="344"/>
      <c r="AC44" s="344"/>
      <c r="AD44" s="344"/>
      <c r="AE44" s="344"/>
      <c r="AF44" s="344"/>
      <c r="AG44" s="344"/>
      <c r="AH44" s="344"/>
      <c r="AI44" s="344"/>
      <c r="AJ44" s="344"/>
      <c r="AK44" s="344"/>
      <c r="AL44" s="344"/>
      <c r="AM44" s="344"/>
      <c r="AN44" s="344"/>
      <c r="AO44" s="344"/>
      <c r="AP44" s="344"/>
      <c r="AQ44" s="344"/>
      <c r="AR44" s="344"/>
      <c r="AS44" s="344"/>
      <c r="AT44" s="344"/>
      <c r="AU44" s="344"/>
      <c r="AV44" s="344"/>
      <c r="AW44" s="344"/>
      <c r="AX44" s="344"/>
      <c r="AY44" s="344"/>
      <c r="AZ44" s="344"/>
      <c r="BA44" s="344"/>
      <c r="BB44" s="344"/>
      <c r="BC44" s="344"/>
      <c r="BD44" s="344"/>
      <c r="BE44" s="344"/>
      <c r="BF44" s="344"/>
      <c r="BG44" s="344"/>
      <c r="BH44" s="344"/>
      <c r="BI44" s="344"/>
      <c r="BJ44" s="344"/>
      <c r="BK44" s="344"/>
      <c r="BL44" s="344"/>
      <c r="BM44" s="344"/>
      <c r="BN44" s="344"/>
      <c r="BO44" s="344"/>
      <c r="BP44" s="344"/>
      <c r="BQ44" s="344"/>
      <c r="BR44" s="344"/>
      <c r="BS44" s="344"/>
      <c r="BT44" s="344"/>
      <c r="BU44" s="344"/>
      <c r="BV44" s="344"/>
      <c r="BW44" s="344"/>
      <c r="BX44" s="344"/>
      <c r="BY44" s="344"/>
      <c r="BZ44" s="344"/>
      <c r="CA44" s="344"/>
      <c r="CB44" s="344"/>
      <c r="CC44" s="344"/>
      <c r="CD44" s="344"/>
      <c r="CE44" s="344"/>
      <c r="CF44" s="344"/>
      <c r="CG44" s="344"/>
      <c r="CH44" s="344"/>
      <c r="CI44" s="344"/>
      <c r="CJ44" s="344"/>
      <c r="CK44" s="344"/>
      <c r="CL44" s="344"/>
      <c r="CM44" s="344"/>
      <c r="CN44" s="344"/>
      <c r="CO44" s="344"/>
      <c r="CP44" s="344"/>
      <c r="CQ44" s="344"/>
      <c r="CR44" s="344"/>
      <c r="CS44" s="344"/>
      <c r="CT44" s="344"/>
      <c r="CU44" s="344"/>
      <c r="CV44" s="344"/>
      <c r="CW44" s="344"/>
      <c r="CX44" s="344"/>
      <c r="CY44" s="344"/>
      <c r="CZ44" s="344"/>
      <c r="DA44" s="344"/>
      <c r="DB44" s="344"/>
      <c r="DC44" s="344"/>
      <c r="DD44" s="344"/>
      <c r="DE44" s="344"/>
      <c r="DF44" s="344"/>
      <c r="DG44" s="344"/>
      <c r="DH44" s="344"/>
      <c r="DI44" s="344"/>
      <c r="DJ44" s="344"/>
      <c r="DK44" s="344"/>
      <c r="DL44" s="344"/>
      <c r="DM44" s="344"/>
      <c r="DN44" s="344"/>
      <c r="DO44" s="344"/>
      <c r="DP44" s="344"/>
      <c r="DQ44" s="344"/>
      <c r="DR44" s="344"/>
      <c r="DS44" s="344"/>
      <c r="DT44" s="344"/>
      <c r="DU44" s="344"/>
      <c r="DV44" s="344"/>
      <c r="DW44" s="344"/>
      <c r="DX44" s="344"/>
      <c r="DY44" s="344"/>
      <c r="DZ44" s="344"/>
      <c r="EA44" s="344"/>
      <c r="EB44" s="344"/>
      <c r="EC44" s="344"/>
      <c r="ED44" s="344"/>
      <c r="EE44" s="344"/>
      <c r="EF44" s="344"/>
      <c r="EG44" s="344"/>
      <c r="EH44" s="344"/>
      <c r="EI44" s="344"/>
      <c r="EJ44" s="344"/>
      <c r="EK44" s="344"/>
      <c r="EL44" s="344"/>
      <c r="EM44" s="344"/>
      <c r="EN44" s="344"/>
      <c r="EO44" s="344"/>
      <c r="EP44" s="344"/>
      <c r="EQ44" s="344"/>
      <c r="ER44" s="344"/>
      <c r="ES44" s="344"/>
      <c r="ET44" s="344"/>
      <c r="EU44" s="344"/>
      <c r="EV44" s="344"/>
      <c r="EW44" s="344"/>
      <c r="EX44" s="344"/>
      <c r="EY44" s="344"/>
      <c r="EZ44" s="344"/>
      <c r="FA44" s="344"/>
      <c r="FB44" s="344"/>
      <c r="FC44" s="344"/>
      <c r="FD44" s="344"/>
      <c r="FE44" s="344"/>
      <c r="FF44" s="344"/>
      <c r="FG44" s="344"/>
      <c r="FH44" s="344"/>
      <c r="FI44" s="344"/>
      <c r="FJ44" s="344"/>
      <c r="FK44" s="344"/>
      <c r="FL44" s="344"/>
      <c r="FM44" s="344"/>
      <c r="FN44" s="344"/>
      <c r="FO44" s="344"/>
      <c r="FP44" s="344"/>
      <c r="FQ44" s="344"/>
      <c r="FR44" s="344"/>
      <c r="FS44" s="344"/>
      <c r="FT44" s="344"/>
      <c r="FU44" s="344"/>
      <c r="FV44" s="344"/>
      <c r="FW44" s="344"/>
      <c r="FX44" s="344"/>
      <c r="FY44" s="344"/>
      <c r="FZ44" s="344"/>
      <c r="GA44" s="344"/>
      <c r="GB44" s="344"/>
      <c r="GC44" s="344"/>
      <c r="GD44" s="344"/>
      <c r="GE44" s="344"/>
      <c r="GF44" s="344"/>
      <c r="GG44" s="344"/>
      <c r="GH44" s="344"/>
      <c r="GI44" s="344"/>
      <c r="GJ44" s="344"/>
      <c r="GK44" s="344"/>
      <c r="GL44" s="344"/>
      <c r="GM44" s="344"/>
      <c r="GN44" s="344"/>
      <c r="GO44" s="344"/>
      <c r="GP44" s="344"/>
      <c r="GQ44" s="344"/>
      <c r="GR44" s="344"/>
      <c r="GS44" s="344"/>
      <c r="GT44" s="344"/>
      <c r="GU44" s="344"/>
      <c r="GV44" s="344"/>
      <c r="GW44" s="344"/>
      <c r="GX44" s="344"/>
      <c r="GY44" s="344"/>
      <c r="GZ44" s="344"/>
      <c r="HA44" s="344"/>
      <c r="HB44" s="344"/>
      <c r="HC44" s="344"/>
      <c r="HD44" s="344"/>
      <c r="HE44" s="344"/>
      <c r="HF44" s="344"/>
      <c r="HG44" s="344"/>
      <c r="HH44" s="344"/>
      <c r="HI44" s="344"/>
      <c r="HJ44" s="344"/>
      <c r="HK44" s="344"/>
      <c r="HL44" s="344"/>
      <c r="HM44" s="344"/>
      <c r="HN44" s="344"/>
      <c r="HO44" s="344"/>
      <c r="HP44" s="344"/>
      <c r="HQ44" s="344"/>
      <c r="HR44" s="344"/>
      <c r="HS44" s="344"/>
      <c r="HT44" s="344"/>
      <c r="HU44" s="344"/>
      <c r="HV44" s="344"/>
      <c r="HW44" s="344"/>
      <c r="HX44" s="344"/>
      <c r="HY44" s="344"/>
      <c r="HZ44" s="344"/>
      <c r="IA44" s="344"/>
      <c r="IB44" s="344"/>
      <c r="IC44" s="344"/>
      <c r="ID44" s="344"/>
      <c r="IE44" s="344"/>
      <c r="IF44" s="344"/>
      <c r="IG44" s="344"/>
      <c r="IH44" s="344"/>
      <c r="II44" s="344"/>
      <c r="IJ44" s="344"/>
      <c r="IK44" s="344"/>
      <c r="IL44" s="344"/>
      <c r="IM44" s="344"/>
      <c r="IN44" s="344"/>
      <c r="IO44" s="344"/>
      <c r="IP44" s="344"/>
      <c r="IQ44" s="344"/>
      <c r="IR44" s="344"/>
      <c r="IS44" s="344"/>
      <c r="IT44" s="344"/>
      <c r="IU44" s="344"/>
      <c r="IV44" s="344"/>
      <c r="IW44" s="344"/>
    </row>
    <row r="45" customFormat="false" ht="15.95" hidden="false" customHeight="true" outlineLevel="0" collapsed="false">
      <c r="A45" s="355" t="n">
        <v>41</v>
      </c>
      <c r="B45" s="366"/>
      <c r="C45" s="366"/>
      <c r="D45" s="367"/>
      <c r="E45" s="366"/>
      <c r="F45" s="367"/>
      <c r="G45" s="367"/>
      <c r="H45" s="367"/>
      <c r="I45" s="367"/>
      <c r="J45" s="367"/>
      <c r="K45" s="367"/>
      <c r="L45" s="361"/>
      <c r="M45" s="361"/>
      <c r="N45" s="370"/>
      <c r="O45" s="352"/>
      <c r="P45" s="344"/>
      <c r="Q45" s="344"/>
      <c r="R45" s="344"/>
      <c r="S45" s="344"/>
      <c r="T45" s="344"/>
      <c r="U45" s="344"/>
      <c r="V45" s="344"/>
      <c r="W45" s="344"/>
      <c r="X45" s="344"/>
      <c r="Y45" s="344"/>
      <c r="Z45" s="344"/>
      <c r="AA45" s="344"/>
      <c r="AB45" s="344"/>
      <c r="AC45" s="344"/>
      <c r="AD45" s="344"/>
      <c r="AE45" s="344"/>
      <c r="AF45" s="344"/>
      <c r="AG45" s="344"/>
      <c r="AH45" s="344"/>
      <c r="AI45" s="344"/>
      <c r="AJ45" s="344"/>
      <c r="AK45" s="344"/>
      <c r="AL45" s="344"/>
      <c r="AM45" s="344"/>
      <c r="AN45" s="344"/>
      <c r="AO45" s="344"/>
      <c r="AP45" s="344"/>
      <c r="AQ45" s="344"/>
      <c r="AR45" s="344"/>
      <c r="AS45" s="344"/>
      <c r="AT45" s="344"/>
      <c r="AU45" s="344"/>
      <c r="AV45" s="344"/>
      <c r="AW45" s="344"/>
      <c r="AX45" s="344"/>
      <c r="AY45" s="344"/>
      <c r="AZ45" s="344"/>
      <c r="BA45" s="344"/>
      <c r="BB45" s="344"/>
      <c r="BC45" s="344"/>
      <c r="BD45" s="344"/>
      <c r="BE45" s="344"/>
      <c r="BF45" s="344"/>
      <c r="BG45" s="344"/>
      <c r="BH45" s="344"/>
      <c r="BI45" s="344"/>
      <c r="BJ45" s="344"/>
      <c r="BK45" s="344"/>
      <c r="BL45" s="344"/>
      <c r="BM45" s="344"/>
      <c r="BN45" s="344"/>
      <c r="BO45" s="344"/>
      <c r="BP45" s="344"/>
      <c r="BQ45" s="344"/>
      <c r="BR45" s="344"/>
      <c r="BS45" s="344"/>
      <c r="BT45" s="344"/>
      <c r="BU45" s="344"/>
      <c r="BV45" s="344"/>
      <c r="BW45" s="344"/>
      <c r="BX45" s="344"/>
      <c r="BY45" s="344"/>
      <c r="BZ45" s="344"/>
      <c r="CA45" s="344"/>
      <c r="CB45" s="344"/>
      <c r="CC45" s="344"/>
      <c r="CD45" s="344"/>
      <c r="CE45" s="344"/>
      <c r="CF45" s="344"/>
      <c r="CG45" s="344"/>
      <c r="CH45" s="344"/>
      <c r="CI45" s="344"/>
      <c r="CJ45" s="344"/>
      <c r="CK45" s="344"/>
      <c r="CL45" s="344"/>
      <c r="CM45" s="344"/>
      <c r="CN45" s="344"/>
      <c r="CO45" s="344"/>
      <c r="CP45" s="344"/>
      <c r="CQ45" s="344"/>
      <c r="CR45" s="344"/>
      <c r="CS45" s="344"/>
      <c r="CT45" s="344"/>
      <c r="CU45" s="344"/>
      <c r="CV45" s="344"/>
      <c r="CW45" s="344"/>
      <c r="CX45" s="344"/>
      <c r="CY45" s="344"/>
      <c r="CZ45" s="344"/>
      <c r="DA45" s="344"/>
      <c r="DB45" s="344"/>
      <c r="DC45" s="344"/>
      <c r="DD45" s="344"/>
      <c r="DE45" s="344"/>
      <c r="DF45" s="344"/>
      <c r="DG45" s="344"/>
      <c r="DH45" s="344"/>
      <c r="DI45" s="344"/>
      <c r="DJ45" s="344"/>
      <c r="DK45" s="344"/>
      <c r="DL45" s="344"/>
      <c r="DM45" s="344"/>
      <c r="DN45" s="344"/>
      <c r="DO45" s="344"/>
      <c r="DP45" s="344"/>
      <c r="DQ45" s="344"/>
      <c r="DR45" s="344"/>
      <c r="DS45" s="344"/>
      <c r="DT45" s="344"/>
      <c r="DU45" s="344"/>
      <c r="DV45" s="344"/>
      <c r="DW45" s="344"/>
      <c r="DX45" s="344"/>
      <c r="DY45" s="344"/>
      <c r="DZ45" s="344"/>
      <c r="EA45" s="344"/>
      <c r="EB45" s="344"/>
      <c r="EC45" s="344"/>
      <c r="ED45" s="344"/>
      <c r="EE45" s="344"/>
      <c r="EF45" s="344"/>
      <c r="EG45" s="344"/>
      <c r="EH45" s="344"/>
      <c r="EI45" s="344"/>
      <c r="EJ45" s="344"/>
      <c r="EK45" s="344"/>
      <c r="EL45" s="344"/>
      <c r="EM45" s="344"/>
      <c r="EN45" s="344"/>
      <c r="EO45" s="344"/>
      <c r="EP45" s="344"/>
      <c r="EQ45" s="344"/>
      <c r="ER45" s="344"/>
      <c r="ES45" s="344"/>
      <c r="ET45" s="344"/>
      <c r="EU45" s="344"/>
      <c r="EV45" s="344"/>
      <c r="EW45" s="344"/>
      <c r="EX45" s="344"/>
      <c r="EY45" s="344"/>
      <c r="EZ45" s="344"/>
      <c r="FA45" s="344"/>
      <c r="FB45" s="344"/>
      <c r="FC45" s="344"/>
      <c r="FD45" s="344"/>
      <c r="FE45" s="344"/>
      <c r="FF45" s="344"/>
      <c r="FG45" s="344"/>
      <c r="FH45" s="344"/>
      <c r="FI45" s="344"/>
      <c r="FJ45" s="344"/>
      <c r="FK45" s="344"/>
      <c r="FL45" s="344"/>
      <c r="FM45" s="344"/>
      <c r="FN45" s="344"/>
      <c r="FO45" s="344"/>
      <c r="FP45" s="344"/>
      <c r="FQ45" s="344"/>
      <c r="FR45" s="344"/>
      <c r="FS45" s="344"/>
      <c r="FT45" s="344"/>
      <c r="FU45" s="344"/>
      <c r="FV45" s="344"/>
      <c r="FW45" s="344"/>
      <c r="FX45" s="344"/>
      <c r="FY45" s="344"/>
      <c r="FZ45" s="344"/>
      <c r="GA45" s="344"/>
      <c r="GB45" s="344"/>
      <c r="GC45" s="344"/>
      <c r="GD45" s="344"/>
      <c r="GE45" s="344"/>
      <c r="GF45" s="344"/>
      <c r="GG45" s="344"/>
      <c r="GH45" s="344"/>
      <c r="GI45" s="344"/>
      <c r="GJ45" s="344"/>
      <c r="GK45" s="344"/>
      <c r="GL45" s="344"/>
      <c r="GM45" s="344"/>
      <c r="GN45" s="344"/>
      <c r="GO45" s="344"/>
      <c r="GP45" s="344"/>
      <c r="GQ45" s="344"/>
      <c r="GR45" s="344"/>
      <c r="GS45" s="344"/>
      <c r="GT45" s="344"/>
      <c r="GU45" s="344"/>
      <c r="GV45" s="344"/>
      <c r="GW45" s="344"/>
      <c r="GX45" s="344"/>
      <c r="GY45" s="344"/>
      <c r="GZ45" s="344"/>
      <c r="HA45" s="344"/>
      <c r="HB45" s="344"/>
      <c r="HC45" s="344"/>
      <c r="HD45" s="344"/>
      <c r="HE45" s="344"/>
      <c r="HF45" s="344"/>
      <c r="HG45" s="344"/>
      <c r="HH45" s="344"/>
      <c r="HI45" s="344"/>
      <c r="HJ45" s="344"/>
      <c r="HK45" s="344"/>
      <c r="HL45" s="344"/>
      <c r="HM45" s="344"/>
      <c r="HN45" s="344"/>
      <c r="HO45" s="344"/>
      <c r="HP45" s="344"/>
      <c r="HQ45" s="344"/>
      <c r="HR45" s="344"/>
      <c r="HS45" s="344"/>
      <c r="HT45" s="344"/>
      <c r="HU45" s="344"/>
      <c r="HV45" s="344"/>
      <c r="HW45" s="344"/>
      <c r="HX45" s="344"/>
      <c r="HY45" s="344"/>
      <c r="HZ45" s="344"/>
      <c r="IA45" s="344"/>
      <c r="IB45" s="344"/>
      <c r="IC45" s="344"/>
      <c r="ID45" s="344"/>
      <c r="IE45" s="344"/>
      <c r="IF45" s="344"/>
      <c r="IG45" s="344"/>
      <c r="IH45" s="344"/>
      <c r="II45" s="344"/>
      <c r="IJ45" s="344"/>
      <c r="IK45" s="344"/>
      <c r="IL45" s="344"/>
      <c r="IM45" s="344"/>
      <c r="IN45" s="344"/>
      <c r="IO45" s="344"/>
      <c r="IP45" s="344"/>
      <c r="IQ45" s="344"/>
      <c r="IR45" s="344"/>
      <c r="IS45" s="344"/>
      <c r="IT45" s="344"/>
      <c r="IU45" s="344"/>
      <c r="IV45" s="344"/>
      <c r="IW45" s="344"/>
    </row>
    <row r="46" customFormat="false" ht="15.95" hidden="false" customHeight="true" outlineLevel="0" collapsed="false">
      <c r="A46" s="355" t="n">
        <v>42</v>
      </c>
      <c r="B46" s="366"/>
      <c r="C46" s="366"/>
      <c r="D46" s="367"/>
      <c r="E46" s="366"/>
      <c r="F46" s="367"/>
      <c r="G46" s="367"/>
      <c r="H46" s="367"/>
      <c r="I46" s="367"/>
      <c r="J46" s="367"/>
      <c r="K46" s="367"/>
      <c r="L46" s="361"/>
      <c r="M46" s="361"/>
      <c r="N46" s="370"/>
      <c r="O46" s="352"/>
      <c r="P46" s="344"/>
      <c r="Q46" s="344"/>
      <c r="R46" s="344"/>
      <c r="S46" s="344"/>
      <c r="T46" s="344"/>
      <c r="U46" s="344"/>
      <c r="V46" s="344"/>
      <c r="W46" s="344"/>
      <c r="X46" s="344"/>
      <c r="Y46" s="344"/>
      <c r="Z46" s="344"/>
      <c r="AA46" s="344"/>
      <c r="AB46" s="344"/>
      <c r="AC46" s="344"/>
      <c r="AD46" s="344"/>
      <c r="AE46" s="344"/>
      <c r="AF46" s="344"/>
      <c r="AG46" s="344"/>
      <c r="AH46" s="344"/>
      <c r="AI46" s="344"/>
      <c r="AJ46" s="344"/>
      <c r="AK46" s="344"/>
      <c r="AL46" s="344"/>
      <c r="AM46" s="344"/>
      <c r="AN46" s="344"/>
      <c r="AO46" s="344"/>
      <c r="AP46" s="344"/>
      <c r="AQ46" s="344"/>
      <c r="AR46" s="344"/>
      <c r="AS46" s="344"/>
      <c r="AT46" s="344"/>
      <c r="AU46" s="344"/>
      <c r="AV46" s="344"/>
      <c r="AW46" s="344"/>
      <c r="AX46" s="344"/>
      <c r="AY46" s="344"/>
      <c r="AZ46" s="344"/>
      <c r="BA46" s="344"/>
      <c r="BB46" s="344"/>
      <c r="BC46" s="344"/>
      <c r="BD46" s="344"/>
      <c r="BE46" s="344"/>
      <c r="BF46" s="344"/>
      <c r="BG46" s="344"/>
      <c r="BH46" s="344"/>
      <c r="BI46" s="344"/>
      <c r="BJ46" s="344"/>
      <c r="BK46" s="344"/>
      <c r="BL46" s="344"/>
      <c r="BM46" s="344"/>
      <c r="BN46" s="344"/>
      <c r="BO46" s="344"/>
      <c r="BP46" s="344"/>
      <c r="BQ46" s="344"/>
      <c r="BR46" s="344"/>
      <c r="BS46" s="344"/>
      <c r="BT46" s="344"/>
      <c r="BU46" s="344"/>
      <c r="BV46" s="344"/>
      <c r="BW46" s="344"/>
      <c r="BX46" s="344"/>
      <c r="BY46" s="344"/>
      <c r="BZ46" s="344"/>
      <c r="CA46" s="344"/>
      <c r="CB46" s="344"/>
      <c r="CC46" s="344"/>
      <c r="CD46" s="344"/>
      <c r="CE46" s="344"/>
      <c r="CF46" s="344"/>
      <c r="CG46" s="344"/>
      <c r="CH46" s="344"/>
      <c r="CI46" s="344"/>
      <c r="CJ46" s="344"/>
      <c r="CK46" s="344"/>
      <c r="CL46" s="344"/>
      <c r="CM46" s="344"/>
      <c r="CN46" s="344"/>
      <c r="CO46" s="344"/>
      <c r="CP46" s="344"/>
      <c r="CQ46" s="344"/>
      <c r="CR46" s="344"/>
      <c r="CS46" s="344"/>
      <c r="CT46" s="344"/>
      <c r="CU46" s="344"/>
      <c r="CV46" s="344"/>
      <c r="CW46" s="344"/>
      <c r="CX46" s="344"/>
      <c r="CY46" s="344"/>
      <c r="CZ46" s="344"/>
      <c r="DA46" s="344"/>
      <c r="DB46" s="344"/>
      <c r="DC46" s="344"/>
      <c r="DD46" s="344"/>
      <c r="DE46" s="344"/>
      <c r="DF46" s="344"/>
      <c r="DG46" s="344"/>
      <c r="DH46" s="344"/>
      <c r="DI46" s="344"/>
      <c r="DJ46" s="344"/>
      <c r="DK46" s="344"/>
      <c r="DL46" s="344"/>
      <c r="DM46" s="344"/>
      <c r="DN46" s="344"/>
      <c r="DO46" s="344"/>
      <c r="DP46" s="344"/>
      <c r="DQ46" s="344"/>
      <c r="DR46" s="344"/>
      <c r="DS46" s="344"/>
      <c r="DT46" s="344"/>
      <c r="DU46" s="344"/>
      <c r="DV46" s="344"/>
      <c r="DW46" s="344"/>
      <c r="DX46" s="344"/>
      <c r="DY46" s="344"/>
      <c r="DZ46" s="344"/>
      <c r="EA46" s="344"/>
      <c r="EB46" s="344"/>
      <c r="EC46" s="344"/>
      <c r="ED46" s="344"/>
      <c r="EE46" s="344"/>
      <c r="EF46" s="344"/>
      <c r="EG46" s="344"/>
      <c r="EH46" s="344"/>
      <c r="EI46" s="344"/>
      <c r="EJ46" s="344"/>
      <c r="EK46" s="344"/>
      <c r="EL46" s="344"/>
      <c r="EM46" s="344"/>
      <c r="EN46" s="344"/>
      <c r="EO46" s="344"/>
      <c r="EP46" s="344"/>
      <c r="EQ46" s="344"/>
      <c r="ER46" s="344"/>
      <c r="ES46" s="344"/>
      <c r="ET46" s="344"/>
      <c r="EU46" s="344"/>
      <c r="EV46" s="344"/>
      <c r="EW46" s="344"/>
      <c r="EX46" s="344"/>
      <c r="EY46" s="344"/>
      <c r="EZ46" s="344"/>
      <c r="FA46" s="344"/>
      <c r="FB46" s="344"/>
      <c r="FC46" s="344"/>
      <c r="FD46" s="344"/>
      <c r="FE46" s="344"/>
      <c r="FF46" s="344"/>
      <c r="FG46" s="344"/>
      <c r="FH46" s="344"/>
      <c r="FI46" s="344"/>
      <c r="FJ46" s="344"/>
      <c r="FK46" s="344"/>
      <c r="FL46" s="344"/>
      <c r="FM46" s="344"/>
      <c r="FN46" s="344"/>
      <c r="FO46" s="344"/>
      <c r="FP46" s="344"/>
      <c r="FQ46" s="344"/>
      <c r="FR46" s="344"/>
      <c r="FS46" s="344"/>
      <c r="FT46" s="344"/>
      <c r="FU46" s="344"/>
      <c r="FV46" s="344"/>
      <c r="FW46" s="344"/>
      <c r="FX46" s="344"/>
      <c r="FY46" s="344"/>
      <c r="FZ46" s="344"/>
      <c r="GA46" s="344"/>
      <c r="GB46" s="344"/>
      <c r="GC46" s="344"/>
      <c r="GD46" s="344"/>
      <c r="GE46" s="344"/>
      <c r="GF46" s="344"/>
      <c r="GG46" s="344"/>
      <c r="GH46" s="344"/>
      <c r="GI46" s="344"/>
      <c r="GJ46" s="344"/>
      <c r="GK46" s="344"/>
      <c r="GL46" s="344"/>
      <c r="GM46" s="344"/>
      <c r="GN46" s="344"/>
      <c r="GO46" s="344"/>
      <c r="GP46" s="344"/>
      <c r="GQ46" s="344"/>
      <c r="GR46" s="344"/>
      <c r="GS46" s="344"/>
      <c r="GT46" s="344"/>
      <c r="GU46" s="344"/>
      <c r="GV46" s="344"/>
      <c r="GW46" s="344"/>
      <c r="GX46" s="344"/>
      <c r="GY46" s="344"/>
      <c r="GZ46" s="344"/>
      <c r="HA46" s="344"/>
      <c r="HB46" s="344"/>
      <c r="HC46" s="344"/>
      <c r="HD46" s="344"/>
      <c r="HE46" s="344"/>
      <c r="HF46" s="344"/>
      <c r="HG46" s="344"/>
      <c r="HH46" s="344"/>
      <c r="HI46" s="344"/>
      <c r="HJ46" s="344"/>
      <c r="HK46" s="344"/>
      <c r="HL46" s="344"/>
      <c r="HM46" s="344"/>
      <c r="HN46" s="344"/>
      <c r="HO46" s="344"/>
      <c r="HP46" s="344"/>
      <c r="HQ46" s="344"/>
      <c r="HR46" s="344"/>
      <c r="HS46" s="344"/>
      <c r="HT46" s="344"/>
      <c r="HU46" s="344"/>
      <c r="HV46" s="344"/>
      <c r="HW46" s="344"/>
      <c r="HX46" s="344"/>
      <c r="HY46" s="344"/>
      <c r="HZ46" s="344"/>
      <c r="IA46" s="344"/>
      <c r="IB46" s="344"/>
      <c r="IC46" s="344"/>
      <c r="ID46" s="344"/>
      <c r="IE46" s="344"/>
      <c r="IF46" s="344"/>
      <c r="IG46" s="344"/>
      <c r="IH46" s="344"/>
      <c r="II46" s="344"/>
      <c r="IJ46" s="344"/>
      <c r="IK46" s="344"/>
      <c r="IL46" s="344"/>
      <c r="IM46" s="344"/>
      <c r="IN46" s="344"/>
      <c r="IO46" s="344"/>
      <c r="IP46" s="344"/>
      <c r="IQ46" s="344"/>
      <c r="IR46" s="344"/>
      <c r="IS46" s="344"/>
      <c r="IT46" s="344"/>
      <c r="IU46" s="344"/>
      <c r="IV46" s="344"/>
      <c r="IW46" s="344"/>
    </row>
    <row r="47" customFormat="false" ht="15.95" hidden="false" customHeight="true" outlineLevel="0" collapsed="false">
      <c r="A47" s="355" t="n">
        <v>43</v>
      </c>
      <c r="B47" s="366"/>
      <c r="C47" s="366"/>
      <c r="D47" s="367"/>
      <c r="E47" s="366"/>
      <c r="F47" s="367"/>
      <c r="G47" s="367"/>
      <c r="H47" s="367"/>
      <c r="I47" s="367"/>
      <c r="J47" s="367"/>
      <c r="K47" s="367"/>
      <c r="L47" s="361"/>
      <c r="M47" s="361"/>
      <c r="N47" s="370"/>
      <c r="O47" s="352"/>
      <c r="P47" s="344"/>
      <c r="Q47" s="344"/>
      <c r="R47" s="344"/>
      <c r="S47" s="344"/>
      <c r="T47" s="344"/>
      <c r="U47" s="344"/>
      <c r="V47" s="344"/>
      <c r="W47" s="344"/>
      <c r="X47" s="344"/>
      <c r="Y47" s="344"/>
      <c r="Z47" s="344"/>
      <c r="AA47" s="344"/>
      <c r="AB47" s="344"/>
      <c r="AC47" s="344"/>
      <c r="AD47" s="344"/>
      <c r="AE47" s="344"/>
      <c r="AF47" s="344"/>
      <c r="AG47" s="344"/>
      <c r="AH47" s="344"/>
      <c r="AI47" s="344"/>
      <c r="AJ47" s="344"/>
      <c r="AK47" s="344"/>
      <c r="AL47" s="344"/>
      <c r="AM47" s="344"/>
      <c r="AN47" s="344"/>
      <c r="AO47" s="344"/>
      <c r="AP47" s="344"/>
      <c r="AQ47" s="344"/>
      <c r="AR47" s="344"/>
      <c r="AS47" s="344"/>
      <c r="AT47" s="344"/>
      <c r="AU47" s="344"/>
      <c r="AV47" s="344"/>
      <c r="AW47" s="344"/>
      <c r="AX47" s="344"/>
      <c r="AY47" s="344"/>
      <c r="AZ47" s="344"/>
      <c r="BA47" s="344"/>
      <c r="BB47" s="344"/>
      <c r="BC47" s="344"/>
      <c r="BD47" s="344"/>
      <c r="BE47" s="344"/>
      <c r="BF47" s="344"/>
      <c r="BG47" s="344"/>
      <c r="BH47" s="344"/>
      <c r="BI47" s="344"/>
      <c r="BJ47" s="344"/>
      <c r="BK47" s="344"/>
      <c r="BL47" s="344"/>
      <c r="BM47" s="344"/>
      <c r="BN47" s="344"/>
      <c r="BO47" s="344"/>
      <c r="BP47" s="344"/>
      <c r="BQ47" s="344"/>
      <c r="BR47" s="344"/>
      <c r="BS47" s="344"/>
      <c r="BT47" s="344"/>
      <c r="BU47" s="344"/>
      <c r="BV47" s="344"/>
      <c r="BW47" s="344"/>
      <c r="BX47" s="344"/>
      <c r="BY47" s="344"/>
      <c r="BZ47" s="344"/>
      <c r="CA47" s="344"/>
      <c r="CB47" s="344"/>
      <c r="CC47" s="344"/>
      <c r="CD47" s="344"/>
      <c r="CE47" s="344"/>
      <c r="CF47" s="344"/>
      <c r="CG47" s="344"/>
      <c r="CH47" s="344"/>
      <c r="CI47" s="344"/>
      <c r="CJ47" s="344"/>
      <c r="CK47" s="344"/>
      <c r="CL47" s="344"/>
      <c r="CM47" s="344"/>
      <c r="CN47" s="344"/>
      <c r="CO47" s="344"/>
      <c r="CP47" s="344"/>
      <c r="CQ47" s="344"/>
      <c r="CR47" s="344"/>
      <c r="CS47" s="344"/>
      <c r="CT47" s="344"/>
      <c r="CU47" s="344"/>
      <c r="CV47" s="344"/>
      <c r="CW47" s="344"/>
      <c r="CX47" s="344"/>
      <c r="CY47" s="344"/>
      <c r="CZ47" s="344"/>
      <c r="DA47" s="344"/>
      <c r="DB47" s="344"/>
      <c r="DC47" s="344"/>
      <c r="DD47" s="344"/>
      <c r="DE47" s="344"/>
      <c r="DF47" s="344"/>
      <c r="DG47" s="344"/>
      <c r="DH47" s="344"/>
      <c r="DI47" s="344"/>
      <c r="DJ47" s="344"/>
      <c r="DK47" s="344"/>
      <c r="DL47" s="344"/>
      <c r="DM47" s="344"/>
      <c r="DN47" s="344"/>
      <c r="DO47" s="344"/>
      <c r="DP47" s="344"/>
      <c r="DQ47" s="344"/>
      <c r="DR47" s="344"/>
      <c r="DS47" s="344"/>
      <c r="DT47" s="344"/>
      <c r="DU47" s="344"/>
      <c r="DV47" s="344"/>
      <c r="DW47" s="344"/>
      <c r="DX47" s="344"/>
      <c r="DY47" s="344"/>
      <c r="DZ47" s="344"/>
      <c r="EA47" s="344"/>
      <c r="EB47" s="344"/>
      <c r="EC47" s="344"/>
      <c r="ED47" s="344"/>
      <c r="EE47" s="344"/>
      <c r="EF47" s="344"/>
      <c r="EG47" s="344"/>
      <c r="EH47" s="344"/>
      <c r="EI47" s="344"/>
      <c r="EJ47" s="344"/>
      <c r="EK47" s="344"/>
      <c r="EL47" s="344"/>
      <c r="EM47" s="344"/>
      <c r="EN47" s="344"/>
      <c r="EO47" s="344"/>
      <c r="EP47" s="344"/>
      <c r="EQ47" s="344"/>
      <c r="ER47" s="344"/>
      <c r="ES47" s="344"/>
      <c r="ET47" s="344"/>
      <c r="EU47" s="344"/>
      <c r="EV47" s="344"/>
      <c r="EW47" s="344"/>
      <c r="EX47" s="344"/>
      <c r="EY47" s="344"/>
      <c r="EZ47" s="344"/>
      <c r="FA47" s="344"/>
      <c r="FB47" s="344"/>
      <c r="FC47" s="344"/>
      <c r="FD47" s="344"/>
      <c r="FE47" s="344"/>
      <c r="FF47" s="344"/>
      <c r="FG47" s="344"/>
      <c r="FH47" s="344"/>
      <c r="FI47" s="344"/>
      <c r="FJ47" s="344"/>
      <c r="FK47" s="344"/>
      <c r="FL47" s="344"/>
      <c r="FM47" s="344"/>
      <c r="FN47" s="344"/>
      <c r="FO47" s="344"/>
      <c r="FP47" s="344"/>
      <c r="FQ47" s="344"/>
      <c r="FR47" s="344"/>
      <c r="FS47" s="344"/>
      <c r="FT47" s="344"/>
      <c r="FU47" s="344"/>
      <c r="FV47" s="344"/>
      <c r="FW47" s="344"/>
      <c r="FX47" s="344"/>
      <c r="FY47" s="344"/>
      <c r="FZ47" s="344"/>
      <c r="GA47" s="344"/>
      <c r="GB47" s="344"/>
      <c r="GC47" s="344"/>
      <c r="GD47" s="344"/>
      <c r="GE47" s="344"/>
      <c r="GF47" s="344"/>
      <c r="GG47" s="344"/>
      <c r="GH47" s="344"/>
      <c r="GI47" s="344"/>
      <c r="GJ47" s="344"/>
      <c r="GK47" s="344"/>
      <c r="GL47" s="344"/>
      <c r="GM47" s="344"/>
      <c r="GN47" s="344"/>
      <c r="GO47" s="344"/>
      <c r="GP47" s="344"/>
      <c r="GQ47" s="344"/>
      <c r="GR47" s="344"/>
      <c r="GS47" s="344"/>
      <c r="GT47" s="344"/>
      <c r="GU47" s="344"/>
      <c r="GV47" s="344"/>
      <c r="GW47" s="344"/>
      <c r="GX47" s="344"/>
      <c r="GY47" s="344"/>
      <c r="GZ47" s="344"/>
      <c r="HA47" s="344"/>
      <c r="HB47" s="344"/>
      <c r="HC47" s="344"/>
      <c r="HD47" s="344"/>
      <c r="HE47" s="344"/>
      <c r="HF47" s="344"/>
      <c r="HG47" s="344"/>
      <c r="HH47" s="344"/>
      <c r="HI47" s="344"/>
      <c r="HJ47" s="344"/>
      <c r="HK47" s="344"/>
      <c r="HL47" s="344"/>
      <c r="HM47" s="344"/>
      <c r="HN47" s="344"/>
      <c r="HO47" s="344"/>
      <c r="HP47" s="344"/>
      <c r="HQ47" s="344"/>
      <c r="HR47" s="344"/>
      <c r="HS47" s="344"/>
      <c r="HT47" s="344"/>
      <c r="HU47" s="344"/>
      <c r="HV47" s="344"/>
      <c r="HW47" s="344"/>
      <c r="HX47" s="344"/>
      <c r="HY47" s="344"/>
      <c r="HZ47" s="344"/>
      <c r="IA47" s="344"/>
      <c r="IB47" s="344"/>
      <c r="IC47" s="344"/>
      <c r="ID47" s="344"/>
      <c r="IE47" s="344"/>
      <c r="IF47" s="344"/>
      <c r="IG47" s="344"/>
      <c r="IH47" s="344"/>
      <c r="II47" s="344"/>
      <c r="IJ47" s="344"/>
      <c r="IK47" s="344"/>
      <c r="IL47" s="344"/>
      <c r="IM47" s="344"/>
      <c r="IN47" s="344"/>
      <c r="IO47" s="344"/>
      <c r="IP47" s="344"/>
      <c r="IQ47" s="344"/>
      <c r="IR47" s="344"/>
      <c r="IS47" s="344"/>
      <c r="IT47" s="344"/>
      <c r="IU47" s="344"/>
      <c r="IV47" s="344"/>
      <c r="IW47" s="344"/>
    </row>
    <row r="48" customFormat="false" ht="15.95" hidden="false" customHeight="true" outlineLevel="0" collapsed="false">
      <c r="A48" s="355" t="n">
        <v>44</v>
      </c>
      <c r="B48" s="356"/>
      <c r="C48" s="356"/>
      <c r="D48" s="357"/>
      <c r="E48" s="356"/>
      <c r="F48" s="357"/>
      <c r="G48" s="357"/>
      <c r="H48" s="357"/>
      <c r="I48" s="357"/>
      <c r="J48" s="357"/>
      <c r="K48" s="359"/>
      <c r="L48" s="361"/>
      <c r="M48" s="361"/>
      <c r="N48" s="370"/>
      <c r="O48" s="352"/>
      <c r="P48" s="353"/>
      <c r="Q48" s="353"/>
      <c r="R48" s="353"/>
      <c r="S48" s="353"/>
      <c r="T48" s="353"/>
      <c r="U48" s="353"/>
      <c r="V48" s="353"/>
      <c r="W48" s="353"/>
      <c r="X48" s="353"/>
      <c r="Y48" s="353"/>
      <c r="Z48" s="353"/>
      <c r="AA48" s="353"/>
      <c r="AB48" s="353"/>
      <c r="AC48" s="353"/>
      <c r="AD48" s="353"/>
      <c r="AE48" s="353"/>
      <c r="AF48" s="353"/>
      <c r="AG48" s="353"/>
      <c r="AH48" s="353"/>
      <c r="AI48" s="353"/>
      <c r="AJ48" s="353"/>
      <c r="AK48" s="353"/>
      <c r="AL48" s="353"/>
      <c r="AM48" s="353"/>
      <c r="AN48" s="353"/>
      <c r="AO48" s="353"/>
      <c r="AP48" s="353"/>
      <c r="AQ48" s="353"/>
      <c r="AR48" s="353"/>
      <c r="AS48" s="353"/>
      <c r="AT48" s="353"/>
      <c r="AU48" s="353"/>
      <c r="AV48" s="353"/>
      <c r="AW48" s="353"/>
      <c r="AX48" s="353"/>
      <c r="AY48" s="353"/>
      <c r="AZ48" s="353"/>
      <c r="BA48" s="353"/>
      <c r="BB48" s="353"/>
      <c r="BC48" s="353"/>
      <c r="BD48" s="353"/>
      <c r="BE48" s="353"/>
      <c r="BF48" s="353"/>
      <c r="BG48" s="353"/>
      <c r="BH48" s="353"/>
      <c r="BI48" s="353"/>
      <c r="BJ48" s="353"/>
      <c r="BK48" s="353"/>
      <c r="BL48" s="353"/>
      <c r="BM48" s="353"/>
      <c r="BN48" s="353"/>
      <c r="BO48" s="353"/>
      <c r="BP48" s="353"/>
      <c r="BQ48" s="353"/>
      <c r="BR48" s="353"/>
      <c r="BS48" s="353"/>
      <c r="BT48" s="353"/>
      <c r="BU48" s="353"/>
      <c r="BV48" s="353"/>
      <c r="BW48" s="353"/>
      <c r="BX48" s="353"/>
      <c r="BY48" s="353"/>
      <c r="BZ48" s="353"/>
      <c r="CA48" s="353"/>
      <c r="CB48" s="353"/>
      <c r="CC48" s="353"/>
      <c r="CD48" s="353"/>
      <c r="CE48" s="353"/>
      <c r="CF48" s="353"/>
      <c r="CG48" s="353"/>
      <c r="CH48" s="353"/>
      <c r="CI48" s="353"/>
      <c r="CJ48" s="353"/>
      <c r="CK48" s="353"/>
      <c r="CL48" s="353"/>
      <c r="CM48" s="353"/>
      <c r="CN48" s="353"/>
      <c r="CO48" s="353"/>
      <c r="CP48" s="353"/>
      <c r="CQ48" s="353"/>
      <c r="CR48" s="353"/>
      <c r="CS48" s="353"/>
      <c r="CT48" s="353"/>
      <c r="CU48" s="353"/>
      <c r="CV48" s="353"/>
      <c r="CW48" s="353"/>
      <c r="CX48" s="353"/>
      <c r="CY48" s="353"/>
      <c r="CZ48" s="353"/>
      <c r="DA48" s="353"/>
      <c r="DB48" s="353"/>
      <c r="DC48" s="353"/>
      <c r="DD48" s="353"/>
      <c r="DE48" s="353"/>
      <c r="DF48" s="353"/>
      <c r="DG48" s="353"/>
      <c r="DH48" s="353"/>
      <c r="DI48" s="353"/>
      <c r="DJ48" s="353"/>
      <c r="DK48" s="353"/>
      <c r="DL48" s="353"/>
      <c r="DM48" s="353"/>
      <c r="DN48" s="353"/>
      <c r="DO48" s="353"/>
      <c r="DP48" s="353"/>
      <c r="DQ48" s="353"/>
      <c r="DR48" s="353"/>
      <c r="DS48" s="353"/>
      <c r="DT48" s="353"/>
      <c r="DU48" s="353"/>
      <c r="DV48" s="353"/>
      <c r="DW48" s="353"/>
      <c r="DX48" s="353"/>
      <c r="DY48" s="353"/>
      <c r="DZ48" s="353"/>
      <c r="EA48" s="353"/>
      <c r="EB48" s="353"/>
      <c r="EC48" s="353"/>
      <c r="ED48" s="353"/>
      <c r="EE48" s="353"/>
      <c r="EF48" s="353"/>
      <c r="EG48" s="353"/>
      <c r="EH48" s="353"/>
      <c r="EI48" s="353"/>
      <c r="EJ48" s="353"/>
      <c r="EK48" s="353"/>
      <c r="EL48" s="353"/>
      <c r="EM48" s="353"/>
      <c r="EN48" s="353"/>
      <c r="EO48" s="353"/>
      <c r="EP48" s="353"/>
      <c r="EQ48" s="353"/>
      <c r="ER48" s="353"/>
      <c r="ES48" s="353"/>
      <c r="ET48" s="353"/>
      <c r="EU48" s="353"/>
      <c r="EV48" s="353"/>
      <c r="EW48" s="353"/>
      <c r="EX48" s="353"/>
      <c r="EY48" s="353"/>
      <c r="EZ48" s="353"/>
      <c r="FA48" s="353"/>
      <c r="FB48" s="353"/>
      <c r="FC48" s="353"/>
      <c r="FD48" s="353"/>
      <c r="FE48" s="353"/>
      <c r="FF48" s="353"/>
      <c r="FG48" s="353"/>
      <c r="FH48" s="353"/>
      <c r="FI48" s="353"/>
      <c r="FJ48" s="353"/>
      <c r="FK48" s="353"/>
      <c r="FL48" s="353"/>
      <c r="FM48" s="353"/>
      <c r="FN48" s="353"/>
      <c r="FO48" s="353"/>
      <c r="FP48" s="353"/>
      <c r="FQ48" s="353"/>
      <c r="FR48" s="353"/>
      <c r="FS48" s="353"/>
      <c r="FT48" s="353"/>
      <c r="FU48" s="353"/>
      <c r="FV48" s="353"/>
      <c r="FW48" s="353"/>
      <c r="FX48" s="353"/>
      <c r="FY48" s="353"/>
      <c r="FZ48" s="353"/>
      <c r="GA48" s="353"/>
      <c r="GB48" s="353"/>
      <c r="GC48" s="353"/>
      <c r="GD48" s="353"/>
      <c r="GE48" s="353"/>
      <c r="GF48" s="353"/>
      <c r="GG48" s="353"/>
      <c r="GH48" s="353"/>
      <c r="GI48" s="353"/>
      <c r="GJ48" s="353"/>
      <c r="GK48" s="353"/>
      <c r="GL48" s="353"/>
      <c r="GM48" s="353"/>
      <c r="GN48" s="353"/>
      <c r="GO48" s="353"/>
      <c r="GP48" s="353"/>
      <c r="GQ48" s="353"/>
      <c r="GR48" s="353"/>
      <c r="GS48" s="353"/>
      <c r="GT48" s="353"/>
      <c r="GU48" s="353"/>
      <c r="GV48" s="353"/>
      <c r="GW48" s="353"/>
      <c r="GX48" s="353"/>
      <c r="GY48" s="353"/>
      <c r="GZ48" s="353"/>
      <c r="HA48" s="353"/>
      <c r="HB48" s="353"/>
      <c r="HC48" s="353"/>
      <c r="HD48" s="353"/>
      <c r="HE48" s="353"/>
      <c r="HF48" s="353"/>
      <c r="HG48" s="353"/>
      <c r="HH48" s="353"/>
      <c r="HI48" s="353"/>
      <c r="HJ48" s="353"/>
      <c r="HK48" s="353"/>
      <c r="HL48" s="353"/>
      <c r="HM48" s="353"/>
      <c r="HN48" s="353"/>
      <c r="HO48" s="353"/>
      <c r="HP48" s="353"/>
      <c r="HQ48" s="353"/>
      <c r="HR48" s="353"/>
      <c r="HS48" s="353"/>
      <c r="HT48" s="353"/>
      <c r="HU48" s="353"/>
      <c r="HV48" s="353"/>
      <c r="HW48" s="353"/>
      <c r="HX48" s="353"/>
      <c r="HY48" s="353"/>
      <c r="HZ48" s="353"/>
      <c r="IA48" s="353"/>
      <c r="IB48" s="353"/>
      <c r="IC48" s="353"/>
      <c r="ID48" s="353"/>
      <c r="IE48" s="353"/>
      <c r="IF48" s="353"/>
      <c r="IG48" s="353"/>
      <c r="IH48" s="353"/>
      <c r="II48" s="353"/>
      <c r="IJ48" s="353"/>
      <c r="IK48" s="353"/>
      <c r="IL48" s="353"/>
      <c r="IM48" s="353"/>
      <c r="IN48" s="353"/>
      <c r="IO48" s="353"/>
      <c r="IP48" s="353"/>
      <c r="IQ48" s="353"/>
      <c r="IR48" s="353"/>
      <c r="IS48" s="353"/>
      <c r="IT48" s="353"/>
      <c r="IU48" s="353"/>
      <c r="IV48" s="353"/>
      <c r="IW48" s="353"/>
    </row>
    <row r="49" customFormat="false" ht="15.95" hidden="false" customHeight="true" outlineLevel="0" collapsed="false">
      <c r="A49" s="355" t="n">
        <v>45</v>
      </c>
      <c r="B49" s="356"/>
      <c r="C49" s="356"/>
      <c r="D49" s="357"/>
      <c r="E49" s="356"/>
      <c r="F49" s="357"/>
      <c r="G49" s="357"/>
      <c r="H49" s="357"/>
      <c r="I49" s="357"/>
      <c r="J49" s="357"/>
      <c r="K49" s="359"/>
      <c r="L49" s="361"/>
      <c r="M49" s="361"/>
      <c r="N49" s="370"/>
      <c r="O49" s="352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53"/>
      <c r="AH49" s="353"/>
      <c r="AI49" s="353"/>
      <c r="AJ49" s="353"/>
      <c r="AK49" s="353"/>
      <c r="AL49" s="353"/>
      <c r="AM49" s="353"/>
      <c r="AN49" s="353"/>
      <c r="AO49" s="353"/>
      <c r="AP49" s="353"/>
      <c r="AQ49" s="353"/>
      <c r="AR49" s="353"/>
      <c r="AS49" s="353"/>
      <c r="AT49" s="353"/>
      <c r="AU49" s="353"/>
      <c r="AV49" s="353"/>
      <c r="AW49" s="353"/>
      <c r="AX49" s="353"/>
      <c r="AY49" s="353"/>
      <c r="AZ49" s="353"/>
      <c r="BA49" s="353"/>
      <c r="BB49" s="353"/>
      <c r="BC49" s="353"/>
      <c r="BD49" s="353"/>
      <c r="BE49" s="353"/>
      <c r="BF49" s="353"/>
      <c r="BG49" s="353"/>
      <c r="BH49" s="353"/>
      <c r="BI49" s="353"/>
      <c r="BJ49" s="353"/>
      <c r="BK49" s="353"/>
      <c r="BL49" s="353"/>
      <c r="BM49" s="353"/>
      <c r="BN49" s="353"/>
      <c r="BO49" s="353"/>
      <c r="BP49" s="353"/>
      <c r="BQ49" s="353"/>
      <c r="BR49" s="353"/>
      <c r="BS49" s="353"/>
      <c r="BT49" s="353"/>
      <c r="BU49" s="353"/>
      <c r="BV49" s="353"/>
      <c r="BW49" s="353"/>
      <c r="BX49" s="353"/>
      <c r="BY49" s="353"/>
      <c r="BZ49" s="353"/>
      <c r="CA49" s="353"/>
      <c r="CB49" s="353"/>
      <c r="CC49" s="353"/>
      <c r="CD49" s="353"/>
      <c r="CE49" s="353"/>
      <c r="CF49" s="353"/>
      <c r="CG49" s="353"/>
      <c r="CH49" s="353"/>
      <c r="CI49" s="353"/>
      <c r="CJ49" s="353"/>
      <c r="CK49" s="353"/>
      <c r="CL49" s="353"/>
      <c r="CM49" s="353"/>
      <c r="CN49" s="353"/>
      <c r="CO49" s="353"/>
      <c r="CP49" s="353"/>
      <c r="CQ49" s="353"/>
      <c r="CR49" s="353"/>
      <c r="CS49" s="353"/>
      <c r="CT49" s="353"/>
      <c r="CU49" s="353"/>
      <c r="CV49" s="353"/>
      <c r="CW49" s="353"/>
      <c r="CX49" s="353"/>
      <c r="CY49" s="353"/>
      <c r="CZ49" s="353"/>
      <c r="DA49" s="353"/>
      <c r="DB49" s="353"/>
      <c r="DC49" s="353"/>
      <c r="DD49" s="353"/>
      <c r="DE49" s="353"/>
      <c r="DF49" s="353"/>
      <c r="DG49" s="353"/>
      <c r="DH49" s="353"/>
      <c r="DI49" s="353"/>
      <c r="DJ49" s="353"/>
      <c r="DK49" s="353"/>
      <c r="DL49" s="353"/>
      <c r="DM49" s="353"/>
      <c r="DN49" s="353"/>
      <c r="DO49" s="353"/>
      <c r="DP49" s="353"/>
      <c r="DQ49" s="353"/>
      <c r="DR49" s="353"/>
      <c r="DS49" s="353"/>
      <c r="DT49" s="353"/>
      <c r="DU49" s="353"/>
      <c r="DV49" s="353"/>
      <c r="DW49" s="353"/>
      <c r="DX49" s="353"/>
      <c r="DY49" s="353"/>
      <c r="DZ49" s="353"/>
      <c r="EA49" s="353"/>
      <c r="EB49" s="353"/>
      <c r="EC49" s="353"/>
      <c r="ED49" s="353"/>
      <c r="EE49" s="353"/>
      <c r="EF49" s="353"/>
      <c r="EG49" s="353"/>
      <c r="EH49" s="353"/>
      <c r="EI49" s="353"/>
      <c r="EJ49" s="353"/>
      <c r="EK49" s="353"/>
      <c r="EL49" s="353"/>
      <c r="EM49" s="353"/>
      <c r="EN49" s="353"/>
      <c r="EO49" s="353"/>
      <c r="EP49" s="353"/>
      <c r="EQ49" s="353"/>
      <c r="ER49" s="353"/>
      <c r="ES49" s="353"/>
      <c r="ET49" s="353"/>
      <c r="EU49" s="353"/>
      <c r="EV49" s="353"/>
      <c r="EW49" s="353"/>
      <c r="EX49" s="353"/>
      <c r="EY49" s="353"/>
      <c r="EZ49" s="353"/>
      <c r="FA49" s="353"/>
      <c r="FB49" s="353"/>
      <c r="FC49" s="353"/>
      <c r="FD49" s="353"/>
      <c r="FE49" s="353"/>
      <c r="FF49" s="353"/>
      <c r="FG49" s="353"/>
      <c r="FH49" s="353"/>
      <c r="FI49" s="353"/>
      <c r="FJ49" s="353"/>
      <c r="FK49" s="353"/>
      <c r="FL49" s="353"/>
      <c r="FM49" s="353"/>
      <c r="FN49" s="353"/>
      <c r="FO49" s="353"/>
      <c r="FP49" s="353"/>
      <c r="FQ49" s="353"/>
      <c r="FR49" s="353"/>
      <c r="FS49" s="353"/>
      <c r="FT49" s="353"/>
      <c r="FU49" s="353"/>
      <c r="FV49" s="353"/>
      <c r="FW49" s="353"/>
      <c r="FX49" s="353"/>
      <c r="FY49" s="353"/>
      <c r="FZ49" s="353"/>
      <c r="GA49" s="353"/>
      <c r="GB49" s="353"/>
      <c r="GC49" s="353"/>
      <c r="GD49" s="353"/>
      <c r="GE49" s="353"/>
      <c r="GF49" s="353"/>
      <c r="GG49" s="353"/>
      <c r="GH49" s="353"/>
      <c r="GI49" s="353"/>
      <c r="GJ49" s="353"/>
      <c r="GK49" s="353"/>
      <c r="GL49" s="353"/>
      <c r="GM49" s="353"/>
      <c r="GN49" s="353"/>
      <c r="GO49" s="353"/>
      <c r="GP49" s="353"/>
      <c r="GQ49" s="353"/>
      <c r="GR49" s="353"/>
      <c r="GS49" s="353"/>
      <c r="GT49" s="353"/>
      <c r="GU49" s="353"/>
      <c r="GV49" s="353"/>
      <c r="GW49" s="353"/>
      <c r="GX49" s="353"/>
      <c r="GY49" s="353"/>
      <c r="GZ49" s="353"/>
      <c r="HA49" s="353"/>
      <c r="HB49" s="353"/>
      <c r="HC49" s="353"/>
      <c r="HD49" s="353"/>
      <c r="HE49" s="353"/>
      <c r="HF49" s="353"/>
      <c r="HG49" s="353"/>
      <c r="HH49" s="353"/>
      <c r="HI49" s="353"/>
      <c r="HJ49" s="353"/>
      <c r="HK49" s="353"/>
      <c r="HL49" s="353"/>
      <c r="HM49" s="353"/>
      <c r="HN49" s="353"/>
      <c r="HO49" s="353"/>
      <c r="HP49" s="353"/>
      <c r="HQ49" s="353"/>
      <c r="HR49" s="353"/>
      <c r="HS49" s="353"/>
      <c r="HT49" s="353"/>
      <c r="HU49" s="353"/>
      <c r="HV49" s="353"/>
      <c r="HW49" s="353"/>
      <c r="HX49" s="353"/>
      <c r="HY49" s="353"/>
      <c r="HZ49" s="353"/>
      <c r="IA49" s="353"/>
      <c r="IB49" s="353"/>
      <c r="IC49" s="353"/>
      <c r="ID49" s="353"/>
      <c r="IE49" s="353"/>
      <c r="IF49" s="353"/>
      <c r="IG49" s="353"/>
      <c r="IH49" s="353"/>
      <c r="II49" s="353"/>
      <c r="IJ49" s="353"/>
      <c r="IK49" s="353"/>
      <c r="IL49" s="353"/>
      <c r="IM49" s="353"/>
      <c r="IN49" s="353"/>
      <c r="IO49" s="353"/>
      <c r="IP49" s="353"/>
      <c r="IQ49" s="353"/>
      <c r="IR49" s="353"/>
      <c r="IS49" s="353"/>
      <c r="IT49" s="353"/>
      <c r="IU49" s="353"/>
      <c r="IV49" s="353"/>
      <c r="IW49" s="353"/>
    </row>
    <row r="50" customFormat="false" ht="15.95" hidden="false" customHeight="true" outlineLevel="0" collapsed="false">
      <c r="A50" s="355" t="n">
        <v>46</v>
      </c>
      <c r="B50" s="356"/>
      <c r="C50" s="356"/>
      <c r="D50" s="357"/>
      <c r="E50" s="356"/>
      <c r="F50" s="357"/>
      <c r="G50" s="357"/>
      <c r="H50" s="357"/>
      <c r="I50" s="357"/>
      <c r="J50" s="357"/>
      <c r="K50" s="359"/>
      <c r="L50" s="361"/>
      <c r="M50" s="361"/>
      <c r="N50" s="370"/>
      <c r="O50" s="352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371"/>
      <c r="AB50" s="371"/>
      <c r="AC50" s="371"/>
      <c r="AD50" s="371"/>
      <c r="AE50" s="371"/>
      <c r="AF50" s="371"/>
      <c r="AG50" s="371"/>
      <c r="AH50" s="371"/>
      <c r="AI50" s="371"/>
      <c r="AJ50" s="371"/>
      <c r="AK50" s="371"/>
      <c r="AL50" s="371"/>
      <c r="AM50" s="371"/>
      <c r="AN50" s="371"/>
      <c r="AO50" s="371"/>
      <c r="AP50" s="371"/>
      <c r="AQ50" s="371"/>
      <c r="AR50" s="371"/>
      <c r="AS50" s="371"/>
      <c r="AT50" s="371"/>
      <c r="AU50" s="371"/>
      <c r="AV50" s="371"/>
      <c r="AW50" s="371"/>
      <c r="AX50" s="371"/>
      <c r="AY50" s="371"/>
      <c r="AZ50" s="371"/>
      <c r="BA50" s="371"/>
      <c r="BB50" s="371"/>
      <c r="BC50" s="371"/>
      <c r="BD50" s="371"/>
      <c r="BE50" s="371"/>
      <c r="BF50" s="371"/>
      <c r="BG50" s="371"/>
      <c r="BH50" s="371"/>
      <c r="BI50" s="371"/>
      <c r="BJ50" s="371"/>
      <c r="BK50" s="371"/>
      <c r="BL50" s="371"/>
      <c r="BM50" s="371"/>
      <c r="BN50" s="371"/>
      <c r="BO50" s="371"/>
      <c r="BP50" s="371"/>
      <c r="BQ50" s="371"/>
      <c r="BR50" s="371"/>
      <c r="BS50" s="371"/>
      <c r="BT50" s="371"/>
      <c r="BU50" s="371"/>
      <c r="BV50" s="371"/>
      <c r="BW50" s="371"/>
      <c r="BX50" s="371"/>
      <c r="BY50" s="371"/>
      <c r="BZ50" s="371"/>
      <c r="CA50" s="371"/>
      <c r="CB50" s="371"/>
      <c r="CC50" s="371"/>
      <c r="CD50" s="371"/>
      <c r="CE50" s="371"/>
      <c r="CF50" s="371"/>
      <c r="CG50" s="371"/>
      <c r="CH50" s="371"/>
      <c r="CI50" s="371"/>
      <c r="CJ50" s="371"/>
      <c r="CK50" s="371"/>
      <c r="CL50" s="371"/>
      <c r="CM50" s="371"/>
      <c r="CN50" s="371"/>
      <c r="CO50" s="371"/>
      <c r="CP50" s="371"/>
      <c r="CQ50" s="371"/>
      <c r="CR50" s="371"/>
      <c r="CS50" s="371"/>
      <c r="CT50" s="371"/>
      <c r="CU50" s="371"/>
      <c r="CV50" s="371"/>
      <c r="CW50" s="371"/>
      <c r="CX50" s="371"/>
      <c r="CY50" s="371"/>
      <c r="CZ50" s="371"/>
      <c r="DA50" s="371"/>
      <c r="DB50" s="371"/>
      <c r="DC50" s="371"/>
      <c r="DD50" s="371"/>
      <c r="DE50" s="371"/>
      <c r="DF50" s="371"/>
      <c r="DG50" s="371"/>
      <c r="DH50" s="371"/>
      <c r="DI50" s="371"/>
      <c r="DJ50" s="371"/>
      <c r="DK50" s="371"/>
      <c r="DL50" s="371"/>
      <c r="DM50" s="371"/>
      <c r="DN50" s="371"/>
      <c r="DO50" s="371"/>
      <c r="DP50" s="371"/>
      <c r="DQ50" s="371"/>
      <c r="DR50" s="371"/>
      <c r="DS50" s="371"/>
      <c r="DT50" s="371"/>
      <c r="DU50" s="371"/>
      <c r="DV50" s="371"/>
      <c r="DW50" s="371"/>
      <c r="DX50" s="371"/>
      <c r="DY50" s="371"/>
      <c r="DZ50" s="371"/>
      <c r="EA50" s="371"/>
      <c r="EB50" s="371"/>
      <c r="EC50" s="371"/>
      <c r="ED50" s="371"/>
      <c r="EE50" s="371"/>
      <c r="EF50" s="371"/>
      <c r="EG50" s="371"/>
      <c r="EH50" s="371"/>
      <c r="EI50" s="371"/>
      <c r="EJ50" s="371"/>
      <c r="EK50" s="371"/>
      <c r="EL50" s="371"/>
      <c r="EM50" s="371"/>
      <c r="EN50" s="371"/>
      <c r="EO50" s="371"/>
      <c r="EP50" s="371"/>
      <c r="EQ50" s="371"/>
      <c r="ER50" s="371"/>
      <c r="ES50" s="371"/>
      <c r="ET50" s="371"/>
      <c r="EU50" s="371"/>
      <c r="EV50" s="371"/>
      <c r="EW50" s="371"/>
      <c r="EX50" s="371"/>
      <c r="EY50" s="371"/>
      <c r="EZ50" s="371"/>
      <c r="FA50" s="371"/>
      <c r="FB50" s="371"/>
      <c r="FC50" s="371"/>
      <c r="FD50" s="371"/>
      <c r="FE50" s="371"/>
      <c r="FF50" s="371"/>
      <c r="FG50" s="371"/>
      <c r="FH50" s="371"/>
      <c r="FI50" s="371"/>
      <c r="FJ50" s="371"/>
      <c r="FK50" s="371"/>
      <c r="FL50" s="371"/>
      <c r="FM50" s="371"/>
      <c r="FN50" s="371"/>
      <c r="FO50" s="371"/>
      <c r="FP50" s="371"/>
      <c r="FQ50" s="371"/>
      <c r="FR50" s="371"/>
      <c r="FS50" s="371"/>
      <c r="FT50" s="371"/>
      <c r="FU50" s="371"/>
      <c r="FV50" s="371"/>
      <c r="FW50" s="371"/>
      <c r="FX50" s="371"/>
      <c r="FY50" s="371"/>
      <c r="FZ50" s="371"/>
      <c r="GA50" s="371"/>
      <c r="GB50" s="371"/>
      <c r="GC50" s="371"/>
      <c r="GD50" s="371"/>
      <c r="GE50" s="371"/>
      <c r="GF50" s="371"/>
      <c r="GG50" s="371"/>
      <c r="GH50" s="371"/>
      <c r="GI50" s="371"/>
      <c r="GJ50" s="371"/>
      <c r="GK50" s="371"/>
      <c r="GL50" s="371"/>
      <c r="GM50" s="371"/>
      <c r="GN50" s="371"/>
      <c r="GO50" s="371"/>
      <c r="GP50" s="371"/>
      <c r="GQ50" s="371"/>
      <c r="GR50" s="371"/>
      <c r="GS50" s="371"/>
      <c r="GT50" s="371"/>
      <c r="GU50" s="371"/>
      <c r="GV50" s="371"/>
      <c r="GW50" s="371"/>
      <c r="GX50" s="371"/>
      <c r="GY50" s="371"/>
      <c r="GZ50" s="371"/>
      <c r="HA50" s="371"/>
      <c r="HB50" s="371"/>
      <c r="HC50" s="371"/>
      <c r="HD50" s="371"/>
      <c r="HE50" s="371"/>
      <c r="HF50" s="371"/>
      <c r="HG50" s="371"/>
      <c r="HH50" s="371"/>
      <c r="HI50" s="371"/>
      <c r="HJ50" s="371"/>
      <c r="HK50" s="371"/>
      <c r="HL50" s="371"/>
      <c r="HM50" s="371"/>
      <c r="HN50" s="371"/>
      <c r="HO50" s="371"/>
      <c r="HP50" s="371"/>
      <c r="HQ50" s="371"/>
      <c r="HR50" s="371"/>
      <c r="HS50" s="371"/>
      <c r="HT50" s="371"/>
      <c r="HU50" s="371"/>
      <c r="HV50" s="371"/>
      <c r="HW50" s="371"/>
      <c r="HX50" s="371"/>
      <c r="HY50" s="371"/>
      <c r="HZ50" s="371"/>
      <c r="IA50" s="371"/>
      <c r="IB50" s="371"/>
      <c r="IC50" s="371"/>
      <c r="ID50" s="371"/>
      <c r="IE50" s="371"/>
      <c r="IF50" s="371"/>
      <c r="IG50" s="371"/>
      <c r="IH50" s="371"/>
      <c r="II50" s="371"/>
      <c r="IJ50" s="371"/>
      <c r="IK50" s="371"/>
      <c r="IL50" s="371"/>
      <c r="IM50" s="371"/>
      <c r="IN50" s="371"/>
      <c r="IO50" s="371"/>
      <c r="IP50" s="371"/>
      <c r="IQ50" s="371"/>
      <c r="IR50" s="371"/>
      <c r="IS50" s="371"/>
      <c r="IT50" s="371"/>
      <c r="IU50" s="371"/>
      <c r="IV50" s="371"/>
      <c r="IW50" s="371"/>
    </row>
    <row r="51" customFormat="false" ht="15.95" hidden="false" customHeight="true" outlineLevel="0" collapsed="false">
      <c r="A51" s="355" t="n">
        <v>47</v>
      </c>
      <c r="B51" s="356"/>
      <c r="C51" s="356"/>
      <c r="D51" s="357"/>
      <c r="E51" s="356"/>
      <c r="F51" s="357"/>
      <c r="G51" s="357"/>
      <c r="H51" s="357"/>
      <c r="I51" s="357"/>
      <c r="J51" s="357"/>
      <c r="K51" s="359"/>
      <c r="L51" s="361"/>
      <c r="M51" s="361"/>
      <c r="N51" s="370"/>
      <c r="O51" s="352"/>
      <c r="P51" s="344"/>
      <c r="Q51" s="344"/>
      <c r="R51" s="344"/>
      <c r="S51" s="344"/>
      <c r="T51" s="344"/>
      <c r="U51" s="344"/>
      <c r="V51" s="344"/>
      <c r="W51" s="344"/>
      <c r="X51" s="344"/>
      <c r="Y51" s="344"/>
      <c r="Z51" s="344"/>
      <c r="AA51" s="344"/>
      <c r="AB51" s="344"/>
      <c r="AC51" s="344"/>
      <c r="AD51" s="344"/>
      <c r="AE51" s="344"/>
      <c r="AF51" s="344"/>
      <c r="AG51" s="344"/>
      <c r="AH51" s="344"/>
      <c r="AI51" s="344"/>
      <c r="AJ51" s="344"/>
      <c r="AK51" s="344"/>
      <c r="AL51" s="344"/>
      <c r="AM51" s="344"/>
      <c r="AN51" s="344"/>
      <c r="AO51" s="344"/>
      <c r="AP51" s="344"/>
      <c r="AQ51" s="344"/>
      <c r="AR51" s="344"/>
      <c r="AS51" s="344"/>
      <c r="AT51" s="344"/>
      <c r="AU51" s="344"/>
      <c r="AV51" s="344"/>
      <c r="AW51" s="344"/>
      <c r="AX51" s="344"/>
      <c r="AY51" s="344"/>
      <c r="AZ51" s="344"/>
      <c r="BA51" s="344"/>
      <c r="BB51" s="344"/>
      <c r="BC51" s="344"/>
      <c r="BD51" s="344"/>
      <c r="BE51" s="344"/>
      <c r="BF51" s="344"/>
      <c r="BG51" s="344"/>
      <c r="BH51" s="344"/>
      <c r="BI51" s="344"/>
      <c r="BJ51" s="344"/>
      <c r="BK51" s="344"/>
      <c r="BL51" s="344"/>
      <c r="BM51" s="344"/>
      <c r="BN51" s="344"/>
      <c r="BO51" s="344"/>
      <c r="BP51" s="344"/>
      <c r="BQ51" s="344"/>
      <c r="BR51" s="344"/>
      <c r="BS51" s="344"/>
      <c r="BT51" s="344"/>
      <c r="BU51" s="344"/>
      <c r="BV51" s="344"/>
      <c r="BW51" s="344"/>
      <c r="BX51" s="344"/>
      <c r="BY51" s="344"/>
      <c r="BZ51" s="344"/>
      <c r="CA51" s="344"/>
      <c r="CB51" s="344"/>
      <c r="CC51" s="344"/>
      <c r="CD51" s="344"/>
      <c r="CE51" s="344"/>
      <c r="CF51" s="344"/>
      <c r="CG51" s="344"/>
      <c r="CH51" s="344"/>
      <c r="CI51" s="344"/>
      <c r="CJ51" s="344"/>
      <c r="CK51" s="344"/>
      <c r="CL51" s="344"/>
      <c r="CM51" s="344"/>
      <c r="CN51" s="344"/>
      <c r="CO51" s="344"/>
      <c r="CP51" s="344"/>
      <c r="CQ51" s="344"/>
      <c r="CR51" s="344"/>
      <c r="CS51" s="344"/>
      <c r="CT51" s="344"/>
      <c r="CU51" s="344"/>
      <c r="CV51" s="344"/>
      <c r="CW51" s="344"/>
      <c r="CX51" s="344"/>
      <c r="CY51" s="344"/>
      <c r="CZ51" s="344"/>
      <c r="DA51" s="344"/>
      <c r="DB51" s="344"/>
      <c r="DC51" s="344"/>
      <c r="DD51" s="344"/>
      <c r="DE51" s="344"/>
      <c r="DF51" s="344"/>
      <c r="DG51" s="344"/>
      <c r="DH51" s="344"/>
      <c r="DI51" s="344"/>
      <c r="DJ51" s="344"/>
      <c r="DK51" s="344"/>
      <c r="DL51" s="344"/>
      <c r="DM51" s="344"/>
      <c r="DN51" s="344"/>
      <c r="DO51" s="344"/>
      <c r="DP51" s="344"/>
      <c r="DQ51" s="344"/>
      <c r="DR51" s="344"/>
      <c r="DS51" s="344"/>
      <c r="DT51" s="344"/>
      <c r="DU51" s="344"/>
      <c r="DV51" s="344"/>
      <c r="DW51" s="344"/>
      <c r="DX51" s="344"/>
      <c r="DY51" s="344"/>
      <c r="DZ51" s="344"/>
      <c r="EA51" s="344"/>
      <c r="EB51" s="344"/>
      <c r="EC51" s="344"/>
      <c r="ED51" s="344"/>
      <c r="EE51" s="344"/>
      <c r="EF51" s="344"/>
      <c r="EG51" s="344"/>
      <c r="EH51" s="344"/>
      <c r="EI51" s="344"/>
      <c r="EJ51" s="344"/>
      <c r="EK51" s="344"/>
      <c r="EL51" s="344"/>
      <c r="EM51" s="344"/>
      <c r="EN51" s="344"/>
      <c r="EO51" s="344"/>
      <c r="EP51" s="344"/>
      <c r="EQ51" s="344"/>
      <c r="ER51" s="344"/>
      <c r="ES51" s="344"/>
      <c r="ET51" s="344"/>
      <c r="EU51" s="344"/>
      <c r="EV51" s="344"/>
      <c r="EW51" s="344"/>
      <c r="EX51" s="344"/>
      <c r="EY51" s="344"/>
      <c r="EZ51" s="344"/>
      <c r="FA51" s="344"/>
      <c r="FB51" s="344"/>
      <c r="FC51" s="344"/>
      <c r="FD51" s="344"/>
      <c r="FE51" s="344"/>
      <c r="FF51" s="344"/>
      <c r="FG51" s="344"/>
      <c r="FH51" s="344"/>
      <c r="FI51" s="344"/>
      <c r="FJ51" s="344"/>
      <c r="FK51" s="344"/>
      <c r="FL51" s="344"/>
      <c r="FM51" s="344"/>
      <c r="FN51" s="344"/>
      <c r="FO51" s="344"/>
      <c r="FP51" s="344"/>
      <c r="FQ51" s="344"/>
      <c r="FR51" s="344"/>
      <c r="FS51" s="344"/>
      <c r="FT51" s="344"/>
      <c r="FU51" s="344"/>
      <c r="FV51" s="344"/>
      <c r="FW51" s="344"/>
      <c r="FX51" s="344"/>
      <c r="FY51" s="344"/>
      <c r="FZ51" s="344"/>
      <c r="GA51" s="344"/>
      <c r="GB51" s="344"/>
      <c r="GC51" s="344"/>
      <c r="GD51" s="344"/>
      <c r="GE51" s="344"/>
      <c r="GF51" s="344"/>
      <c r="GG51" s="344"/>
      <c r="GH51" s="344"/>
      <c r="GI51" s="344"/>
      <c r="GJ51" s="344"/>
      <c r="GK51" s="344"/>
      <c r="GL51" s="344"/>
      <c r="GM51" s="344"/>
      <c r="GN51" s="344"/>
      <c r="GO51" s="344"/>
      <c r="GP51" s="344"/>
      <c r="GQ51" s="344"/>
      <c r="GR51" s="344"/>
      <c r="GS51" s="344"/>
      <c r="GT51" s="344"/>
      <c r="GU51" s="344"/>
      <c r="GV51" s="344"/>
      <c r="GW51" s="344"/>
      <c r="GX51" s="344"/>
      <c r="GY51" s="344"/>
      <c r="GZ51" s="344"/>
      <c r="HA51" s="344"/>
      <c r="HB51" s="344"/>
      <c r="HC51" s="344"/>
      <c r="HD51" s="344"/>
      <c r="HE51" s="344"/>
      <c r="HF51" s="344"/>
      <c r="HG51" s="344"/>
      <c r="HH51" s="344"/>
      <c r="HI51" s="344"/>
      <c r="HJ51" s="344"/>
      <c r="HK51" s="344"/>
      <c r="HL51" s="344"/>
      <c r="HM51" s="344"/>
      <c r="HN51" s="344"/>
      <c r="HO51" s="344"/>
      <c r="HP51" s="344"/>
      <c r="HQ51" s="344"/>
      <c r="HR51" s="344"/>
      <c r="HS51" s="344"/>
      <c r="HT51" s="344"/>
      <c r="HU51" s="344"/>
      <c r="HV51" s="344"/>
      <c r="HW51" s="344"/>
      <c r="HX51" s="344"/>
      <c r="HY51" s="344"/>
      <c r="HZ51" s="344"/>
      <c r="IA51" s="344"/>
      <c r="IB51" s="344"/>
      <c r="IC51" s="344"/>
      <c r="ID51" s="344"/>
      <c r="IE51" s="344"/>
      <c r="IF51" s="344"/>
      <c r="IG51" s="344"/>
      <c r="IH51" s="344"/>
      <c r="II51" s="344"/>
      <c r="IJ51" s="344"/>
      <c r="IK51" s="344"/>
      <c r="IL51" s="344"/>
      <c r="IM51" s="344"/>
      <c r="IN51" s="344"/>
      <c r="IO51" s="344"/>
      <c r="IP51" s="344"/>
      <c r="IQ51" s="344"/>
      <c r="IR51" s="344"/>
      <c r="IS51" s="344"/>
      <c r="IT51" s="344"/>
      <c r="IU51" s="344"/>
      <c r="IV51" s="344"/>
      <c r="IW51" s="344"/>
    </row>
    <row r="52" customFormat="false" ht="15.95" hidden="false" customHeight="true" outlineLevel="0" collapsed="false">
      <c r="A52" s="355" t="n">
        <v>48</v>
      </c>
      <c r="B52" s="366"/>
      <c r="C52" s="366"/>
      <c r="D52" s="367"/>
      <c r="E52" s="366"/>
      <c r="F52" s="367"/>
      <c r="G52" s="367"/>
      <c r="H52" s="367"/>
      <c r="I52" s="367"/>
      <c r="J52" s="367"/>
      <c r="K52" s="359"/>
      <c r="L52" s="361"/>
      <c r="M52" s="361"/>
      <c r="N52" s="370"/>
      <c r="O52" s="352"/>
      <c r="P52" s="353"/>
      <c r="Q52" s="353"/>
      <c r="R52" s="353"/>
      <c r="S52" s="353"/>
      <c r="T52" s="353"/>
      <c r="U52" s="353"/>
      <c r="V52" s="353"/>
      <c r="W52" s="353"/>
      <c r="X52" s="353"/>
      <c r="Y52" s="353"/>
      <c r="Z52" s="353"/>
      <c r="AA52" s="353"/>
      <c r="AB52" s="353"/>
      <c r="AC52" s="353"/>
      <c r="AD52" s="353"/>
      <c r="AE52" s="353"/>
      <c r="AF52" s="353"/>
      <c r="AG52" s="353"/>
      <c r="AH52" s="353"/>
      <c r="AI52" s="353"/>
      <c r="AJ52" s="353"/>
      <c r="AK52" s="353"/>
      <c r="AL52" s="353"/>
      <c r="AM52" s="353"/>
      <c r="AN52" s="353"/>
      <c r="AO52" s="353"/>
      <c r="AP52" s="353"/>
      <c r="AQ52" s="353"/>
      <c r="AR52" s="353"/>
      <c r="AS52" s="353"/>
      <c r="AT52" s="353"/>
      <c r="AU52" s="353"/>
      <c r="AV52" s="353"/>
      <c r="AW52" s="353"/>
      <c r="AX52" s="353"/>
      <c r="AY52" s="353"/>
      <c r="AZ52" s="353"/>
      <c r="BA52" s="353"/>
      <c r="BB52" s="353"/>
      <c r="BC52" s="353"/>
      <c r="BD52" s="353"/>
      <c r="BE52" s="353"/>
      <c r="BF52" s="353"/>
      <c r="BG52" s="353"/>
      <c r="BH52" s="353"/>
      <c r="BI52" s="353"/>
      <c r="BJ52" s="353"/>
      <c r="BK52" s="353"/>
      <c r="BL52" s="353"/>
      <c r="BM52" s="353"/>
      <c r="BN52" s="353"/>
      <c r="BO52" s="353"/>
      <c r="BP52" s="353"/>
      <c r="BQ52" s="353"/>
      <c r="BR52" s="353"/>
      <c r="BS52" s="353"/>
      <c r="BT52" s="353"/>
      <c r="BU52" s="353"/>
      <c r="BV52" s="353"/>
      <c r="BW52" s="353"/>
      <c r="BX52" s="353"/>
      <c r="BY52" s="353"/>
      <c r="BZ52" s="353"/>
      <c r="CA52" s="353"/>
      <c r="CB52" s="353"/>
      <c r="CC52" s="353"/>
      <c r="CD52" s="353"/>
      <c r="CE52" s="353"/>
      <c r="CF52" s="353"/>
      <c r="CG52" s="353"/>
      <c r="CH52" s="353"/>
      <c r="CI52" s="353"/>
      <c r="CJ52" s="353"/>
      <c r="CK52" s="353"/>
      <c r="CL52" s="353"/>
      <c r="CM52" s="353"/>
      <c r="CN52" s="353"/>
      <c r="CO52" s="353"/>
      <c r="CP52" s="353"/>
      <c r="CQ52" s="353"/>
      <c r="CR52" s="353"/>
      <c r="CS52" s="353"/>
      <c r="CT52" s="353"/>
      <c r="CU52" s="353"/>
      <c r="CV52" s="353"/>
      <c r="CW52" s="353"/>
      <c r="CX52" s="353"/>
      <c r="CY52" s="353"/>
      <c r="CZ52" s="353"/>
      <c r="DA52" s="353"/>
      <c r="DB52" s="353"/>
      <c r="DC52" s="353"/>
      <c r="DD52" s="353"/>
      <c r="DE52" s="353"/>
      <c r="DF52" s="353"/>
      <c r="DG52" s="353"/>
      <c r="DH52" s="353"/>
      <c r="DI52" s="353"/>
      <c r="DJ52" s="353"/>
      <c r="DK52" s="353"/>
      <c r="DL52" s="353"/>
      <c r="DM52" s="353"/>
      <c r="DN52" s="353"/>
      <c r="DO52" s="353"/>
      <c r="DP52" s="353"/>
      <c r="DQ52" s="353"/>
      <c r="DR52" s="353"/>
      <c r="DS52" s="353"/>
      <c r="DT52" s="353"/>
      <c r="DU52" s="353"/>
      <c r="DV52" s="353"/>
      <c r="DW52" s="353"/>
      <c r="DX52" s="353"/>
      <c r="DY52" s="353"/>
      <c r="DZ52" s="353"/>
      <c r="EA52" s="353"/>
      <c r="EB52" s="353"/>
      <c r="EC52" s="353"/>
      <c r="ED52" s="353"/>
      <c r="EE52" s="353"/>
      <c r="EF52" s="353"/>
      <c r="EG52" s="353"/>
      <c r="EH52" s="353"/>
      <c r="EI52" s="353"/>
      <c r="EJ52" s="353"/>
      <c r="EK52" s="353"/>
      <c r="EL52" s="353"/>
      <c r="EM52" s="353"/>
      <c r="EN52" s="353"/>
      <c r="EO52" s="353"/>
      <c r="EP52" s="353"/>
      <c r="EQ52" s="353"/>
      <c r="ER52" s="353"/>
      <c r="ES52" s="353"/>
      <c r="ET52" s="353"/>
      <c r="EU52" s="353"/>
      <c r="EV52" s="353"/>
      <c r="EW52" s="353"/>
      <c r="EX52" s="353"/>
      <c r="EY52" s="353"/>
      <c r="EZ52" s="353"/>
      <c r="FA52" s="353"/>
      <c r="FB52" s="353"/>
      <c r="FC52" s="353"/>
      <c r="FD52" s="353"/>
      <c r="FE52" s="353"/>
      <c r="FF52" s="353"/>
      <c r="FG52" s="353"/>
      <c r="FH52" s="353"/>
      <c r="FI52" s="353"/>
      <c r="FJ52" s="353"/>
      <c r="FK52" s="353"/>
      <c r="FL52" s="353"/>
      <c r="FM52" s="353"/>
      <c r="FN52" s="353"/>
      <c r="FO52" s="353"/>
      <c r="FP52" s="353"/>
      <c r="FQ52" s="353"/>
      <c r="FR52" s="353"/>
      <c r="FS52" s="353"/>
      <c r="FT52" s="353"/>
      <c r="FU52" s="353"/>
      <c r="FV52" s="353"/>
      <c r="FW52" s="353"/>
      <c r="FX52" s="353"/>
      <c r="FY52" s="353"/>
      <c r="FZ52" s="353"/>
      <c r="GA52" s="353"/>
      <c r="GB52" s="353"/>
      <c r="GC52" s="353"/>
      <c r="GD52" s="353"/>
      <c r="GE52" s="353"/>
      <c r="GF52" s="353"/>
      <c r="GG52" s="353"/>
      <c r="GH52" s="353"/>
      <c r="GI52" s="353"/>
      <c r="GJ52" s="353"/>
      <c r="GK52" s="353"/>
      <c r="GL52" s="353"/>
      <c r="GM52" s="353"/>
      <c r="GN52" s="353"/>
      <c r="GO52" s="353"/>
      <c r="GP52" s="353"/>
      <c r="GQ52" s="353"/>
      <c r="GR52" s="353"/>
      <c r="GS52" s="353"/>
      <c r="GT52" s="353"/>
      <c r="GU52" s="353"/>
      <c r="GV52" s="353"/>
      <c r="GW52" s="353"/>
      <c r="GX52" s="353"/>
      <c r="GY52" s="353"/>
      <c r="GZ52" s="353"/>
      <c r="HA52" s="353"/>
      <c r="HB52" s="353"/>
      <c r="HC52" s="353"/>
      <c r="HD52" s="353"/>
      <c r="HE52" s="353"/>
      <c r="HF52" s="353"/>
      <c r="HG52" s="353"/>
      <c r="HH52" s="353"/>
      <c r="HI52" s="353"/>
      <c r="HJ52" s="353"/>
      <c r="HK52" s="353"/>
      <c r="HL52" s="353"/>
      <c r="HM52" s="353"/>
      <c r="HN52" s="353"/>
      <c r="HO52" s="353"/>
      <c r="HP52" s="353"/>
      <c r="HQ52" s="353"/>
      <c r="HR52" s="353"/>
      <c r="HS52" s="353"/>
      <c r="HT52" s="353"/>
      <c r="HU52" s="353"/>
      <c r="HV52" s="353"/>
      <c r="HW52" s="353"/>
      <c r="HX52" s="353"/>
      <c r="HY52" s="353"/>
      <c r="HZ52" s="353"/>
      <c r="IA52" s="353"/>
      <c r="IB52" s="353"/>
      <c r="IC52" s="353"/>
      <c r="ID52" s="353"/>
      <c r="IE52" s="353"/>
      <c r="IF52" s="353"/>
      <c r="IG52" s="353"/>
      <c r="IH52" s="353"/>
      <c r="II52" s="353"/>
      <c r="IJ52" s="353"/>
      <c r="IK52" s="353"/>
      <c r="IL52" s="353"/>
      <c r="IM52" s="353"/>
      <c r="IN52" s="353"/>
      <c r="IO52" s="353"/>
      <c r="IP52" s="353"/>
      <c r="IQ52" s="353"/>
      <c r="IR52" s="353"/>
      <c r="IS52" s="353"/>
      <c r="IT52" s="353"/>
      <c r="IU52" s="353"/>
      <c r="IV52" s="353"/>
      <c r="IW52" s="353"/>
    </row>
    <row r="53" customFormat="false" ht="15.95" hidden="false" customHeight="true" outlineLevel="0" collapsed="false">
      <c r="A53" s="355" t="n">
        <v>49</v>
      </c>
      <c r="B53" s="356"/>
      <c r="C53" s="356"/>
      <c r="D53" s="357"/>
      <c r="E53" s="356"/>
      <c r="F53" s="357"/>
      <c r="G53" s="357"/>
      <c r="H53" s="357"/>
      <c r="I53" s="357"/>
      <c r="J53" s="357"/>
      <c r="K53" s="359"/>
      <c r="L53" s="361"/>
      <c r="M53" s="361"/>
      <c r="N53" s="370"/>
      <c r="O53" s="352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353"/>
      <c r="AB53" s="353"/>
      <c r="AC53" s="353"/>
      <c r="AD53" s="353"/>
      <c r="AE53" s="353"/>
      <c r="AF53" s="353"/>
      <c r="AG53" s="353"/>
      <c r="AH53" s="353"/>
      <c r="AI53" s="353"/>
      <c r="AJ53" s="353"/>
      <c r="AK53" s="353"/>
      <c r="AL53" s="353"/>
      <c r="AM53" s="353"/>
      <c r="AN53" s="353"/>
      <c r="AO53" s="353"/>
      <c r="AP53" s="363"/>
      <c r="AQ53" s="363"/>
      <c r="AR53" s="363"/>
      <c r="AS53" s="363"/>
      <c r="AT53" s="363"/>
      <c r="AU53" s="353"/>
      <c r="AV53" s="353"/>
      <c r="AW53" s="353"/>
      <c r="AX53" s="353"/>
      <c r="AY53" s="353"/>
      <c r="AZ53" s="363"/>
      <c r="BA53" s="363"/>
      <c r="BB53" s="363"/>
      <c r="BC53" s="363"/>
      <c r="BD53" s="363"/>
      <c r="BE53" s="363"/>
      <c r="BF53" s="363"/>
      <c r="BG53" s="363"/>
      <c r="BH53" s="363"/>
      <c r="BI53" s="363"/>
      <c r="BJ53" s="363"/>
      <c r="BK53" s="363"/>
      <c r="BL53" s="363"/>
      <c r="BM53" s="363"/>
      <c r="BN53" s="363"/>
      <c r="BO53" s="363"/>
      <c r="BP53" s="363"/>
      <c r="BQ53" s="363"/>
      <c r="BR53" s="363"/>
      <c r="BS53" s="363"/>
      <c r="BT53" s="363"/>
      <c r="BU53" s="363"/>
      <c r="BV53" s="363"/>
      <c r="BW53" s="363"/>
      <c r="BX53" s="363"/>
      <c r="BY53" s="363"/>
      <c r="BZ53" s="363"/>
      <c r="CA53" s="363"/>
      <c r="CB53" s="363"/>
      <c r="CC53" s="363"/>
      <c r="CD53" s="363"/>
      <c r="CE53" s="363"/>
      <c r="CF53" s="363"/>
      <c r="CG53" s="363"/>
      <c r="CH53" s="363"/>
      <c r="CI53" s="363"/>
      <c r="CJ53" s="363"/>
      <c r="CK53" s="363"/>
      <c r="CL53" s="363"/>
      <c r="CM53" s="363"/>
      <c r="CN53" s="363"/>
      <c r="CO53" s="363"/>
      <c r="CP53" s="363"/>
      <c r="CQ53" s="363"/>
      <c r="CR53" s="363"/>
      <c r="CS53" s="363"/>
      <c r="CT53" s="363"/>
      <c r="CU53" s="363"/>
      <c r="CV53" s="363"/>
      <c r="CW53" s="363"/>
      <c r="CX53" s="363"/>
      <c r="CY53" s="363"/>
      <c r="CZ53" s="353"/>
      <c r="DA53" s="353"/>
      <c r="DB53" s="353"/>
      <c r="DC53" s="353"/>
      <c r="DD53" s="353"/>
      <c r="DE53" s="353"/>
      <c r="DF53" s="353"/>
      <c r="DG53" s="353"/>
      <c r="DH53" s="353"/>
      <c r="DI53" s="353"/>
      <c r="DJ53" s="353"/>
      <c r="DK53" s="353"/>
      <c r="DL53" s="353"/>
      <c r="DM53" s="353"/>
      <c r="DN53" s="353"/>
      <c r="DO53" s="353"/>
      <c r="DP53" s="353"/>
      <c r="DQ53" s="353"/>
      <c r="DR53" s="353"/>
      <c r="DS53" s="353"/>
      <c r="DT53" s="353"/>
      <c r="DU53" s="353"/>
      <c r="DV53" s="353"/>
      <c r="DW53" s="353"/>
      <c r="DX53" s="353"/>
      <c r="DY53" s="353"/>
      <c r="DZ53" s="353"/>
      <c r="EA53" s="353"/>
      <c r="EB53" s="353"/>
      <c r="EC53" s="353"/>
      <c r="ED53" s="353"/>
      <c r="EE53" s="353"/>
      <c r="EF53" s="353"/>
      <c r="EG53" s="353"/>
      <c r="EH53" s="353"/>
      <c r="EI53" s="353"/>
      <c r="EJ53" s="353"/>
      <c r="EK53" s="353"/>
      <c r="EL53" s="353"/>
      <c r="EM53" s="353"/>
      <c r="EN53" s="353"/>
      <c r="EO53" s="353"/>
      <c r="EP53" s="353"/>
      <c r="EQ53" s="353"/>
      <c r="ER53" s="353"/>
      <c r="ES53" s="353"/>
      <c r="ET53" s="353"/>
      <c r="EU53" s="353"/>
      <c r="EV53" s="353"/>
      <c r="EW53" s="353"/>
      <c r="EX53" s="353"/>
      <c r="EY53" s="353"/>
      <c r="EZ53" s="353"/>
      <c r="FA53" s="353"/>
      <c r="FB53" s="353"/>
      <c r="FC53" s="353"/>
      <c r="FD53" s="353"/>
      <c r="FE53" s="353"/>
      <c r="FF53" s="353"/>
      <c r="FG53" s="353"/>
      <c r="FH53" s="353"/>
      <c r="FI53" s="353"/>
      <c r="FJ53" s="353"/>
      <c r="FK53" s="353"/>
      <c r="FL53" s="353"/>
      <c r="FM53" s="353"/>
      <c r="FN53" s="353"/>
      <c r="FO53" s="353"/>
      <c r="FP53" s="353"/>
      <c r="FQ53" s="353"/>
      <c r="FR53" s="353"/>
      <c r="FS53" s="353"/>
      <c r="FT53" s="353"/>
      <c r="FU53" s="353"/>
      <c r="FV53" s="353"/>
      <c r="FW53" s="353"/>
      <c r="FX53" s="353"/>
      <c r="FY53" s="353"/>
      <c r="FZ53" s="353"/>
      <c r="GA53" s="353"/>
      <c r="GB53" s="353"/>
      <c r="GC53" s="353"/>
      <c r="GD53" s="353"/>
      <c r="GE53" s="353"/>
      <c r="GF53" s="353"/>
      <c r="GG53" s="353"/>
      <c r="GH53" s="353"/>
      <c r="GI53" s="353"/>
      <c r="GJ53" s="353"/>
      <c r="GK53" s="353"/>
      <c r="GL53" s="353"/>
      <c r="GM53" s="353"/>
      <c r="GN53" s="353"/>
      <c r="GO53" s="353"/>
      <c r="GP53" s="353"/>
      <c r="GQ53" s="353"/>
      <c r="GR53" s="353"/>
      <c r="GS53" s="353"/>
      <c r="GT53" s="353"/>
      <c r="GU53" s="353"/>
      <c r="GV53" s="353"/>
      <c r="GW53" s="353"/>
      <c r="GX53" s="353"/>
      <c r="GY53" s="353"/>
      <c r="GZ53" s="353"/>
      <c r="HA53" s="353"/>
      <c r="HB53" s="353"/>
      <c r="HC53" s="353"/>
      <c r="HD53" s="353"/>
      <c r="HE53" s="353"/>
      <c r="HF53" s="353"/>
      <c r="HG53" s="353"/>
      <c r="HH53" s="353"/>
      <c r="HI53" s="353"/>
      <c r="HJ53" s="353"/>
      <c r="HK53" s="353"/>
      <c r="HL53" s="353"/>
      <c r="HM53" s="353"/>
      <c r="HN53" s="353"/>
      <c r="HO53" s="353"/>
      <c r="HP53" s="353"/>
      <c r="HQ53" s="353"/>
      <c r="HR53" s="353"/>
      <c r="HS53" s="353"/>
      <c r="HT53" s="353"/>
      <c r="HU53" s="353"/>
      <c r="HV53" s="353"/>
      <c r="HW53" s="353"/>
      <c r="HX53" s="353"/>
      <c r="HY53" s="353"/>
      <c r="HZ53" s="353"/>
      <c r="IA53" s="353"/>
      <c r="IB53" s="353"/>
      <c r="IC53" s="353"/>
      <c r="ID53" s="353"/>
      <c r="IE53" s="353"/>
      <c r="IF53" s="353"/>
      <c r="IG53" s="353"/>
      <c r="IH53" s="353"/>
      <c r="II53" s="353"/>
      <c r="IJ53" s="353"/>
      <c r="IK53" s="353"/>
      <c r="IL53" s="353"/>
      <c r="IM53" s="353"/>
      <c r="IN53" s="353"/>
      <c r="IO53" s="353"/>
      <c r="IP53" s="353"/>
      <c r="IQ53" s="353"/>
      <c r="IR53" s="353"/>
      <c r="IS53" s="353"/>
      <c r="IT53" s="353"/>
      <c r="IU53" s="353"/>
      <c r="IV53" s="353"/>
      <c r="IW53" s="353"/>
    </row>
    <row r="54" customFormat="false" ht="15.95" hidden="false" customHeight="true" outlineLevel="0" collapsed="false">
      <c r="A54" s="355" t="n">
        <v>50</v>
      </c>
      <c r="B54" s="366"/>
      <c r="C54" s="366"/>
      <c r="D54" s="367"/>
      <c r="E54" s="366"/>
      <c r="F54" s="367"/>
      <c r="G54" s="367"/>
      <c r="H54" s="367"/>
      <c r="I54" s="367"/>
      <c r="J54" s="367"/>
      <c r="K54" s="367"/>
      <c r="L54" s="361"/>
      <c r="M54" s="361"/>
      <c r="N54" s="370"/>
      <c r="O54" s="352"/>
      <c r="P54" s="344"/>
      <c r="Q54" s="344"/>
      <c r="R54" s="344"/>
      <c r="S54" s="344"/>
      <c r="T54" s="344"/>
      <c r="U54" s="344"/>
      <c r="V54" s="344"/>
      <c r="W54" s="344"/>
      <c r="X54" s="344"/>
      <c r="Y54" s="344"/>
      <c r="Z54" s="344"/>
      <c r="AA54" s="344"/>
      <c r="AB54" s="344"/>
      <c r="AC54" s="344"/>
      <c r="AD54" s="344"/>
      <c r="AE54" s="344"/>
      <c r="AF54" s="344"/>
      <c r="AG54" s="344"/>
      <c r="AH54" s="344"/>
      <c r="AI54" s="344"/>
      <c r="AJ54" s="344"/>
      <c r="AK54" s="344"/>
      <c r="AL54" s="344"/>
      <c r="AM54" s="344"/>
      <c r="AN54" s="344"/>
      <c r="AO54" s="344"/>
      <c r="AP54" s="344"/>
      <c r="AQ54" s="344"/>
      <c r="AR54" s="344"/>
      <c r="AS54" s="344"/>
      <c r="AT54" s="344"/>
      <c r="AU54" s="344"/>
      <c r="AV54" s="344"/>
      <c r="AW54" s="344"/>
      <c r="AX54" s="344"/>
      <c r="AY54" s="344"/>
      <c r="AZ54" s="344"/>
      <c r="BA54" s="344"/>
      <c r="BB54" s="344"/>
      <c r="BC54" s="344"/>
      <c r="BD54" s="344"/>
      <c r="BE54" s="344"/>
      <c r="BF54" s="344"/>
      <c r="BG54" s="344"/>
      <c r="BH54" s="344"/>
      <c r="BI54" s="344"/>
      <c r="BJ54" s="344"/>
      <c r="BK54" s="344"/>
      <c r="BL54" s="344"/>
      <c r="BM54" s="344"/>
      <c r="BN54" s="344"/>
      <c r="BO54" s="344"/>
      <c r="BP54" s="344"/>
      <c r="BQ54" s="344"/>
      <c r="BR54" s="344"/>
      <c r="BS54" s="344"/>
      <c r="BT54" s="344"/>
      <c r="BU54" s="344"/>
      <c r="BV54" s="344"/>
      <c r="BW54" s="344"/>
      <c r="BX54" s="344"/>
      <c r="BY54" s="344"/>
      <c r="BZ54" s="344"/>
      <c r="CA54" s="344"/>
      <c r="CB54" s="344"/>
      <c r="CC54" s="344"/>
      <c r="CD54" s="344"/>
      <c r="CE54" s="344"/>
      <c r="CF54" s="344"/>
      <c r="CG54" s="344"/>
      <c r="CH54" s="344"/>
      <c r="CI54" s="344"/>
      <c r="CJ54" s="344"/>
      <c r="CK54" s="344"/>
      <c r="CL54" s="344"/>
      <c r="CM54" s="344"/>
      <c r="CN54" s="344"/>
      <c r="CO54" s="344"/>
      <c r="CP54" s="344"/>
      <c r="CQ54" s="344"/>
      <c r="CR54" s="344"/>
      <c r="CS54" s="344"/>
      <c r="CT54" s="344"/>
      <c r="CU54" s="344"/>
      <c r="CV54" s="344"/>
      <c r="CW54" s="344"/>
      <c r="CX54" s="344"/>
      <c r="CY54" s="344"/>
      <c r="CZ54" s="344"/>
      <c r="DA54" s="344"/>
      <c r="DB54" s="344"/>
      <c r="DC54" s="344"/>
      <c r="DD54" s="344"/>
      <c r="DE54" s="344"/>
      <c r="DF54" s="344"/>
      <c r="DG54" s="344"/>
      <c r="DH54" s="344"/>
      <c r="DI54" s="344"/>
      <c r="DJ54" s="344"/>
      <c r="DK54" s="344"/>
      <c r="DL54" s="344"/>
      <c r="DM54" s="344"/>
      <c r="DN54" s="344"/>
      <c r="DO54" s="344"/>
      <c r="DP54" s="344"/>
      <c r="DQ54" s="344"/>
      <c r="DR54" s="344"/>
      <c r="DS54" s="344"/>
      <c r="DT54" s="344"/>
      <c r="DU54" s="344"/>
      <c r="DV54" s="344"/>
      <c r="DW54" s="344"/>
      <c r="DX54" s="344"/>
      <c r="DY54" s="344"/>
      <c r="DZ54" s="344"/>
      <c r="EA54" s="344"/>
      <c r="EB54" s="344"/>
      <c r="EC54" s="344"/>
      <c r="ED54" s="344"/>
      <c r="EE54" s="344"/>
      <c r="EF54" s="344"/>
      <c r="EG54" s="344"/>
      <c r="EH54" s="344"/>
      <c r="EI54" s="344"/>
      <c r="EJ54" s="344"/>
      <c r="EK54" s="344"/>
      <c r="EL54" s="344"/>
      <c r="EM54" s="344"/>
      <c r="EN54" s="344"/>
      <c r="EO54" s="344"/>
      <c r="EP54" s="344"/>
      <c r="EQ54" s="344"/>
      <c r="ER54" s="344"/>
      <c r="ES54" s="344"/>
      <c r="ET54" s="344"/>
      <c r="EU54" s="344"/>
      <c r="EV54" s="344"/>
      <c r="EW54" s="344"/>
      <c r="EX54" s="344"/>
      <c r="EY54" s="344"/>
      <c r="EZ54" s="344"/>
      <c r="FA54" s="344"/>
      <c r="FB54" s="344"/>
      <c r="FC54" s="344"/>
      <c r="FD54" s="344"/>
      <c r="FE54" s="344"/>
      <c r="FF54" s="344"/>
      <c r="FG54" s="344"/>
      <c r="FH54" s="344"/>
      <c r="FI54" s="344"/>
      <c r="FJ54" s="344"/>
      <c r="FK54" s="344"/>
      <c r="FL54" s="344"/>
      <c r="FM54" s="344"/>
      <c r="FN54" s="344"/>
      <c r="FO54" s="344"/>
      <c r="FP54" s="344"/>
      <c r="FQ54" s="344"/>
      <c r="FR54" s="344"/>
      <c r="FS54" s="344"/>
      <c r="FT54" s="344"/>
      <c r="FU54" s="344"/>
      <c r="FV54" s="344"/>
      <c r="FW54" s="344"/>
      <c r="FX54" s="344"/>
      <c r="FY54" s="344"/>
      <c r="FZ54" s="344"/>
      <c r="GA54" s="344"/>
      <c r="GB54" s="344"/>
      <c r="GC54" s="344"/>
      <c r="GD54" s="344"/>
      <c r="GE54" s="344"/>
      <c r="GF54" s="344"/>
      <c r="GG54" s="344"/>
      <c r="GH54" s="344"/>
      <c r="GI54" s="344"/>
      <c r="GJ54" s="344"/>
      <c r="GK54" s="344"/>
      <c r="GL54" s="344"/>
      <c r="GM54" s="344"/>
      <c r="GN54" s="344"/>
      <c r="GO54" s="344"/>
      <c r="GP54" s="344"/>
      <c r="GQ54" s="344"/>
      <c r="GR54" s="344"/>
      <c r="GS54" s="344"/>
      <c r="GT54" s="344"/>
      <c r="GU54" s="344"/>
      <c r="GV54" s="344"/>
      <c r="GW54" s="344"/>
      <c r="GX54" s="344"/>
      <c r="GY54" s="344"/>
      <c r="GZ54" s="344"/>
      <c r="HA54" s="344"/>
      <c r="HB54" s="344"/>
      <c r="HC54" s="344"/>
      <c r="HD54" s="344"/>
      <c r="HE54" s="344"/>
      <c r="HF54" s="344"/>
      <c r="HG54" s="344"/>
      <c r="HH54" s="344"/>
      <c r="HI54" s="344"/>
      <c r="HJ54" s="344"/>
      <c r="HK54" s="344"/>
      <c r="HL54" s="344"/>
      <c r="HM54" s="344"/>
      <c r="HN54" s="344"/>
      <c r="HO54" s="344"/>
      <c r="HP54" s="344"/>
      <c r="HQ54" s="344"/>
      <c r="HR54" s="344"/>
      <c r="HS54" s="344"/>
      <c r="HT54" s="344"/>
      <c r="HU54" s="344"/>
      <c r="HV54" s="344"/>
      <c r="HW54" s="344"/>
      <c r="HX54" s="344"/>
      <c r="HY54" s="344"/>
      <c r="HZ54" s="344"/>
      <c r="IA54" s="344"/>
      <c r="IB54" s="344"/>
      <c r="IC54" s="344"/>
      <c r="ID54" s="344"/>
      <c r="IE54" s="344"/>
      <c r="IF54" s="344"/>
      <c r="IG54" s="344"/>
      <c r="IH54" s="344"/>
      <c r="II54" s="344"/>
      <c r="IJ54" s="344"/>
      <c r="IK54" s="344"/>
      <c r="IL54" s="344"/>
      <c r="IM54" s="344"/>
      <c r="IN54" s="344"/>
      <c r="IO54" s="344"/>
      <c r="IP54" s="344"/>
      <c r="IQ54" s="344"/>
      <c r="IR54" s="344"/>
      <c r="IS54" s="344"/>
      <c r="IT54" s="344"/>
      <c r="IU54" s="344"/>
      <c r="IV54" s="344"/>
      <c r="IW54" s="344"/>
    </row>
    <row r="55" customFormat="false" ht="15.95" hidden="false" customHeight="true" outlineLevel="0" collapsed="false">
      <c r="A55" s="355" t="n">
        <v>51</v>
      </c>
      <c r="B55" s="366"/>
      <c r="C55" s="366"/>
      <c r="D55" s="367"/>
      <c r="E55" s="366"/>
      <c r="F55" s="367"/>
      <c r="G55" s="367"/>
      <c r="H55" s="367"/>
      <c r="I55" s="367"/>
      <c r="J55" s="367"/>
      <c r="K55" s="367"/>
      <c r="L55" s="361"/>
      <c r="M55" s="361"/>
      <c r="N55" s="370"/>
      <c r="O55" s="352"/>
      <c r="P55" s="344"/>
      <c r="Q55" s="344"/>
      <c r="R55" s="344"/>
      <c r="S55" s="344"/>
      <c r="T55" s="344"/>
      <c r="U55" s="344"/>
      <c r="V55" s="344"/>
      <c r="W55" s="344"/>
      <c r="X55" s="344"/>
      <c r="Y55" s="344"/>
      <c r="Z55" s="344"/>
      <c r="AA55" s="344"/>
      <c r="AB55" s="344"/>
      <c r="AC55" s="344"/>
      <c r="AD55" s="344"/>
      <c r="AE55" s="344"/>
      <c r="AF55" s="344"/>
      <c r="AG55" s="344"/>
      <c r="AH55" s="344"/>
      <c r="AI55" s="344"/>
      <c r="AJ55" s="344"/>
      <c r="AK55" s="344"/>
      <c r="AL55" s="344"/>
      <c r="AM55" s="344"/>
      <c r="AN55" s="344"/>
      <c r="AO55" s="344"/>
      <c r="AP55" s="344"/>
      <c r="AQ55" s="344"/>
      <c r="AR55" s="344"/>
      <c r="AS55" s="344"/>
      <c r="AT55" s="344"/>
      <c r="AU55" s="344"/>
      <c r="AV55" s="344"/>
      <c r="AW55" s="344"/>
      <c r="AX55" s="344"/>
      <c r="AY55" s="344"/>
      <c r="AZ55" s="344"/>
      <c r="BA55" s="344"/>
      <c r="BB55" s="344"/>
      <c r="BC55" s="344"/>
      <c r="BD55" s="344"/>
      <c r="BE55" s="344"/>
      <c r="BF55" s="344"/>
      <c r="BG55" s="344"/>
      <c r="BH55" s="344"/>
      <c r="BI55" s="344"/>
      <c r="BJ55" s="344"/>
      <c r="BK55" s="344"/>
      <c r="BL55" s="344"/>
      <c r="BM55" s="344"/>
      <c r="BN55" s="344"/>
      <c r="BO55" s="344"/>
      <c r="BP55" s="344"/>
      <c r="BQ55" s="344"/>
      <c r="BR55" s="344"/>
      <c r="BS55" s="344"/>
      <c r="BT55" s="344"/>
      <c r="BU55" s="344"/>
      <c r="BV55" s="344"/>
      <c r="BW55" s="344"/>
      <c r="BX55" s="344"/>
      <c r="BY55" s="344"/>
      <c r="BZ55" s="344"/>
      <c r="CA55" s="344"/>
      <c r="CB55" s="344"/>
      <c r="CC55" s="344"/>
      <c r="CD55" s="344"/>
      <c r="CE55" s="344"/>
      <c r="CF55" s="344"/>
      <c r="CG55" s="344"/>
      <c r="CH55" s="344"/>
      <c r="CI55" s="344"/>
      <c r="CJ55" s="344"/>
      <c r="CK55" s="344"/>
      <c r="CL55" s="344"/>
      <c r="CM55" s="344"/>
      <c r="CN55" s="344"/>
      <c r="CO55" s="344"/>
      <c r="CP55" s="344"/>
      <c r="CQ55" s="344"/>
      <c r="CR55" s="344"/>
      <c r="CS55" s="344"/>
      <c r="CT55" s="344"/>
      <c r="CU55" s="344"/>
      <c r="CV55" s="344"/>
      <c r="CW55" s="344"/>
      <c r="CX55" s="344"/>
      <c r="CY55" s="344"/>
      <c r="CZ55" s="344"/>
      <c r="DA55" s="344"/>
      <c r="DB55" s="344"/>
      <c r="DC55" s="344"/>
      <c r="DD55" s="344"/>
      <c r="DE55" s="344"/>
      <c r="DF55" s="344"/>
      <c r="DG55" s="344"/>
      <c r="DH55" s="344"/>
      <c r="DI55" s="344"/>
      <c r="DJ55" s="344"/>
      <c r="DK55" s="344"/>
      <c r="DL55" s="344"/>
      <c r="DM55" s="344"/>
      <c r="DN55" s="344"/>
      <c r="DO55" s="344"/>
      <c r="DP55" s="344"/>
      <c r="DQ55" s="344"/>
      <c r="DR55" s="344"/>
      <c r="DS55" s="344"/>
      <c r="DT55" s="344"/>
      <c r="DU55" s="344"/>
      <c r="DV55" s="344"/>
      <c r="DW55" s="344"/>
      <c r="DX55" s="344"/>
      <c r="DY55" s="344"/>
      <c r="DZ55" s="344"/>
      <c r="EA55" s="344"/>
      <c r="EB55" s="344"/>
      <c r="EC55" s="344"/>
      <c r="ED55" s="344"/>
      <c r="EE55" s="344"/>
      <c r="EF55" s="344"/>
      <c r="EG55" s="344"/>
      <c r="EH55" s="344"/>
      <c r="EI55" s="344"/>
      <c r="EJ55" s="344"/>
      <c r="EK55" s="344"/>
      <c r="EL55" s="344"/>
      <c r="EM55" s="344"/>
      <c r="EN55" s="344"/>
      <c r="EO55" s="344"/>
      <c r="EP55" s="344"/>
      <c r="EQ55" s="344"/>
      <c r="ER55" s="344"/>
      <c r="ES55" s="344"/>
      <c r="ET55" s="344"/>
      <c r="EU55" s="344"/>
      <c r="EV55" s="344"/>
      <c r="EW55" s="344"/>
      <c r="EX55" s="344"/>
      <c r="EY55" s="344"/>
      <c r="EZ55" s="344"/>
      <c r="FA55" s="344"/>
      <c r="FB55" s="344"/>
      <c r="FC55" s="344"/>
      <c r="FD55" s="344"/>
      <c r="FE55" s="344"/>
      <c r="FF55" s="344"/>
      <c r="FG55" s="344"/>
      <c r="FH55" s="344"/>
      <c r="FI55" s="344"/>
      <c r="FJ55" s="344"/>
      <c r="FK55" s="344"/>
      <c r="FL55" s="344"/>
      <c r="FM55" s="344"/>
      <c r="FN55" s="344"/>
      <c r="FO55" s="344"/>
      <c r="FP55" s="344"/>
      <c r="FQ55" s="344"/>
      <c r="FR55" s="344"/>
      <c r="FS55" s="344"/>
      <c r="FT55" s="344"/>
      <c r="FU55" s="344"/>
      <c r="FV55" s="344"/>
      <c r="FW55" s="344"/>
      <c r="FX55" s="344"/>
      <c r="FY55" s="344"/>
      <c r="FZ55" s="344"/>
      <c r="GA55" s="344"/>
      <c r="GB55" s="344"/>
      <c r="GC55" s="344"/>
      <c r="GD55" s="344"/>
      <c r="GE55" s="344"/>
      <c r="GF55" s="344"/>
      <c r="GG55" s="344"/>
      <c r="GH55" s="344"/>
      <c r="GI55" s="344"/>
      <c r="GJ55" s="344"/>
      <c r="GK55" s="344"/>
      <c r="GL55" s="344"/>
      <c r="GM55" s="344"/>
      <c r="GN55" s="344"/>
      <c r="GO55" s="344"/>
      <c r="GP55" s="344"/>
      <c r="GQ55" s="344"/>
      <c r="GR55" s="344"/>
      <c r="GS55" s="344"/>
      <c r="GT55" s="344"/>
      <c r="GU55" s="344"/>
      <c r="GV55" s="344"/>
      <c r="GW55" s="344"/>
      <c r="GX55" s="344"/>
      <c r="GY55" s="344"/>
      <c r="GZ55" s="344"/>
      <c r="HA55" s="344"/>
      <c r="HB55" s="344"/>
      <c r="HC55" s="344"/>
      <c r="HD55" s="344"/>
      <c r="HE55" s="344"/>
      <c r="HF55" s="344"/>
      <c r="HG55" s="344"/>
      <c r="HH55" s="344"/>
      <c r="HI55" s="344"/>
      <c r="HJ55" s="344"/>
      <c r="HK55" s="344"/>
      <c r="HL55" s="344"/>
      <c r="HM55" s="344"/>
      <c r="HN55" s="344"/>
      <c r="HO55" s="344"/>
      <c r="HP55" s="344"/>
      <c r="HQ55" s="344"/>
      <c r="HR55" s="344"/>
      <c r="HS55" s="344"/>
      <c r="HT55" s="344"/>
      <c r="HU55" s="344"/>
      <c r="HV55" s="344"/>
      <c r="HW55" s="344"/>
      <c r="HX55" s="344"/>
      <c r="HY55" s="344"/>
      <c r="HZ55" s="344"/>
      <c r="IA55" s="344"/>
      <c r="IB55" s="344"/>
      <c r="IC55" s="344"/>
      <c r="ID55" s="344"/>
      <c r="IE55" s="344"/>
      <c r="IF55" s="344"/>
      <c r="IG55" s="344"/>
      <c r="IH55" s="344"/>
      <c r="II55" s="344"/>
      <c r="IJ55" s="344"/>
      <c r="IK55" s="344"/>
      <c r="IL55" s="344"/>
      <c r="IM55" s="344"/>
      <c r="IN55" s="344"/>
      <c r="IO55" s="344"/>
      <c r="IP55" s="344"/>
      <c r="IQ55" s="344"/>
      <c r="IR55" s="344"/>
      <c r="IS55" s="344"/>
      <c r="IT55" s="344"/>
      <c r="IU55" s="344"/>
      <c r="IV55" s="344"/>
      <c r="IW55" s="344"/>
    </row>
    <row r="56" customFormat="false" ht="15.95" hidden="false" customHeight="true" outlineLevel="0" collapsed="false">
      <c r="A56" s="355" t="n">
        <v>52</v>
      </c>
      <c r="B56" s="366"/>
      <c r="C56" s="366"/>
      <c r="D56" s="367"/>
      <c r="E56" s="366"/>
      <c r="F56" s="367"/>
      <c r="G56" s="367"/>
      <c r="H56" s="367"/>
      <c r="I56" s="367"/>
      <c r="J56" s="367"/>
      <c r="K56" s="367"/>
      <c r="L56" s="361"/>
      <c r="M56" s="361"/>
      <c r="N56" s="370"/>
      <c r="O56" s="352"/>
      <c r="P56" s="344"/>
      <c r="Q56" s="344"/>
      <c r="R56" s="344"/>
      <c r="S56" s="344"/>
      <c r="T56" s="344"/>
      <c r="U56" s="344"/>
      <c r="V56" s="344"/>
      <c r="W56" s="344"/>
      <c r="X56" s="344"/>
      <c r="Y56" s="344"/>
      <c r="Z56" s="344"/>
      <c r="AA56" s="344"/>
      <c r="AB56" s="344"/>
      <c r="AC56" s="344"/>
      <c r="AD56" s="344"/>
      <c r="AE56" s="344"/>
      <c r="AF56" s="344"/>
      <c r="AG56" s="344"/>
      <c r="AH56" s="344"/>
      <c r="AI56" s="344"/>
      <c r="AJ56" s="344"/>
      <c r="AK56" s="344"/>
      <c r="AL56" s="344"/>
      <c r="AM56" s="344"/>
      <c r="AN56" s="344"/>
      <c r="AO56" s="344"/>
      <c r="AP56" s="344"/>
      <c r="AQ56" s="344"/>
      <c r="AR56" s="344"/>
      <c r="AS56" s="344"/>
      <c r="AT56" s="344"/>
      <c r="AU56" s="344"/>
      <c r="AV56" s="344"/>
      <c r="AW56" s="344"/>
      <c r="AX56" s="344"/>
      <c r="AY56" s="344"/>
      <c r="AZ56" s="344"/>
      <c r="BA56" s="344"/>
      <c r="BB56" s="344"/>
      <c r="BC56" s="344"/>
      <c r="BD56" s="344"/>
      <c r="BE56" s="344"/>
      <c r="BF56" s="344"/>
      <c r="BG56" s="344"/>
      <c r="BH56" s="344"/>
      <c r="BI56" s="344"/>
      <c r="BJ56" s="344"/>
      <c r="BK56" s="344"/>
      <c r="BL56" s="344"/>
      <c r="BM56" s="344"/>
      <c r="BN56" s="344"/>
      <c r="BO56" s="344"/>
      <c r="BP56" s="344"/>
      <c r="BQ56" s="344"/>
      <c r="BR56" s="344"/>
      <c r="BS56" s="344"/>
      <c r="BT56" s="344"/>
      <c r="BU56" s="344"/>
      <c r="BV56" s="344"/>
      <c r="BW56" s="344"/>
      <c r="BX56" s="344"/>
      <c r="BY56" s="344"/>
      <c r="BZ56" s="344"/>
      <c r="CA56" s="344"/>
      <c r="CB56" s="344"/>
      <c r="CC56" s="344"/>
      <c r="CD56" s="344"/>
      <c r="CE56" s="344"/>
      <c r="CF56" s="344"/>
      <c r="CG56" s="344"/>
      <c r="CH56" s="344"/>
      <c r="CI56" s="344"/>
      <c r="CJ56" s="344"/>
      <c r="CK56" s="344"/>
      <c r="CL56" s="344"/>
      <c r="CM56" s="344"/>
      <c r="CN56" s="344"/>
      <c r="CO56" s="344"/>
      <c r="CP56" s="344"/>
      <c r="CQ56" s="344"/>
      <c r="CR56" s="344"/>
      <c r="CS56" s="344"/>
      <c r="CT56" s="344"/>
      <c r="CU56" s="344"/>
      <c r="CV56" s="344"/>
      <c r="CW56" s="344"/>
      <c r="CX56" s="344"/>
      <c r="CY56" s="344"/>
      <c r="CZ56" s="344"/>
      <c r="DA56" s="344"/>
      <c r="DB56" s="344"/>
      <c r="DC56" s="344"/>
      <c r="DD56" s="344"/>
      <c r="DE56" s="344"/>
      <c r="DF56" s="344"/>
      <c r="DG56" s="344"/>
      <c r="DH56" s="344"/>
      <c r="DI56" s="344"/>
      <c r="DJ56" s="344"/>
      <c r="DK56" s="344"/>
      <c r="DL56" s="344"/>
      <c r="DM56" s="344"/>
      <c r="DN56" s="344"/>
      <c r="DO56" s="344"/>
      <c r="DP56" s="344"/>
      <c r="DQ56" s="344"/>
      <c r="DR56" s="344"/>
      <c r="DS56" s="344"/>
      <c r="DT56" s="344"/>
      <c r="DU56" s="344"/>
      <c r="DV56" s="344"/>
      <c r="DW56" s="344"/>
      <c r="DX56" s="344"/>
      <c r="DY56" s="344"/>
      <c r="DZ56" s="344"/>
      <c r="EA56" s="344"/>
      <c r="EB56" s="344"/>
      <c r="EC56" s="344"/>
      <c r="ED56" s="344"/>
      <c r="EE56" s="344"/>
      <c r="EF56" s="344"/>
      <c r="EG56" s="344"/>
      <c r="EH56" s="344"/>
      <c r="EI56" s="344"/>
      <c r="EJ56" s="344"/>
      <c r="EK56" s="344"/>
      <c r="EL56" s="344"/>
      <c r="EM56" s="344"/>
      <c r="EN56" s="344"/>
      <c r="EO56" s="344"/>
      <c r="EP56" s="344"/>
      <c r="EQ56" s="344"/>
      <c r="ER56" s="344"/>
      <c r="ES56" s="344"/>
      <c r="ET56" s="344"/>
      <c r="EU56" s="344"/>
      <c r="EV56" s="344"/>
      <c r="EW56" s="344"/>
      <c r="EX56" s="344"/>
      <c r="EY56" s="344"/>
      <c r="EZ56" s="344"/>
      <c r="FA56" s="344"/>
      <c r="FB56" s="344"/>
      <c r="FC56" s="344"/>
      <c r="FD56" s="344"/>
      <c r="FE56" s="344"/>
      <c r="FF56" s="344"/>
      <c r="FG56" s="344"/>
      <c r="FH56" s="344"/>
      <c r="FI56" s="344"/>
      <c r="FJ56" s="344"/>
      <c r="FK56" s="344"/>
      <c r="FL56" s="344"/>
      <c r="FM56" s="344"/>
      <c r="FN56" s="344"/>
      <c r="FO56" s="344"/>
      <c r="FP56" s="344"/>
      <c r="FQ56" s="344"/>
      <c r="FR56" s="344"/>
      <c r="FS56" s="344"/>
      <c r="FT56" s="344"/>
      <c r="FU56" s="344"/>
      <c r="FV56" s="344"/>
      <c r="FW56" s="344"/>
      <c r="FX56" s="344"/>
      <c r="FY56" s="344"/>
      <c r="FZ56" s="344"/>
      <c r="GA56" s="344"/>
      <c r="GB56" s="344"/>
      <c r="GC56" s="344"/>
      <c r="GD56" s="344"/>
      <c r="GE56" s="344"/>
      <c r="GF56" s="344"/>
      <c r="GG56" s="344"/>
      <c r="GH56" s="344"/>
      <c r="GI56" s="344"/>
      <c r="GJ56" s="344"/>
      <c r="GK56" s="344"/>
      <c r="GL56" s="344"/>
      <c r="GM56" s="344"/>
      <c r="GN56" s="344"/>
      <c r="GO56" s="344"/>
      <c r="GP56" s="344"/>
      <c r="GQ56" s="344"/>
      <c r="GR56" s="344"/>
      <c r="GS56" s="344"/>
      <c r="GT56" s="344"/>
      <c r="GU56" s="344"/>
      <c r="GV56" s="344"/>
      <c r="GW56" s="344"/>
      <c r="GX56" s="344"/>
      <c r="GY56" s="344"/>
      <c r="GZ56" s="344"/>
      <c r="HA56" s="344"/>
      <c r="HB56" s="344"/>
      <c r="HC56" s="344"/>
      <c r="HD56" s="344"/>
      <c r="HE56" s="344"/>
      <c r="HF56" s="344"/>
      <c r="HG56" s="344"/>
      <c r="HH56" s="344"/>
      <c r="HI56" s="344"/>
      <c r="HJ56" s="344"/>
      <c r="HK56" s="344"/>
      <c r="HL56" s="344"/>
      <c r="HM56" s="344"/>
      <c r="HN56" s="344"/>
      <c r="HO56" s="344"/>
      <c r="HP56" s="344"/>
      <c r="HQ56" s="344"/>
      <c r="HR56" s="344"/>
      <c r="HS56" s="344"/>
      <c r="HT56" s="344"/>
      <c r="HU56" s="344"/>
      <c r="HV56" s="344"/>
      <c r="HW56" s="344"/>
      <c r="HX56" s="344"/>
      <c r="HY56" s="344"/>
      <c r="HZ56" s="344"/>
      <c r="IA56" s="344"/>
      <c r="IB56" s="344"/>
      <c r="IC56" s="344"/>
      <c r="ID56" s="344"/>
      <c r="IE56" s="344"/>
      <c r="IF56" s="344"/>
      <c r="IG56" s="344"/>
      <c r="IH56" s="344"/>
      <c r="II56" s="344"/>
      <c r="IJ56" s="344"/>
      <c r="IK56" s="344"/>
      <c r="IL56" s="344"/>
      <c r="IM56" s="344"/>
      <c r="IN56" s="344"/>
      <c r="IO56" s="344"/>
      <c r="IP56" s="344"/>
      <c r="IQ56" s="344"/>
      <c r="IR56" s="344"/>
      <c r="IS56" s="344"/>
      <c r="IT56" s="344"/>
      <c r="IU56" s="344"/>
      <c r="IV56" s="344"/>
      <c r="IW56" s="344"/>
    </row>
    <row r="57" customFormat="false" ht="15.95" hidden="false" customHeight="true" outlineLevel="0" collapsed="false">
      <c r="A57" s="355" t="n">
        <v>53</v>
      </c>
      <c r="B57" s="366"/>
      <c r="C57" s="366"/>
      <c r="D57" s="367"/>
      <c r="E57" s="366"/>
      <c r="F57" s="367"/>
      <c r="G57" s="367"/>
      <c r="H57" s="367"/>
      <c r="I57" s="367"/>
      <c r="J57" s="367"/>
      <c r="K57" s="367"/>
      <c r="L57" s="361"/>
      <c r="M57" s="361"/>
      <c r="N57" s="370"/>
      <c r="O57" s="352"/>
      <c r="P57" s="344"/>
      <c r="Q57" s="344"/>
      <c r="R57" s="344"/>
      <c r="S57" s="344"/>
      <c r="T57" s="344"/>
      <c r="U57" s="344"/>
      <c r="V57" s="344"/>
      <c r="W57" s="344"/>
      <c r="X57" s="344"/>
      <c r="Y57" s="344"/>
      <c r="Z57" s="344"/>
      <c r="AA57" s="344"/>
      <c r="AB57" s="344"/>
      <c r="AC57" s="344"/>
      <c r="AD57" s="344"/>
      <c r="AE57" s="344"/>
      <c r="AF57" s="344"/>
      <c r="AG57" s="344"/>
      <c r="AH57" s="344"/>
      <c r="AI57" s="344"/>
      <c r="AJ57" s="344"/>
      <c r="AK57" s="344"/>
      <c r="AL57" s="344"/>
      <c r="AM57" s="344"/>
      <c r="AN57" s="344"/>
      <c r="AO57" s="344"/>
      <c r="AP57" s="344"/>
      <c r="AQ57" s="344"/>
      <c r="AR57" s="344"/>
      <c r="AS57" s="344"/>
      <c r="AT57" s="344"/>
      <c r="AU57" s="344"/>
      <c r="AV57" s="344"/>
      <c r="AW57" s="344"/>
      <c r="AX57" s="344"/>
      <c r="AY57" s="344"/>
      <c r="AZ57" s="344"/>
      <c r="BA57" s="344"/>
      <c r="BB57" s="344"/>
      <c r="BC57" s="344"/>
      <c r="BD57" s="344"/>
      <c r="BE57" s="344"/>
      <c r="BF57" s="344"/>
      <c r="BG57" s="344"/>
      <c r="BH57" s="344"/>
      <c r="BI57" s="344"/>
      <c r="BJ57" s="344"/>
      <c r="BK57" s="344"/>
      <c r="BL57" s="344"/>
      <c r="BM57" s="344"/>
      <c r="BN57" s="344"/>
      <c r="BO57" s="344"/>
      <c r="BP57" s="344"/>
      <c r="BQ57" s="344"/>
      <c r="BR57" s="344"/>
      <c r="BS57" s="344"/>
      <c r="BT57" s="344"/>
      <c r="BU57" s="344"/>
      <c r="BV57" s="344"/>
      <c r="BW57" s="344"/>
      <c r="BX57" s="344"/>
      <c r="BY57" s="344"/>
      <c r="BZ57" s="344"/>
      <c r="CA57" s="344"/>
      <c r="CB57" s="344"/>
      <c r="CC57" s="344"/>
      <c r="CD57" s="344"/>
      <c r="CE57" s="344"/>
      <c r="CF57" s="344"/>
      <c r="CG57" s="344"/>
      <c r="CH57" s="344"/>
      <c r="CI57" s="344"/>
      <c r="CJ57" s="344"/>
      <c r="CK57" s="344"/>
      <c r="CL57" s="344"/>
      <c r="CM57" s="344"/>
      <c r="CN57" s="344"/>
      <c r="CO57" s="344"/>
      <c r="CP57" s="344"/>
      <c r="CQ57" s="344"/>
      <c r="CR57" s="344"/>
      <c r="CS57" s="344"/>
      <c r="CT57" s="344"/>
      <c r="CU57" s="344"/>
      <c r="CV57" s="344"/>
      <c r="CW57" s="344"/>
      <c r="CX57" s="344"/>
      <c r="CY57" s="344"/>
      <c r="CZ57" s="344"/>
      <c r="DA57" s="344"/>
      <c r="DB57" s="344"/>
      <c r="DC57" s="344"/>
      <c r="DD57" s="344"/>
      <c r="DE57" s="344"/>
      <c r="DF57" s="344"/>
      <c r="DG57" s="344"/>
      <c r="DH57" s="344"/>
      <c r="DI57" s="344"/>
      <c r="DJ57" s="344"/>
      <c r="DK57" s="344"/>
      <c r="DL57" s="344"/>
      <c r="DM57" s="344"/>
      <c r="DN57" s="344"/>
      <c r="DO57" s="344"/>
      <c r="DP57" s="344"/>
      <c r="DQ57" s="344"/>
      <c r="DR57" s="344"/>
      <c r="DS57" s="344"/>
      <c r="DT57" s="344"/>
      <c r="DU57" s="344"/>
      <c r="DV57" s="344"/>
      <c r="DW57" s="344"/>
      <c r="DX57" s="344"/>
      <c r="DY57" s="344"/>
      <c r="DZ57" s="344"/>
      <c r="EA57" s="344"/>
      <c r="EB57" s="344"/>
      <c r="EC57" s="344"/>
      <c r="ED57" s="344"/>
      <c r="EE57" s="344"/>
      <c r="EF57" s="344"/>
      <c r="EG57" s="344"/>
      <c r="EH57" s="344"/>
      <c r="EI57" s="344"/>
      <c r="EJ57" s="344"/>
      <c r="EK57" s="344"/>
      <c r="EL57" s="344"/>
      <c r="EM57" s="344"/>
      <c r="EN57" s="344"/>
      <c r="EO57" s="344"/>
      <c r="EP57" s="344"/>
      <c r="EQ57" s="344"/>
      <c r="ER57" s="344"/>
      <c r="ES57" s="344"/>
      <c r="ET57" s="344"/>
      <c r="EU57" s="344"/>
      <c r="EV57" s="344"/>
      <c r="EW57" s="344"/>
      <c r="EX57" s="344"/>
      <c r="EY57" s="344"/>
      <c r="EZ57" s="344"/>
      <c r="FA57" s="344"/>
      <c r="FB57" s="344"/>
      <c r="FC57" s="344"/>
      <c r="FD57" s="344"/>
      <c r="FE57" s="344"/>
      <c r="FF57" s="344"/>
      <c r="FG57" s="344"/>
      <c r="FH57" s="344"/>
      <c r="FI57" s="344"/>
      <c r="FJ57" s="344"/>
      <c r="FK57" s="344"/>
      <c r="FL57" s="344"/>
      <c r="FM57" s="344"/>
      <c r="FN57" s="344"/>
      <c r="FO57" s="344"/>
      <c r="FP57" s="344"/>
      <c r="FQ57" s="344"/>
      <c r="FR57" s="344"/>
      <c r="FS57" s="344"/>
      <c r="FT57" s="344"/>
      <c r="FU57" s="344"/>
      <c r="FV57" s="344"/>
      <c r="FW57" s="344"/>
      <c r="FX57" s="344"/>
      <c r="FY57" s="344"/>
      <c r="FZ57" s="344"/>
      <c r="GA57" s="344"/>
      <c r="GB57" s="344"/>
      <c r="GC57" s="344"/>
      <c r="GD57" s="344"/>
      <c r="GE57" s="344"/>
      <c r="GF57" s="344"/>
      <c r="GG57" s="344"/>
      <c r="GH57" s="344"/>
      <c r="GI57" s="344"/>
      <c r="GJ57" s="344"/>
      <c r="GK57" s="344"/>
      <c r="GL57" s="344"/>
      <c r="GM57" s="344"/>
      <c r="GN57" s="344"/>
      <c r="GO57" s="344"/>
      <c r="GP57" s="344"/>
      <c r="GQ57" s="344"/>
      <c r="GR57" s="344"/>
      <c r="GS57" s="344"/>
      <c r="GT57" s="344"/>
      <c r="GU57" s="344"/>
      <c r="GV57" s="344"/>
      <c r="GW57" s="344"/>
      <c r="GX57" s="344"/>
      <c r="GY57" s="344"/>
      <c r="GZ57" s="344"/>
      <c r="HA57" s="344"/>
      <c r="HB57" s="344"/>
      <c r="HC57" s="344"/>
      <c r="HD57" s="344"/>
      <c r="HE57" s="344"/>
      <c r="HF57" s="344"/>
      <c r="HG57" s="344"/>
      <c r="HH57" s="344"/>
      <c r="HI57" s="344"/>
      <c r="HJ57" s="344"/>
      <c r="HK57" s="344"/>
      <c r="HL57" s="344"/>
      <c r="HM57" s="344"/>
      <c r="HN57" s="344"/>
      <c r="HO57" s="344"/>
      <c r="HP57" s="344"/>
      <c r="HQ57" s="344"/>
      <c r="HR57" s="344"/>
      <c r="HS57" s="344"/>
      <c r="HT57" s="344"/>
      <c r="HU57" s="344"/>
      <c r="HV57" s="344"/>
      <c r="HW57" s="344"/>
      <c r="HX57" s="344"/>
      <c r="HY57" s="344"/>
      <c r="HZ57" s="344"/>
      <c r="IA57" s="344"/>
      <c r="IB57" s="344"/>
      <c r="IC57" s="344"/>
      <c r="ID57" s="344"/>
      <c r="IE57" s="344"/>
      <c r="IF57" s="344"/>
      <c r="IG57" s="344"/>
      <c r="IH57" s="344"/>
      <c r="II57" s="344"/>
      <c r="IJ57" s="344"/>
      <c r="IK57" s="344"/>
      <c r="IL57" s="344"/>
      <c r="IM57" s="344"/>
      <c r="IN57" s="344"/>
      <c r="IO57" s="344"/>
      <c r="IP57" s="344"/>
      <c r="IQ57" s="344"/>
      <c r="IR57" s="344"/>
      <c r="IS57" s="344"/>
      <c r="IT57" s="344"/>
      <c r="IU57" s="344"/>
      <c r="IV57" s="344"/>
      <c r="IW57" s="344"/>
    </row>
    <row r="58" customFormat="false" ht="15.95" hidden="false" customHeight="true" outlineLevel="0" collapsed="false">
      <c r="A58" s="355" t="n">
        <v>54</v>
      </c>
      <c r="B58" s="366"/>
      <c r="C58" s="366"/>
      <c r="D58" s="367"/>
      <c r="E58" s="366"/>
      <c r="F58" s="367"/>
      <c r="G58" s="367"/>
      <c r="H58" s="367"/>
      <c r="I58" s="367"/>
      <c r="J58" s="367"/>
      <c r="K58" s="367"/>
      <c r="L58" s="361"/>
      <c r="M58" s="361"/>
      <c r="N58" s="370"/>
      <c r="O58" s="352"/>
      <c r="P58" s="344"/>
      <c r="Q58" s="344"/>
      <c r="R58" s="344"/>
      <c r="S58" s="344"/>
      <c r="T58" s="344"/>
      <c r="U58" s="344"/>
      <c r="V58" s="344"/>
      <c r="W58" s="344"/>
      <c r="X58" s="344"/>
      <c r="Y58" s="344"/>
      <c r="Z58" s="344"/>
      <c r="AA58" s="344"/>
      <c r="AB58" s="344"/>
      <c r="AC58" s="344"/>
      <c r="AD58" s="344"/>
      <c r="AE58" s="344"/>
      <c r="AF58" s="344"/>
      <c r="AG58" s="344"/>
      <c r="AH58" s="344"/>
      <c r="AI58" s="344"/>
      <c r="AJ58" s="344"/>
      <c r="AK58" s="344"/>
      <c r="AL58" s="344"/>
      <c r="AM58" s="344"/>
      <c r="AN58" s="344"/>
      <c r="AO58" s="344"/>
      <c r="AP58" s="344"/>
      <c r="AQ58" s="344"/>
      <c r="AR58" s="344"/>
      <c r="AS58" s="344"/>
      <c r="AT58" s="344"/>
      <c r="AU58" s="344"/>
      <c r="AV58" s="344"/>
      <c r="AW58" s="344"/>
      <c r="AX58" s="344"/>
      <c r="AY58" s="344"/>
      <c r="AZ58" s="344"/>
      <c r="BA58" s="344"/>
      <c r="BB58" s="344"/>
      <c r="BC58" s="344"/>
      <c r="BD58" s="344"/>
      <c r="BE58" s="344"/>
      <c r="BF58" s="344"/>
      <c r="BG58" s="344"/>
      <c r="BH58" s="344"/>
      <c r="BI58" s="344"/>
      <c r="BJ58" s="344"/>
      <c r="BK58" s="344"/>
      <c r="BL58" s="344"/>
      <c r="BM58" s="344"/>
      <c r="BN58" s="344"/>
      <c r="BO58" s="344"/>
      <c r="BP58" s="344"/>
      <c r="BQ58" s="344"/>
      <c r="BR58" s="344"/>
      <c r="BS58" s="344"/>
      <c r="BT58" s="344"/>
      <c r="BU58" s="344"/>
      <c r="BV58" s="344"/>
      <c r="BW58" s="344"/>
      <c r="BX58" s="344"/>
      <c r="BY58" s="344"/>
      <c r="BZ58" s="344"/>
      <c r="CA58" s="344"/>
      <c r="CB58" s="344"/>
      <c r="CC58" s="344"/>
      <c r="CD58" s="344"/>
      <c r="CE58" s="344"/>
      <c r="CF58" s="344"/>
      <c r="CG58" s="344"/>
      <c r="CH58" s="344"/>
      <c r="CI58" s="344"/>
      <c r="CJ58" s="344"/>
      <c r="CK58" s="344"/>
      <c r="CL58" s="344"/>
      <c r="CM58" s="344"/>
      <c r="CN58" s="344"/>
      <c r="CO58" s="344"/>
      <c r="CP58" s="344"/>
      <c r="CQ58" s="344"/>
      <c r="CR58" s="344"/>
      <c r="CS58" s="344"/>
      <c r="CT58" s="344"/>
      <c r="CU58" s="344"/>
      <c r="CV58" s="344"/>
      <c r="CW58" s="344"/>
      <c r="CX58" s="344"/>
      <c r="CY58" s="344"/>
      <c r="CZ58" s="344"/>
      <c r="DA58" s="344"/>
      <c r="DB58" s="344"/>
      <c r="DC58" s="344"/>
      <c r="DD58" s="344"/>
      <c r="DE58" s="344"/>
      <c r="DF58" s="344"/>
      <c r="DG58" s="344"/>
      <c r="DH58" s="344"/>
      <c r="DI58" s="344"/>
      <c r="DJ58" s="344"/>
      <c r="DK58" s="344"/>
      <c r="DL58" s="344"/>
      <c r="DM58" s="344"/>
      <c r="DN58" s="344"/>
      <c r="DO58" s="344"/>
      <c r="DP58" s="344"/>
      <c r="DQ58" s="344"/>
      <c r="DR58" s="344"/>
      <c r="DS58" s="344"/>
      <c r="DT58" s="344"/>
      <c r="DU58" s="344"/>
      <c r="DV58" s="344"/>
      <c r="DW58" s="344"/>
      <c r="DX58" s="344"/>
      <c r="DY58" s="344"/>
      <c r="DZ58" s="344"/>
      <c r="EA58" s="344"/>
      <c r="EB58" s="344"/>
      <c r="EC58" s="344"/>
      <c r="ED58" s="344"/>
      <c r="EE58" s="344"/>
      <c r="EF58" s="344"/>
      <c r="EG58" s="344"/>
      <c r="EH58" s="344"/>
      <c r="EI58" s="344"/>
      <c r="EJ58" s="344"/>
      <c r="EK58" s="344"/>
      <c r="EL58" s="344"/>
      <c r="EM58" s="344"/>
      <c r="EN58" s="344"/>
      <c r="EO58" s="344"/>
      <c r="EP58" s="344"/>
      <c r="EQ58" s="344"/>
      <c r="ER58" s="344"/>
      <c r="ES58" s="344"/>
      <c r="ET58" s="344"/>
      <c r="EU58" s="344"/>
      <c r="EV58" s="344"/>
      <c r="EW58" s="344"/>
      <c r="EX58" s="344"/>
      <c r="EY58" s="344"/>
      <c r="EZ58" s="344"/>
      <c r="FA58" s="344"/>
      <c r="FB58" s="344"/>
      <c r="FC58" s="344"/>
      <c r="FD58" s="344"/>
      <c r="FE58" s="344"/>
      <c r="FF58" s="344"/>
      <c r="FG58" s="344"/>
      <c r="FH58" s="344"/>
      <c r="FI58" s="344"/>
      <c r="FJ58" s="344"/>
      <c r="FK58" s="344"/>
      <c r="FL58" s="344"/>
      <c r="FM58" s="344"/>
      <c r="FN58" s="344"/>
      <c r="FO58" s="344"/>
      <c r="FP58" s="344"/>
      <c r="FQ58" s="344"/>
      <c r="FR58" s="344"/>
      <c r="FS58" s="344"/>
      <c r="FT58" s="344"/>
      <c r="FU58" s="344"/>
      <c r="FV58" s="344"/>
      <c r="FW58" s="344"/>
      <c r="FX58" s="344"/>
      <c r="FY58" s="344"/>
      <c r="FZ58" s="344"/>
      <c r="GA58" s="344"/>
      <c r="GB58" s="344"/>
      <c r="GC58" s="344"/>
      <c r="GD58" s="344"/>
      <c r="GE58" s="344"/>
      <c r="GF58" s="344"/>
      <c r="GG58" s="344"/>
      <c r="GH58" s="344"/>
      <c r="GI58" s="344"/>
      <c r="GJ58" s="344"/>
      <c r="GK58" s="344"/>
      <c r="GL58" s="344"/>
      <c r="GM58" s="344"/>
      <c r="GN58" s="344"/>
      <c r="GO58" s="344"/>
      <c r="GP58" s="344"/>
      <c r="GQ58" s="344"/>
      <c r="GR58" s="344"/>
      <c r="GS58" s="344"/>
      <c r="GT58" s="344"/>
      <c r="GU58" s="344"/>
      <c r="GV58" s="344"/>
      <c r="GW58" s="344"/>
      <c r="GX58" s="344"/>
      <c r="GY58" s="344"/>
      <c r="GZ58" s="344"/>
      <c r="HA58" s="344"/>
      <c r="HB58" s="344"/>
      <c r="HC58" s="344"/>
      <c r="HD58" s="344"/>
      <c r="HE58" s="344"/>
      <c r="HF58" s="344"/>
      <c r="HG58" s="344"/>
      <c r="HH58" s="344"/>
      <c r="HI58" s="344"/>
      <c r="HJ58" s="344"/>
      <c r="HK58" s="344"/>
      <c r="HL58" s="344"/>
      <c r="HM58" s="344"/>
      <c r="HN58" s="344"/>
      <c r="HO58" s="344"/>
      <c r="HP58" s="344"/>
      <c r="HQ58" s="344"/>
      <c r="HR58" s="344"/>
      <c r="HS58" s="344"/>
      <c r="HT58" s="344"/>
      <c r="HU58" s="344"/>
      <c r="HV58" s="344"/>
      <c r="HW58" s="344"/>
      <c r="HX58" s="344"/>
      <c r="HY58" s="344"/>
      <c r="HZ58" s="344"/>
      <c r="IA58" s="344"/>
      <c r="IB58" s="344"/>
      <c r="IC58" s="344"/>
      <c r="ID58" s="344"/>
      <c r="IE58" s="344"/>
      <c r="IF58" s="344"/>
      <c r="IG58" s="344"/>
      <c r="IH58" s="344"/>
      <c r="II58" s="344"/>
      <c r="IJ58" s="344"/>
      <c r="IK58" s="344"/>
      <c r="IL58" s="344"/>
      <c r="IM58" s="344"/>
      <c r="IN58" s="344"/>
      <c r="IO58" s="344"/>
      <c r="IP58" s="344"/>
      <c r="IQ58" s="344"/>
      <c r="IR58" s="344"/>
      <c r="IS58" s="344"/>
      <c r="IT58" s="344"/>
      <c r="IU58" s="344"/>
      <c r="IV58" s="344"/>
      <c r="IW58" s="344"/>
    </row>
    <row r="59" customFormat="false" ht="15.95" hidden="false" customHeight="true" outlineLevel="0" collapsed="false">
      <c r="A59" s="355" t="n">
        <v>55</v>
      </c>
      <c r="B59" s="356"/>
      <c r="C59" s="356"/>
      <c r="D59" s="357"/>
      <c r="E59" s="356"/>
      <c r="F59" s="357"/>
      <c r="G59" s="357"/>
      <c r="H59" s="357"/>
      <c r="I59" s="357"/>
      <c r="J59" s="357"/>
      <c r="K59" s="359"/>
      <c r="L59" s="361"/>
      <c r="M59" s="361"/>
      <c r="N59" s="370"/>
      <c r="O59" s="352"/>
      <c r="P59" s="353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353"/>
      <c r="AB59" s="353"/>
      <c r="AC59" s="353"/>
      <c r="AD59" s="353"/>
      <c r="AE59" s="353"/>
      <c r="AF59" s="353"/>
      <c r="AG59" s="353"/>
      <c r="AH59" s="353"/>
      <c r="AI59" s="353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3"/>
      <c r="BB59" s="353"/>
      <c r="BC59" s="353"/>
      <c r="BD59" s="353"/>
      <c r="BE59" s="353"/>
      <c r="BF59" s="353"/>
      <c r="BG59" s="353"/>
      <c r="BH59" s="353"/>
      <c r="BI59" s="353"/>
      <c r="BJ59" s="353"/>
      <c r="BK59" s="353"/>
      <c r="BL59" s="353"/>
      <c r="BM59" s="353"/>
      <c r="BN59" s="353"/>
      <c r="BO59" s="353"/>
      <c r="BP59" s="353"/>
      <c r="BQ59" s="353"/>
      <c r="BR59" s="353"/>
      <c r="BS59" s="353"/>
      <c r="BT59" s="353"/>
      <c r="BU59" s="353"/>
      <c r="BV59" s="353"/>
      <c r="BW59" s="353"/>
      <c r="BX59" s="353"/>
      <c r="BY59" s="353"/>
      <c r="BZ59" s="353"/>
      <c r="CA59" s="353"/>
      <c r="CB59" s="353"/>
      <c r="CC59" s="353"/>
      <c r="CD59" s="353"/>
      <c r="CE59" s="353"/>
      <c r="CF59" s="353"/>
      <c r="CG59" s="353"/>
      <c r="CH59" s="353"/>
      <c r="CI59" s="353"/>
      <c r="CJ59" s="353"/>
      <c r="CK59" s="353"/>
      <c r="CL59" s="353"/>
      <c r="CM59" s="353"/>
      <c r="CN59" s="353"/>
      <c r="CO59" s="353"/>
      <c r="CP59" s="353"/>
      <c r="CQ59" s="353"/>
      <c r="CR59" s="353"/>
      <c r="CS59" s="353"/>
      <c r="CT59" s="353"/>
      <c r="CU59" s="353"/>
      <c r="CV59" s="353"/>
      <c r="CW59" s="353"/>
      <c r="CX59" s="353"/>
      <c r="CY59" s="353"/>
      <c r="CZ59" s="353"/>
      <c r="DA59" s="353"/>
      <c r="DB59" s="353"/>
      <c r="DC59" s="353"/>
      <c r="DD59" s="353"/>
      <c r="DE59" s="353"/>
      <c r="DF59" s="353"/>
      <c r="DG59" s="353"/>
      <c r="DH59" s="353"/>
      <c r="DI59" s="353"/>
      <c r="DJ59" s="353"/>
      <c r="DK59" s="353"/>
      <c r="DL59" s="353"/>
      <c r="DM59" s="353"/>
      <c r="DN59" s="353"/>
      <c r="DO59" s="353"/>
      <c r="DP59" s="353"/>
      <c r="DQ59" s="353"/>
      <c r="DR59" s="353"/>
      <c r="DS59" s="353"/>
      <c r="DT59" s="353"/>
      <c r="DU59" s="353"/>
      <c r="DV59" s="353"/>
      <c r="DW59" s="353"/>
      <c r="DX59" s="353"/>
      <c r="DY59" s="353"/>
      <c r="DZ59" s="353"/>
      <c r="EA59" s="353"/>
      <c r="EB59" s="353"/>
      <c r="EC59" s="353"/>
      <c r="ED59" s="353"/>
      <c r="EE59" s="353"/>
      <c r="EF59" s="353"/>
      <c r="EG59" s="353"/>
      <c r="EH59" s="353"/>
      <c r="EI59" s="353"/>
      <c r="EJ59" s="353"/>
      <c r="EK59" s="353"/>
      <c r="EL59" s="353"/>
      <c r="EM59" s="353"/>
      <c r="EN59" s="353"/>
      <c r="EO59" s="353"/>
      <c r="EP59" s="353"/>
      <c r="EQ59" s="353"/>
      <c r="ER59" s="353"/>
      <c r="ES59" s="353"/>
      <c r="ET59" s="353"/>
      <c r="EU59" s="353"/>
      <c r="EV59" s="353"/>
      <c r="EW59" s="353"/>
      <c r="EX59" s="353"/>
      <c r="EY59" s="353"/>
      <c r="EZ59" s="353"/>
      <c r="FA59" s="353"/>
      <c r="FB59" s="353"/>
      <c r="FC59" s="353"/>
      <c r="FD59" s="353"/>
      <c r="FE59" s="353"/>
      <c r="FF59" s="353"/>
      <c r="FG59" s="353"/>
      <c r="FH59" s="353"/>
      <c r="FI59" s="353"/>
      <c r="FJ59" s="353"/>
      <c r="FK59" s="353"/>
      <c r="FL59" s="353"/>
      <c r="FM59" s="353"/>
      <c r="FN59" s="353"/>
      <c r="FO59" s="353"/>
      <c r="FP59" s="353"/>
      <c r="FQ59" s="353"/>
      <c r="FR59" s="353"/>
      <c r="FS59" s="353"/>
      <c r="FT59" s="353"/>
      <c r="FU59" s="353"/>
      <c r="FV59" s="353"/>
      <c r="FW59" s="353"/>
      <c r="FX59" s="353"/>
      <c r="FY59" s="353"/>
      <c r="FZ59" s="353"/>
      <c r="GA59" s="353"/>
      <c r="GB59" s="353"/>
      <c r="GC59" s="353"/>
      <c r="GD59" s="353"/>
      <c r="GE59" s="353"/>
      <c r="GF59" s="353"/>
      <c r="GG59" s="353"/>
      <c r="GH59" s="353"/>
      <c r="GI59" s="353"/>
      <c r="GJ59" s="353"/>
      <c r="GK59" s="353"/>
      <c r="GL59" s="353"/>
      <c r="GM59" s="353"/>
      <c r="GN59" s="353"/>
      <c r="GO59" s="353"/>
      <c r="GP59" s="353"/>
      <c r="GQ59" s="353"/>
      <c r="GR59" s="353"/>
      <c r="GS59" s="353"/>
      <c r="GT59" s="353"/>
      <c r="GU59" s="353"/>
      <c r="GV59" s="353"/>
      <c r="GW59" s="353"/>
      <c r="GX59" s="353"/>
      <c r="GY59" s="353"/>
      <c r="GZ59" s="353"/>
      <c r="HA59" s="353"/>
      <c r="HB59" s="353"/>
      <c r="HC59" s="353"/>
      <c r="HD59" s="353"/>
      <c r="HE59" s="353"/>
      <c r="HF59" s="353"/>
      <c r="HG59" s="353"/>
      <c r="HH59" s="353"/>
      <c r="HI59" s="353"/>
      <c r="HJ59" s="353"/>
      <c r="HK59" s="353"/>
      <c r="HL59" s="353"/>
      <c r="HM59" s="353"/>
      <c r="HN59" s="353"/>
      <c r="HO59" s="353"/>
      <c r="HP59" s="353"/>
      <c r="HQ59" s="353"/>
      <c r="HR59" s="353"/>
      <c r="HS59" s="353"/>
      <c r="HT59" s="353"/>
      <c r="HU59" s="353"/>
      <c r="HV59" s="353"/>
      <c r="HW59" s="353"/>
      <c r="HX59" s="353"/>
      <c r="HY59" s="353"/>
      <c r="HZ59" s="353"/>
      <c r="IA59" s="353"/>
      <c r="IB59" s="353"/>
      <c r="IC59" s="353"/>
      <c r="ID59" s="353"/>
      <c r="IE59" s="353"/>
      <c r="IF59" s="353"/>
      <c r="IG59" s="353"/>
      <c r="IH59" s="353"/>
      <c r="II59" s="353"/>
      <c r="IJ59" s="353"/>
      <c r="IK59" s="353"/>
      <c r="IL59" s="353"/>
      <c r="IM59" s="353"/>
      <c r="IN59" s="353"/>
      <c r="IO59" s="353"/>
      <c r="IP59" s="353"/>
      <c r="IQ59" s="353"/>
      <c r="IR59" s="353"/>
      <c r="IS59" s="353"/>
      <c r="IT59" s="353"/>
      <c r="IU59" s="353"/>
      <c r="IV59" s="353"/>
      <c r="IW59" s="353"/>
    </row>
    <row r="60" customFormat="false" ht="15.95" hidden="false" customHeight="true" outlineLevel="0" collapsed="false">
      <c r="A60" s="355" t="n">
        <v>56</v>
      </c>
      <c r="B60" s="356"/>
      <c r="C60" s="356"/>
      <c r="D60" s="357"/>
      <c r="E60" s="356"/>
      <c r="F60" s="357"/>
      <c r="G60" s="357"/>
      <c r="H60" s="357"/>
      <c r="I60" s="357"/>
      <c r="J60" s="357"/>
      <c r="K60" s="359"/>
      <c r="L60" s="361"/>
      <c r="M60" s="361"/>
      <c r="N60" s="370"/>
      <c r="O60" s="352"/>
      <c r="P60" s="353"/>
      <c r="Q60" s="353"/>
      <c r="R60" s="353"/>
      <c r="S60" s="353"/>
      <c r="T60" s="353"/>
      <c r="U60" s="353"/>
      <c r="V60" s="353"/>
      <c r="W60" s="353"/>
      <c r="X60" s="353"/>
      <c r="Y60" s="353"/>
      <c r="Z60" s="353"/>
      <c r="AA60" s="353"/>
      <c r="AB60" s="353"/>
      <c r="AC60" s="353"/>
      <c r="AD60" s="353"/>
      <c r="AE60" s="353"/>
      <c r="AF60" s="353"/>
      <c r="AG60" s="353"/>
      <c r="AH60" s="353"/>
      <c r="AI60" s="353"/>
      <c r="AJ60" s="353"/>
      <c r="AK60" s="353"/>
      <c r="AL60" s="353"/>
      <c r="AM60" s="353"/>
      <c r="AN60" s="353"/>
      <c r="AO60" s="353"/>
      <c r="AP60" s="353"/>
      <c r="AQ60" s="353"/>
      <c r="AR60" s="353"/>
      <c r="AS60" s="353"/>
      <c r="AT60" s="353"/>
      <c r="AU60" s="353"/>
      <c r="AV60" s="353"/>
      <c r="AW60" s="353"/>
      <c r="AX60" s="353"/>
      <c r="AY60" s="353"/>
      <c r="AZ60" s="353"/>
      <c r="BA60" s="353"/>
      <c r="BB60" s="353"/>
      <c r="BC60" s="353"/>
      <c r="BD60" s="353"/>
      <c r="BE60" s="353"/>
      <c r="BF60" s="353"/>
      <c r="BG60" s="353"/>
      <c r="BH60" s="353"/>
      <c r="BI60" s="353"/>
      <c r="BJ60" s="353"/>
      <c r="BK60" s="353"/>
      <c r="BL60" s="353"/>
      <c r="BM60" s="353"/>
      <c r="BN60" s="353"/>
      <c r="BO60" s="353"/>
      <c r="BP60" s="353"/>
      <c r="BQ60" s="353"/>
      <c r="BR60" s="353"/>
      <c r="BS60" s="353"/>
      <c r="BT60" s="353"/>
      <c r="BU60" s="353"/>
      <c r="BV60" s="353"/>
      <c r="BW60" s="353"/>
      <c r="BX60" s="353"/>
      <c r="BY60" s="353"/>
      <c r="BZ60" s="353"/>
      <c r="CA60" s="353"/>
      <c r="CB60" s="353"/>
      <c r="CC60" s="353"/>
      <c r="CD60" s="353"/>
      <c r="CE60" s="353"/>
      <c r="CF60" s="353"/>
      <c r="CG60" s="353"/>
      <c r="CH60" s="353"/>
      <c r="CI60" s="353"/>
      <c r="CJ60" s="353"/>
      <c r="CK60" s="353"/>
      <c r="CL60" s="353"/>
      <c r="CM60" s="353"/>
      <c r="CN60" s="353"/>
      <c r="CO60" s="353"/>
      <c r="CP60" s="353"/>
      <c r="CQ60" s="353"/>
      <c r="CR60" s="353"/>
      <c r="CS60" s="353"/>
      <c r="CT60" s="353"/>
      <c r="CU60" s="353"/>
      <c r="CV60" s="353"/>
      <c r="CW60" s="353"/>
      <c r="CX60" s="353"/>
      <c r="CY60" s="353"/>
      <c r="CZ60" s="353"/>
      <c r="DA60" s="353"/>
      <c r="DB60" s="353"/>
      <c r="DC60" s="353"/>
      <c r="DD60" s="353"/>
      <c r="DE60" s="353"/>
      <c r="DF60" s="353"/>
      <c r="DG60" s="353"/>
      <c r="DH60" s="353"/>
      <c r="DI60" s="353"/>
      <c r="DJ60" s="353"/>
      <c r="DK60" s="353"/>
      <c r="DL60" s="353"/>
      <c r="DM60" s="353"/>
      <c r="DN60" s="353"/>
      <c r="DO60" s="353"/>
      <c r="DP60" s="353"/>
      <c r="DQ60" s="353"/>
      <c r="DR60" s="353"/>
      <c r="DS60" s="353"/>
      <c r="DT60" s="353"/>
      <c r="DU60" s="353"/>
      <c r="DV60" s="353"/>
      <c r="DW60" s="353"/>
      <c r="DX60" s="353"/>
      <c r="DY60" s="353"/>
      <c r="DZ60" s="353"/>
      <c r="EA60" s="353"/>
      <c r="EB60" s="353"/>
      <c r="EC60" s="353"/>
      <c r="ED60" s="353"/>
      <c r="EE60" s="353"/>
      <c r="EF60" s="353"/>
      <c r="EG60" s="353"/>
      <c r="EH60" s="353"/>
      <c r="EI60" s="353"/>
      <c r="EJ60" s="353"/>
      <c r="EK60" s="353"/>
      <c r="EL60" s="353"/>
      <c r="EM60" s="353"/>
      <c r="EN60" s="353"/>
      <c r="EO60" s="353"/>
      <c r="EP60" s="353"/>
      <c r="EQ60" s="353"/>
      <c r="ER60" s="353"/>
      <c r="ES60" s="353"/>
      <c r="ET60" s="353"/>
      <c r="EU60" s="353"/>
      <c r="EV60" s="353"/>
      <c r="EW60" s="353"/>
      <c r="EX60" s="353"/>
      <c r="EY60" s="353"/>
      <c r="EZ60" s="353"/>
      <c r="FA60" s="353"/>
      <c r="FB60" s="353"/>
      <c r="FC60" s="353"/>
      <c r="FD60" s="353"/>
      <c r="FE60" s="353"/>
      <c r="FF60" s="353"/>
      <c r="FG60" s="353"/>
      <c r="FH60" s="353"/>
      <c r="FI60" s="353"/>
      <c r="FJ60" s="353"/>
      <c r="FK60" s="353"/>
      <c r="FL60" s="353"/>
      <c r="FM60" s="353"/>
      <c r="FN60" s="353"/>
      <c r="FO60" s="353"/>
      <c r="FP60" s="353"/>
      <c r="FQ60" s="353"/>
      <c r="FR60" s="353"/>
      <c r="FS60" s="353"/>
      <c r="FT60" s="353"/>
      <c r="FU60" s="353"/>
      <c r="FV60" s="353"/>
      <c r="FW60" s="353"/>
      <c r="FX60" s="353"/>
      <c r="FY60" s="353"/>
      <c r="FZ60" s="353"/>
      <c r="GA60" s="353"/>
      <c r="GB60" s="353"/>
      <c r="GC60" s="353"/>
      <c r="GD60" s="353"/>
      <c r="GE60" s="353"/>
      <c r="GF60" s="353"/>
      <c r="GG60" s="353"/>
      <c r="GH60" s="353"/>
      <c r="GI60" s="353"/>
      <c r="GJ60" s="353"/>
      <c r="GK60" s="353"/>
      <c r="GL60" s="353"/>
      <c r="GM60" s="353"/>
      <c r="GN60" s="353"/>
      <c r="GO60" s="353"/>
      <c r="GP60" s="353"/>
      <c r="GQ60" s="353"/>
      <c r="GR60" s="353"/>
      <c r="GS60" s="353"/>
      <c r="GT60" s="353"/>
      <c r="GU60" s="353"/>
      <c r="GV60" s="353"/>
      <c r="GW60" s="353"/>
      <c r="GX60" s="353"/>
      <c r="GY60" s="353"/>
      <c r="GZ60" s="353"/>
      <c r="HA60" s="353"/>
      <c r="HB60" s="353"/>
      <c r="HC60" s="353"/>
      <c r="HD60" s="353"/>
      <c r="HE60" s="353"/>
      <c r="HF60" s="353"/>
      <c r="HG60" s="353"/>
      <c r="HH60" s="353"/>
      <c r="HI60" s="353"/>
      <c r="HJ60" s="353"/>
      <c r="HK60" s="353"/>
      <c r="HL60" s="353"/>
      <c r="HM60" s="353"/>
      <c r="HN60" s="353"/>
      <c r="HO60" s="353"/>
      <c r="HP60" s="353"/>
      <c r="HQ60" s="353"/>
      <c r="HR60" s="353"/>
      <c r="HS60" s="353"/>
      <c r="HT60" s="353"/>
      <c r="HU60" s="353"/>
      <c r="HV60" s="353"/>
      <c r="HW60" s="353"/>
      <c r="HX60" s="353"/>
      <c r="HY60" s="353"/>
      <c r="HZ60" s="353"/>
      <c r="IA60" s="353"/>
      <c r="IB60" s="353"/>
      <c r="IC60" s="353"/>
      <c r="ID60" s="353"/>
      <c r="IE60" s="353"/>
      <c r="IF60" s="353"/>
      <c r="IG60" s="353"/>
      <c r="IH60" s="353"/>
      <c r="II60" s="353"/>
      <c r="IJ60" s="353"/>
      <c r="IK60" s="353"/>
      <c r="IL60" s="353"/>
      <c r="IM60" s="353"/>
      <c r="IN60" s="353"/>
      <c r="IO60" s="353"/>
      <c r="IP60" s="353"/>
      <c r="IQ60" s="353"/>
      <c r="IR60" s="353"/>
      <c r="IS60" s="353"/>
      <c r="IT60" s="353"/>
      <c r="IU60" s="353"/>
      <c r="IV60" s="353"/>
      <c r="IW60" s="353"/>
    </row>
    <row r="61" customFormat="false" ht="15.95" hidden="false" customHeight="true" outlineLevel="0" collapsed="false">
      <c r="A61" s="355" t="n">
        <v>57</v>
      </c>
      <c r="B61" s="356"/>
      <c r="C61" s="356"/>
      <c r="D61" s="357"/>
      <c r="E61" s="356"/>
      <c r="F61" s="357"/>
      <c r="G61" s="357"/>
      <c r="H61" s="357"/>
      <c r="I61" s="357"/>
      <c r="J61" s="357"/>
      <c r="K61" s="359"/>
      <c r="L61" s="361"/>
      <c r="M61" s="361"/>
      <c r="N61" s="370"/>
      <c r="O61" s="352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71"/>
      <c r="AU61" s="371"/>
      <c r="AV61" s="371"/>
      <c r="AW61" s="371"/>
      <c r="AX61" s="371"/>
      <c r="AY61" s="371"/>
      <c r="AZ61" s="371"/>
      <c r="BA61" s="371"/>
      <c r="BB61" s="371"/>
      <c r="BC61" s="371"/>
      <c r="BD61" s="371"/>
      <c r="BE61" s="371"/>
      <c r="BF61" s="371"/>
      <c r="BG61" s="371"/>
      <c r="BH61" s="371"/>
      <c r="BI61" s="371"/>
      <c r="BJ61" s="371"/>
      <c r="BK61" s="371"/>
      <c r="BL61" s="371"/>
      <c r="BM61" s="371"/>
      <c r="BN61" s="371"/>
      <c r="BO61" s="371"/>
      <c r="BP61" s="371"/>
      <c r="BQ61" s="371"/>
      <c r="BR61" s="371"/>
      <c r="BS61" s="371"/>
      <c r="BT61" s="371"/>
      <c r="BU61" s="371"/>
      <c r="BV61" s="371"/>
      <c r="BW61" s="371"/>
      <c r="BX61" s="371"/>
      <c r="BY61" s="371"/>
      <c r="BZ61" s="371"/>
      <c r="CA61" s="371"/>
      <c r="CB61" s="371"/>
      <c r="CC61" s="371"/>
      <c r="CD61" s="371"/>
      <c r="CE61" s="371"/>
      <c r="CF61" s="371"/>
      <c r="CG61" s="371"/>
      <c r="CH61" s="371"/>
      <c r="CI61" s="371"/>
      <c r="CJ61" s="371"/>
      <c r="CK61" s="371"/>
      <c r="CL61" s="371"/>
      <c r="CM61" s="371"/>
      <c r="CN61" s="371"/>
      <c r="CO61" s="371"/>
      <c r="CP61" s="371"/>
      <c r="CQ61" s="371"/>
      <c r="CR61" s="371"/>
      <c r="CS61" s="371"/>
      <c r="CT61" s="371"/>
      <c r="CU61" s="371"/>
      <c r="CV61" s="371"/>
      <c r="CW61" s="371"/>
      <c r="CX61" s="371"/>
      <c r="CY61" s="371"/>
      <c r="CZ61" s="371"/>
      <c r="DA61" s="371"/>
      <c r="DB61" s="371"/>
      <c r="DC61" s="371"/>
      <c r="DD61" s="371"/>
      <c r="DE61" s="371"/>
      <c r="DF61" s="371"/>
      <c r="DG61" s="371"/>
      <c r="DH61" s="371"/>
      <c r="DI61" s="371"/>
      <c r="DJ61" s="371"/>
      <c r="DK61" s="371"/>
      <c r="DL61" s="371"/>
      <c r="DM61" s="371"/>
      <c r="DN61" s="371"/>
      <c r="DO61" s="371"/>
      <c r="DP61" s="371"/>
      <c r="DQ61" s="371"/>
      <c r="DR61" s="371"/>
      <c r="DS61" s="371"/>
      <c r="DT61" s="371"/>
      <c r="DU61" s="371"/>
      <c r="DV61" s="371"/>
      <c r="DW61" s="371"/>
      <c r="DX61" s="371"/>
      <c r="DY61" s="371"/>
      <c r="DZ61" s="371"/>
      <c r="EA61" s="371"/>
      <c r="EB61" s="371"/>
      <c r="EC61" s="371"/>
      <c r="ED61" s="371"/>
      <c r="EE61" s="371"/>
      <c r="EF61" s="371"/>
      <c r="EG61" s="371"/>
      <c r="EH61" s="371"/>
      <c r="EI61" s="371"/>
      <c r="EJ61" s="371"/>
      <c r="EK61" s="371"/>
      <c r="EL61" s="371"/>
      <c r="EM61" s="371"/>
      <c r="EN61" s="371"/>
      <c r="EO61" s="371"/>
      <c r="EP61" s="371"/>
      <c r="EQ61" s="371"/>
      <c r="ER61" s="371"/>
      <c r="ES61" s="371"/>
      <c r="ET61" s="371"/>
      <c r="EU61" s="371"/>
      <c r="EV61" s="371"/>
      <c r="EW61" s="371"/>
      <c r="EX61" s="371"/>
      <c r="EY61" s="371"/>
      <c r="EZ61" s="371"/>
      <c r="FA61" s="371"/>
      <c r="FB61" s="371"/>
      <c r="FC61" s="371"/>
      <c r="FD61" s="371"/>
      <c r="FE61" s="371"/>
      <c r="FF61" s="371"/>
      <c r="FG61" s="371"/>
      <c r="FH61" s="371"/>
      <c r="FI61" s="371"/>
      <c r="FJ61" s="371"/>
      <c r="FK61" s="371"/>
      <c r="FL61" s="371"/>
      <c r="FM61" s="371"/>
      <c r="FN61" s="371"/>
      <c r="FO61" s="371"/>
      <c r="FP61" s="371"/>
      <c r="FQ61" s="371"/>
      <c r="FR61" s="371"/>
      <c r="FS61" s="371"/>
      <c r="FT61" s="371"/>
      <c r="FU61" s="371"/>
      <c r="FV61" s="371"/>
      <c r="FW61" s="371"/>
      <c r="FX61" s="371"/>
      <c r="FY61" s="371"/>
      <c r="FZ61" s="371"/>
      <c r="GA61" s="371"/>
      <c r="GB61" s="371"/>
      <c r="GC61" s="371"/>
      <c r="GD61" s="371"/>
      <c r="GE61" s="371"/>
      <c r="GF61" s="371"/>
      <c r="GG61" s="371"/>
      <c r="GH61" s="371"/>
      <c r="GI61" s="371"/>
      <c r="GJ61" s="371"/>
      <c r="GK61" s="371"/>
      <c r="GL61" s="371"/>
      <c r="GM61" s="371"/>
      <c r="GN61" s="371"/>
      <c r="GO61" s="371"/>
      <c r="GP61" s="371"/>
      <c r="GQ61" s="371"/>
      <c r="GR61" s="371"/>
      <c r="GS61" s="371"/>
      <c r="GT61" s="371"/>
      <c r="GU61" s="371"/>
      <c r="GV61" s="371"/>
      <c r="GW61" s="371"/>
      <c r="GX61" s="371"/>
      <c r="GY61" s="371"/>
      <c r="GZ61" s="371"/>
      <c r="HA61" s="371"/>
      <c r="HB61" s="371"/>
      <c r="HC61" s="371"/>
      <c r="HD61" s="371"/>
      <c r="HE61" s="371"/>
      <c r="HF61" s="371"/>
      <c r="HG61" s="371"/>
      <c r="HH61" s="371"/>
      <c r="HI61" s="371"/>
      <c r="HJ61" s="371"/>
      <c r="HK61" s="371"/>
      <c r="HL61" s="371"/>
      <c r="HM61" s="371"/>
      <c r="HN61" s="371"/>
      <c r="HO61" s="371"/>
      <c r="HP61" s="371"/>
      <c r="HQ61" s="371"/>
      <c r="HR61" s="371"/>
      <c r="HS61" s="371"/>
      <c r="HT61" s="371"/>
      <c r="HU61" s="371"/>
      <c r="HV61" s="371"/>
      <c r="HW61" s="371"/>
      <c r="HX61" s="371"/>
      <c r="HY61" s="371"/>
      <c r="HZ61" s="371"/>
      <c r="IA61" s="371"/>
      <c r="IB61" s="371"/>
      <c r="IC61" s="371"/>
      <c r="ID61" s="371"/>
      <c r="IE61" s="371"/>
      <c r="IF61" s="371"/>
      <c r="IG61" s="371"/>
      <c r="IH61" s="371"/>
      <c r="II61" s="371"/>
      <c r="IJ61" s="371"/>
      <c r="IK61" s="371"/>
      <c r="IL61" s="371"/>
      <c r="IM61" s="371"/>
      <c r="IN61" s="371"/>
      <c r="IO61" s="371"/>
      <c r="IP61" s="371"/>
      <c r="IQ61" s="371"/>
      <c r="IR61" s="371"/>
      <c r="IS61" s="371"/>
      <c r="IT61" s="371"/>
      <c r="IU61" s="371"/>
      <c r="IV61" s="371"/>
      <c r="IW61" s="371"/>
    </row>
    <row r="62" customFormat="false" ht="15.95" hidden="false" customHeight="true" outlineLevel="0" collapsed="false">
      <c r="A62" s="355" t="n">
        <v>58</v>
      </c>
      <c r="B62" s="356"/>
      <c r="C62" s="356"/>
      <c r="D62" s="357"/>
      <c r="E62" s="356"/>
      <c r="F62" s="357"/>
      <c r="G62" s="357"/>
      <c r="H62" s="357"/>
      <c r="I62" s="357"/>
      <c r="J62" s="357"/>
      <c r="K62" s="359"/>
      <c r="L62" s="361"/>
      <c r="M62" s="361"/>
      <c r="N62" s="370"/>
      <c r="O62" s="352"/>
      <c r="P62" s="344"/>
      <c r="Q62" s="344"/>
      <c r="R62" s="344"/>
      <c r="S62" s="344"/>
      <c r="T62" s="344"/>
      <c r="U62" s="344"/>
      <c r="V62" s="344"/>
      <c r="W62" s="344"/>
      <c r="X62" s="344"/>
      <c r="Y62" s="344"/>
      <c r="Z62" s="344"/>
      <c r="AA62" s="344"/>
      <c r="AB62" s="344"/>
      <c r="AC62" s="344"/>
      <c r="AD62" s="344"/>
      <c r="AE62" s="344"/>
      <c r="AF62" s="344"/>
      <c r="AG62" s="344"/>
      <c r="AH62" s="344"/>
      <c r="AI62" s="344"/>
      <c r="AJ62" s="344"/>
      <c r="AK62" s="344"/>
      <c r="AL62" s="344"/>
      <c r="AM62" s="344"/>
      <c r="AN62" s="344"/>
      <c r="AO62" s="344"/>
      <c r="AP62" s="344"/>
      <c r="AQ62" s="344"/>
      <c r="AR62" s="344"/>
      <c r="AS62" s="344"/>
      <c r="AT62" s="344"/>
      <c r="AU62" s="344"/>
      <c r="AV62" s="344"/>
      <c r="AW62" s="344"/>
      <c r="AX62" s="344"/>
      <c r="AY62" s="344"/>
      <c r="AZ62" s="344"/>
      <c r="BA62" s="344"/>
      <c r="BB62" s="344"/>
      <c r="BC62" s="344"/>
      <c r="BD62" s="344"/>
      <c r="BE62" s="344"/>
      <c r="BF62" s="344"/>
      <c r="BG62" s="344"/>
      <c r="BH62" s="344"/>
      <c r="BI62" s="344"/>
      <c r="BJ62" s="344"/>
      <c r="BK62" s="344"/>
      <c r="BL62" s="344"/>
      <c r="BM62" s="344"/>
      <c r="BN62" s="344"/>
      <c r="BO62" s="344"/>
      <c r="BP62" s="344"/>
      <c r="BQ62" s="344"/>
      <c r="BR62" s="344"/>
      <c r="BS62" s="344"/>
      <c r="BT62" s="344"/>
      <c r="BU62" s="344"/>
      <c r="BV62" s="344"/>
      <c r="BW62" s="344"/>
      <c r="BX62" s="344"/>
      <c r="BY62" s="344"/>
      <c r="BZ62" s="344"/>
      <c r="CA62" s="344"/>
      <c r="CB62" s="344"/>
      <c r="CC62" s="344"/>
      <c r="CD62" s="344"/>
      <c r="CE62" s="344"/>
      <c r="CF62" s="344"/>
      <c r="CG62" s="344"/>
      <c r="CH62" s="344"/>
      <c r="CI62" s="344"/>
      <c r="CJ62" s="344"/>
      <c r="CK62" s="344"/>
      <c r="CL62" s="344"/>
      <c r="CM62" s="344"/>
      <c r="CN62" s="344"/>
      <c r="CO62" s="344"/>
      <c r="CP62" s="344"/>
      <c r="CQ62" s="344"/>
      <c r="CR62" s="344"/>
      <c r="CS62" s="344"/>
      <c r="CT62" s="344"/>
      <c r="CU62" s="344"/>
      <c r="CV62" s="344"/>
      <c r="CW62" s="344"/>
      <c r="CX62" s="344"/>
      <c r="CY62" s="344"/>
      <c r="CZ62" s="344"/>
      <c r="DA62" s="344"/>
      <c r="DB62" s="344"/>
      <c r="DC62" s="344"/>
      <c r="DD62" s="344"/>
      <c r="DE62" s="344"/>
      <c r="DF62" s="344"/>
      <c r="DG62" s="344"/>
      <c r="DH62" s="344"/>
      <c r="DI62" s="344"/>
      <c r="DJ62" s="344"/>
      <c r="DK62" s="344"/>
      <c r="DL62" s="344"/>
      <c r="DM62" s="344"/>
      <c r="DN62" s="344"/>
      <c r="DO62" s="344"/>
      <c r="DP62" s="344"/>
      <c r="DQ62" s="344"/>
      <c r="DR62" s="344"/>
      <c r="DS62" s="344"/>
      <c r="DT62" s="344"/>
      <c r="DU62" s="344"/>
      <c r="DV62" s="344"/>
      <c r="DW62" s="344"/>
      <c r="DX62" s="344"/>
      <c r="DY62" s="344"/>
      <c r="DZ62" s="344"/>
      <c r="EA62" s="344"/>
      <c r="EB62" s="344"/>
      <c r="EC62" s="344"/>
      <c r="ED62" s="344"/>
      <c r="EE62" s="344"/>
      <c r="EF62" s="344"/>
      <c r="EG62" s="344"/>
      <c r="EH62" s="344"/>
      <c r="EI62" s="344"/>
      <c r="EJ62" s="344"/>
      <c r="EK62" s="344"/>
      <c r="EL62" s="344"/>
      <c r="EM62" s="344"/>
      <c r="EN62" s="344"/>
      <c r="EO62" s="344"/>
      <c r="EP62" s="344"/>
      <c r="EQ62" s="344"/>
      <c r="ER62" s="344"/>
      <c r="ES62" s="344"/>
      <c r="ET62" s="344"/>
      <c r="EU62" s="344"/>
      <c r="EV62" s="344"/>
      <c r="EW62" s="344"/>
      <c r="EX62" s="344"/>
      <c r="EY62" s="344"/>
      <c r="EZ62" s="344"/>
      <c r="FA62" s="344"/>
      <c r="FB62" s="344"/>
      <c r="FC62" s="344"/>
      <c r="FD62" s="344"/>
      <c r="FE62" s="344"/>
      <c r="FF62" s="344"/>
      <c r="FG62" s="344"/>
      <c r="FH62" s="344"/>
      <c r="FI62" s="344"/>
      <c r="FJ62" s="344"/>
      <c r="FK62" s="344"/>
      <c r="FL62" s="344"/>
      <c r="FM62" s="344"/>
      <c r="FN62" s="344"/>
      <c r="FO62" s="344"/>
      <c r="FP62" s="344"/>
      <c r="FQ62" s="344"/>
      <c r="FR62" s="344"/>
      <c r="FS62" s="344"/>
      <c r="FT62" s="344"/>
      <c r="FU62" s="344"/>
      <c r="FV62" s="344"/>
      <c r="FW62" s="344"/>
      <c r="FX62" s="344"/>
      <c r="FY62" s="344"/>
      <c r="FZ62" s="344"/>
      <c r="GA62" s="344"/>
      <c r="GB62" s="344"/>
      <c r="GC62" s="344"/>
      <c r="GD62" s="344"/>
      <c r="GE62" s="344"/>
      <c r="GF62" s="344"/>
      <c r="GG62" s="344"/>
      <c r="GH62" s="344"/>
      <c r="GI62" s="344"/>
      <c r="GJ62" s="344"/>
      <c r="GK62" s="344"/>
      <c r="GL62" s="344"/>
      <c r="GM62" s="344"/>
      <c r="GN62" s="344"/>
      <c r="GO62" s="344"/>
      <c r="GP62" s="344"/>
      <c r="GQ62" s="344"/>
      <c r="GR62" s="344"/>
      <c r="GS62" s="344"/>
      <c r="GT62" s="344"/>
      <c r="GU62" s="344"/>
      <c r="GV62" s="344"/>
      <c r="GW62" s="344"/>
      <c r="GX62" s="344"/>
      <c r="GY62" s="344"/>
      <c r="GZ62" s="344"/>
      <c r="HA62" s="344"/>
      <c r="HB62" s="344"/>
      <c r="HC62" s="344"/>
      <c r="HD62" s="344"/>
      <c r="HE62" s="344"/>
      <c r="HF62" s="344"/>
      <c r="HG62" s="344"/>
      <c r="HH62" s="344"/>
      <c r="HI62" s="344"/>
      <c r="HJ62" s="344"/>
      <c r="HK62" s="344"/>
      <c r="HL62" s="344"/>
      <c r="HM62" s="344"/>
      <c r="HN62" s="344"/>
      <c r="HO62" s="344"/>
      <c r="HP62" s="344"/>
      <c r="HQ62" s="344"/>
      <c r="HR62" s="344"/>
      <c r="HS62" s="344"/>
      <c r="HT62" s="344"/>
      <c r="HU62" s="344"/>
      <c r="HV62" s="344"/>
      <c r="HW62" s="344"/>
      <c r="HX62" s="344"/>
      <c r="HY62" s="344"/>
      <c r="HZ62" s="344"/>
      <c r="IA62" s="344"/>
      <c r="IB62" s="344"/>
      <c r="IC62" s="344"/>
      <c r="ID62" s="344"/>
      <c r="IE62" s="344"/>
      <c r="IF62" s="344"/>
      <c r="IG62" s="344"/>
      <c r="IH62" s="344"/>
      <c r="II62" s="344"/>
      <c r="IJ62" s="344"/>
      <c r="IK62" s="344"/>
      <c r="IL62" s="344"/>
      <c r="IM62" s="344"/>
      <c r="IN62" s="344"/>
      <c r="IO62" s="344"/>
      <c r="IP62" s="344"/>
      <c r="IQ62" s="344"/>
      <c r="IR62" s="344"/>
      <c r="IS62" s="344"/>
      <c r="IT62" s="344"/>
      <c r="IU62" s="344"/>
      <c r="IV62" s="344"/>
      <c r="IW62" s="344"/>
    </row>
    <row r="63" customFormat="false" ht="15.95" hidden="false" customHeight="true" outlineLevel="0" collapsed="false">
      <c r="A63" s="355" t="n">
        <v>59</v>
      </c>
      <c r="B63" s="356"/>
      <c r="C63" s="356"/>
      <c r="D63" s="357"/>
      <c r="E63" s="356"/>
      <c r="F63" s="357"/>
      <c r="G63" s="357"/>
      <c r="H63" s="357"/>
      <c r="I63" s="357"/>
      <c r="J63" s="357"/>
      <c r="K63" s="359"/>
      <c r="L63" s="361"/>
      <c r="M63" s="361"/>
      <c r="N63" s="370"/>
      <c r="O63" s="352"/>
      <c r="P63" s="344"/>
      <c r="Q63" s="344"/>
      <c r="R63" s="344"/>
      <c r="S63" s="344"/>
      <c r="T63" s="344"/>
      <c r="U63" s="344"/>
      <c r="V63" s="344"/>
      <c r="W63" s="344"/>
      <c r="X63" s="344"/>
      <c r="Y63" s="344"/>
      <c r="Z63" s="344"/>
      <c r="AA63" s="344"/>
      <c r="AB63" s="344"/>
      <c r="AC63" s="344"/>
      <c r="AD63" s="344"/>
      <c r="AE63" s="344"/>
      <c r="AF63" s="344"/>
      <c r="AG63" s="344"/>
      <c r="AH63" s="344"/>
      <c r="AI63" s="344"/>
      <c r="AJ63" s="344"/>
      <c r="AK63" s="344"/>
      <c r="AL63" s="344"/>
      <c r="AM63" s="344"/>
      <c r="AN63" s="344"/>
      <c r="AO63" s="344"/>
      <c r="AP63" s="344"/>
      <c r="AQ63" s="344"/>
      <c r="AR63" s="344"/>
      <c r="AS63" s="344"/>
      <c r="AT63" s="344"/>
      <c r="AU63" s="344"/>
      <c r="AV63" s="344"/>
      <c r="AW63" s="344"/>
      <c r="AX63" s="344"/>
      <c r="AY63" s="344"/>
      <c r="AZ63" s="344"/>
      <c r="BA63" s="344"/>
      <c r="BB63" s="344"/>
      <c r="BC63" s="344"/>
      <c r="BD63" s="344"/>
      <c r="BE63" s="344"/>
      <c r="BF63" s="344"/>
      <c r="BG63" s="344"/>
      <c r="BH63" s="344"/>
      <c r="BI63" s="344"/>
      <c r="BJ63" s="344"/>
      <c r="BK63" s="344"/>
      <c r="BL63" s="344"/>
      <c r="BM63" s="344"/>
      <c r="BN63" s="344"/>
      <c r="BO63" s="344"/>
      <c r="BP63" s="344"/>
      <c r="BQ63" s="344"/>
      <c r="BR63" s="344"/>
      <c r="BS63" s="344"/>
      <c r="BT63" s="344"/>
      <c r="BU63" s="344"/>
      <c r="BV63" s="344"/>
      <c r="BW63" s="344"/>
      <c r="BX63" s="344"/>
      <c r="BY63" s="344"/>
      <c r="BZ63" s="344"/>
      <c r="CA63" s="344"/>
      <c r="CB63" s="344"/>
      <c r="CC63" s="344"/>
      <c r="CD63" s="344"/>
      <c r="CE63" s="344"/>
      <c r="CF63" s="344"/>
      <c r="CG63" s="344"/>
      <c r="CH63" s="344"/>
      <c r="CI63" s="344"/>
      <c r="CJ63" s="344"/>
      <c r="CK63" s="344"/>
      <c r="CL63" s="344"/>
      <c r="CM63" s="344"/>
      <c r="CN63" s="344"/>
      <c r="CO63" s="344"/>
      <c r="CP63" s="344"/>
      <c r="CQ63" s="344"/>
      <c r="CR63" s="344"/>
      <c r="CS63" s="344"/>
      <c r="CT63" s="344"/>
      <c r="CU63" s="344"/>
      <c r="CV63" s="344"/>
      <c r="CW63" s="344"/>
      <c r="CX63" s="344"/>
      <c r="CY63" s="344"/>
      <c r="CZ63" s="344"/>
      <c r="DA63" s="344"/>
      <c r="DB63" s="344"/>
      <c r="DC63" s="344"/>
      <c r="DD63" s="344"/>
      <c r="DE63" s="344"/>
      <c r="DF63" s="344"/>
      <c r="DG63" s="344"/>
      <c r="DH63" s="344"/>
      <c r="DI63" s="344"/>
      <c r="DJ63" s="344"/>
      <c r="DK63" s="344"/>
      <c r="DL63" s="344"/>
      <c r="DM63" s="344"/>
      <c r="DN63" s="344"/>
      <c r="DO63" s="344"/>
      <c r="DP63" s="344"/>
      <c r="DQ63" s="344"/>
      <c r="DR63" s="344"/>
      <c r="DS63" s="344"/>
      <c r="DT63" s="344"/>
      <c r="DU63" s="344"/>
      <c r="DV63" s="344"/>
      <c r="DW63" s="344"/>
      <c r="DX63" s="344"/>
      <c r="DY63" s="344"/>
      <c r="DZ63" s="344"/>
      <c r="EA63" s="344"/>
      <c r="EB63" s="344"/>
      <c r="EC63" s="344"/>
      <c r="ED63" s="344"/>
      <c r="EE63" s="344"/>
      <c r="EF63" s="344"/>
      <c r="EG63" s="344"/>
      <c r="EH63" s="344"/>
      <c r="EI63" s="344"/>
      <c r="EJ63" s="344"/>
      <c r="EK63" s="344"/>
      <c r="EL63" s="344"/>
      <c r="EM63" s="344"/>
      <c r="EN63" s="344"/>
      <c r="EO63" s="344"/>
      <c r="EP63" s="344"/>
      <c r="EQ63" s="344"/>
      <c r="ER63" s="344"/>
      <c r="ES63" s="344"/>
      <c r="ET63" s="344"/>
      <c r="EU63" s="344"/>
      <c r="EV63" s="344"/>
      <c r="EW63" s="344"/>
      <c r="EX63" s="344"/>
      <c r="EY63" s="344"/>
      <c r="EZ63" s="344"/>
      <c r="FA63" s="344"/>
      <c r="FB63" s="344"/>
      <c r="FC63" s="344"/>
      <c r="FD63" s="344"/>
      <c r="FE63" s="344"/>
      <c r="FF63" s="344"/>
      <c r="FG63" s="344"/>
      <c r="FH63" s="344"/>
      <c r="FI63" s="344"/>
      <c r="FJ63" s="344"/>
      <c r="FK63" s="344"/>
      <c r="FL63" s="344"/>
      <c r="FM63" s="344"/>
      <c r="FN63" s="344"/>
      <c r="FO63" s="344"/>
      <c r="FP63" s="344"/>
      <c r="FQ63" s="344"/>
      <c r="FR63" s="344"/>
      <c r="FS63" s="344"/>
      <c r="FT63" s="344"/>
      <c r="FU63" s="344"/>
      <c r="FV63" s="344"/>
      <c r="FW63" s="344"/>
      <c r="FX63" s="344"/>
      <c r="FY63" s="344"/>
      <c r="FZ63" s="344"/>
      <c r="GA63" s="344"/>
      <c r="GB63" s="344"/>
      <c r="GC63" s="344"/>
      <c r="GD63" s="344"/>
      <c r="GE63" s="344"/>
      <c r="GF63" s="344"/>
      <c r="GG63" s="344"/>
      <c r="GH63" s="344"/>
      <c r="GI63" s="344"/>
      <c r="GJ63" s="344"/>
      <c r="GK63" s="344"/>
      <c r="GL63" s="344"/>
      <c r="GM63" s="344"/>
      <c r="GN63" s="344"/>
      <c r="GO63" s="344"/>
      <c r="GP63" s="344"/>
      <c r="GQ63" s="344"/>
      <c r="GR63" s="344"/>
      <c r="GS63" s="344"/>
      <c r="GT63" s="344"/>
      <c r="GU63" s="344"/>
      <c r="GV63" s="344"/>
      <c r="GW63" s="344"/>
      <c r="GX63" s="344"/>
      <c r="GY63" s="344"/>
      <c r="GZ63" s="344"/>
      <c r="HA63" s="344"/>
      <c r="HB63" s="344"/>
      <c r="HC63" s="344"/>
      <c r="HD63" s="344"/>
      <c r="HE63" s="344"/>
      <c r="HF63" s="344"/>
      <c r="HG63" s="344"/>
      <c r="HH63" s="344"/>
      <c r="HI63" s="344"/>
      <c r="HJ63" s="344"/>
      <c r="HK63" s="344"/>
      <c r="HL63" s="344"/>
      <c r="HM63" s="344"/>
      <c r="HN63" s="344"/>
      <c r="HO63" s="344"/>
      <c r="HP63" s="344"/>
      <c r="HQ63" s="344"/>
      <c r="HR63" s="344"/>
      <c r="HS63" s="344"/>
      <c r="HT63" s="344"/>
      <c r="HU63" s="344"/>
      <c r="HV63" s="344"/>
      <c r="HW63" s="344"/>
      <c r="HX63" s="344"/>
      <c r="HY63" s="344"/>
      <c r="HZ63" s="344"/>
      <c r="IA63" s="344"/>
      <c r="IB63" s="344"/>
      <c r="IC63" s="344"/>
      <c r="ID63" s="344"/>
      <c r="IE63" s="344"/>
      <c r="IF63" s="344"/>
      <c r="IG63" s="344"/>
      <c r="IH63" s="344"/>
      <c r="II63" s="344"/>
      <c r="IJ63" s="344"/>
      <c r="IK63" s="344"/>
      <c r="IL63" s="344"/>
      <c r="IM63" s="344"/>
      <c r="IN63" s="344"/>
      <c r="IO63" s="344"/>
      <c r="IP63" s="344"/>
      <c r="IQ63" s="344"/>
      <c r="IR63" s="344"/>
      <c r="IS63" s="344"/>
      <c r="IT63" s="344"/>
      <c r="IU63" s="344"/>
      <c r="IV63" s="344"/>
      <c r="IW63" s="344"/>
    </row>
    <row r="64" customFormat="false" ht="15.95" hidden="false" customHeight="true" outlineLevel="0" collapsed="false">
      <c r="A64" s="372" t="n">
        <v>60</v>
      </c>
      <c r="B64" s="373"/>
      <c r="C64" s="373"/>
      <c r="D64" s="374"/>
      <c r="E64" s="373"/>
      <c r="F64" s="374"/>
      <c r="G64" s="374"/>
      <c r="H64" s="374"/>
      <c r="I64" s="374"/>
      <c r="J64" s="374"/>
      <c r="K64" s="374"/>
      <c r="L64" s="375"/>
      <c r="M64" s="375"/>
      <c r="N64" s="376"/>
      <c r="O64" s="352"/>
      <c r="P64" s="344"/>
      <c r="Q64" s="344"/>
      <c r="R64" s="344"/>
      <c r="S64" s="344"/>
      <c r="T64" s="344"/>
      <c r="U64" s="344"/>
      <c r="V64" s="344"/>
      <c r="W64" s="344"/>
      <c r="X64" s="344"/>
      <c r="Y64" s="344"/>
      <c r="Z64" s="344"/>
      <c r="AA64" s="344"/>
      <c r="AB64" s="344"/>
      <c r="AC64" s="344"/>
      <c r="AD64" s="344"/>
      <c r="AE64" s="344"/>
      <c r="AF64" s="344"/>
      <c r="AG64" s="344"/>
      <c r="AH64" s="344"/>
      <c r="AI64" s="344"/>
      <c r="AJ64" s="344"/>
      <c r="AK64" s="344"/>
      <c r="AL64" s="344"/>
      <c r="AM64" s="344"/>
      <c r="AN64" s="344"/>
      <c r="AO64" s="344"/>
      <c r="AP64" s="344"/>
      <c r="AQ64" s="344"/>
      <c r="AR64" s="344"/>
      <c r="AS64" s="344"/>
      <c r="AT64" s="344"/>
      <c r="AU64" s="344"/>
      <c r="AV64" s="344"/>
      <c r="AW64" s="344"/>
      <c r="AX64" s="344"/>
      <c r="AY64" s="344"/>
      <c r="AZ64" s="344"/>
      <c r="BA64" s="344"/>
      <c r="BB64" s="344"/>
      <c r="BC64" s="344"/>
      <c r="BD64" s="344"/>
      <c r="BE64" s="344"/>
      <c r="BF64" s="344"/>
      <c r="BG64" s="344"/>
      <c r="BH64" s="344"/>
      <c r="BI64" s="344"/>
      <c r="BJ64" s="344"/>
      <c r="BK64" s="344"/>
      <c r="BL64" s="344"/>
      <c r="BM64" s="344"/>
      <c r="BN64" s="344"/>
      <c r="BO64" s="344"/>
      <c r="BP64" s="344"/>
      <c r="BQ64" s="344"/>
      <c r="BR64" s="344"/>
      <c r="BS64" s="344"/>
      <c r="BT64" s="344"/>
      <c r="BU64" s="344"/>
      <c r="BV64" s="344"/>
      <c r="BW64" s="344"/>
      <c r="BX64" s="344"/>
      <c r="BY64" s="344"/>
      <c r="BZ64" s="344"/>
      <c r="CA64" s="344"/>
      <c r="CB64" s="344"/>
      <c r="CC64" s="344"/>
      <c r="CD64" s="344"/>
      <c r="CE64" s="344"/>
      <c r="CF64" s="344"/>
      <c r="CG64" s="344"/>
      <c r="CH64" s="344"/>
      <c r="CI64" s="344"/>
      <c r="CJ64" s="344"/>
      <c r="CK64" s="344"/>
      <c r="CL64" s="344"/>
      <c r="CM64" s="344"/>
      <c r="CN64" s="344"/>
      <c r="CO64" s="344"/>
      <c r="CP64" s="344"/>
      <c r="CQ64" s="344"/>
      <c r="CR64" s="344"/>
      <c r="CS64" s="344"/>
      <c r="CT64" s="344"/>
      <c r="CU64" s="344"/>
      <c r="CV64" s="344"/>
      <c r="CW64" s="344"/>
      <c r="CX64" s="344"/>
      <c r="CY64" s="344"/>
      <c r="CZ64" s="344"/>
      <c r="DA64" s="344"/>
      <c r="DB64" s="344"/>
      <c r="DC64" s="344"/>
      <c r="DD64" s="344"/>
      <c r="DE64" s="344"/>
      <c r="DF64" s="344"/>
      <c r="DG64" s="344"/>
      <c r="DH64" s="344"/>
      <c r="DI64" s="344"/>
      <c r="DJ64" s="344"/>
      <c r="DK64" s="344"/>
      <c r="DL64" s="344"/>
      <c r="DM64" s="344"/>
      <c r="DN64" s="344"/>
      <c r="DO64" s="344"/>
      <c r="DP64" s="344"/>
      <c r="DQ64" s="344"/>
      <c r="DR64" s="344"/>
      <c r="DS64" s="344"/>
      <c r="DT64" s="344"/>
      <c r="DU64" s="344"/>
      <c r="DV64" s="344"/>
      <c r="DW64" s="344"/>
      <c r="DX64" s="344"/>
      <c r="DY64" s="344"/>
      <c r="DZ64" s="344"/>
      <c r="EA64" s="344"/>
      <c r="EB64" s="344"/>
      <c r="EC64" s="344"/>
      <c r="ED64" s="344"/>
      <c r="EE64" s="344"/>
      <c r="EF64" s="344"/>
      <c r="EG64" s="344"/>
      <c r="EH64" s="344"/>
      <c r="EI64" s="344"/>
      <c r="EJ64" s="344"/>
      <c r="EK64" s="344"/>
      <c r="EL64" s="344"/>
      <c r="EM64" s="344"/>
      <c r="EN64" s="344"/>
      <c r="EO64" s="344"/>
      <c r="EP64" s="344"/>
      <c r="EQ64" s="344"/>
      <c r="ER64" s="344"/>
      <c r="ES64" s="344"/>
      <c r="ET64" s="344"/>
      <c r="EU64" s="344"/>
      <c r="EV64" s="344"/>
      <c r="EW64" s="344"/>
      <c r="EX64" s="344"/>
      <c r="EY64" s="344"/>
      <c r="EZ64" s="344"/>
      <c r="FA64" s="344"/>
      <c r="FB64" s="344"/>
      <c r="FC64" s="344"/>
      <c r="FD64" s="344"/>
      <c r="FE64" s="344"/>
      <c r="FF64" s="344"/>
      <c r="FG64" s="344"/>
      <c r="FH64" s="344"/>
      <c r="FI64" s="344"/>
      <c r="FJ64" s="344"/>
      <c r="FK64" s="344"/>
      <c r="FL64" s="344"/>
      <c r="FM64" s="344"/>
      <c r="FN64" s="344"/>
      <c r="FO64" s="344"/>
      <c r="FP64" s="344"/>
      <c r="FQ64" s="344"/>
      <c r="FR64" s="344"/>
      <c r="FS64" s="344"/>
      <c r="FT64" s="344"/>
      <c r="FU64" s="344"/>
      <c r="FV64" s="344"/>
      <c r="FW64" s="344"/>
      <c r="FX64" s="344"/>
      <c r="FY64" s="344"/>
      <c r="FZ64" s="344"/>
      <c r="GA64" s="344"/>
      <c r="GB64" s="344"/>
      <c r="GC64" s="344"/>
      <c r="GD64" s="344"/>
      <c r="GE64" s="344"/>
      <c r="GF64" s="344"/>
      <c r="GG64" s="344"/>
      <c r="GH64" s="344"/>
      <c r="GI64" s="344"/>
      <c r="GJ64" s="344"/>
      <c r="GK64" s="344"/>
      <c r="GL64" s="344"/>
      <c r="GM64" s="344"/>
      <c r="GN64" s="344"/>
      <c r="GO64" s="344"/>
      <c r="GP64" s="344"/>
      <c r="GQ64" s="344"/>
      <c r="GR64" s="344"/>
      <c r="GS64" s="344"/>
      <c r="GT64" s="344"/>
      <c r="GU64" s="344"/>
      <c r="GV64" s="344"/>
      <c r="GW64" s="344"/>
      <c r="GX64" s="344"/>
      <c r="GY64" s="344"/>
      <c r="GZ64" s="344"/>
      <c r="HA64" s="344"/>
      <c r="HB64" s="344"/>
      <c r="HC64" s="344"/>
      <c r="HD64" s="344"/>
      <c r="HE64" s="344"/>
      <c r="HF64" s="344"/>
      <c r="HG64" s="344"/>
      <c r="HH64" s="344"/>
      <c r="HI64" s="344"/>
      <c r="HJ64" s="344"/>
      <c r="HK64" s="344"/>
      <c r="HL64" s="344"/>
      <c r="HM64" s="344"/>
      <c r="HN64" s="344"/>
      <c r="HO64" s="344"/>
      <c r="HP64" s="344"/>
      <c r="HQ64" s="344"/>
      <c r="HR64" s="344"/>
      <c r="HS64" s="344"/>
      <c r="HT64" s="344"/>
      <c r="HU64" s="344"/>
      <c r="HV64" s="344"/>
      <c r="HW64" s="344"/>
      <c r="HX64" s="344"/>
      <c r="HY64" s="344"/>
      <c r="HZ64" s="344"/>
      <c r="IA64" s="344"/>
      <c r="IB64" s="344"/>
      <c r="IC64" s="344"/>
      <c r="ID64" s="344"/>
      <c r="IE64" s="344"/>
      <c r="IF64" s="344"/>
      <c r="IG64" s="344"/>
      <c r="IH64" s="344"/>
      <c r="II64" s="344"/>
      <c r="IJ64" s="344"/>
      <c r="IK64" s="344"/>
      <c r="IL64" s="344"/>
      <c r="IM64" s="344"/>
      <c r="IN64" s="344"/>
      <c r="IO64" s="344"/>
      <c r="IP64" s="344"/>
      <c r="IQ64" s="344"/>
      <c r="IR64" s="344"/>
      <c r="IS64" s="344"/>
      <c r="IT64" s="344"/>
      <c r="IU64" s="344"/>
      <c r="IV64" s="344"/>
      <c r="IW64" s="344"/>
    </row>
    <row r="65" customFormat="false" ht="30" hidden="false" customHeight="true" outlineLevel="0" collapsed="false">
      <c r="A65" s="377"/>
      <c r="B65" s="378"/>
      <c r="C65" s="378"/>
      <c r="D65" s="379"/>
      <c r="E65" s="378"/>
      <c r="F65" s="379"/>
      <c r="G65" s="379"/>
      <c r="H65" s="380"/>
      <c r="I65" s="381"/>
      <c r="J65" s="382"/>
      <c r="K65" s="379"/>
      <c r="L65" s="354"/>
      <c r="M65" s="354"/>
      <c r="N65" s="354"/>
      <c r="O65" s="352"/>
      <c r="P65" s="344"/>
      <c r="Q65" s="344"/>
      <c r="R65" s="344"/>
      <c r="S65" s="344"/>
      <c r="T65" s="344"/>
      <c r="U65" s="344"/>
      <c r="V65" s="344"/>
      <c r="W65" s="344"/>
      <c r="X65" s="344"/>
      <c r="Y65" s="344"/>
      <c r="Z65" s="344"/>
      <c r="AA65" s="344"/>
      <c r="AB65" s="344"/>
      <c r="AC65" s="344"/>
      <c r="AD65" s="344"/>
      <c r="AE65" s="344"/>
      <c r="AF65" s="344"/>
      <c r="AG65" s="344"/>
      <c r="AH65" s="344"/>
      <c r="AI65" s="344"/>
      <c r="AJ65" s="344"/>
      <c r="AK65" s="344"/>
      <c r="AL65" s="344"/>
      <c r="AM65" s="344"/>
      <c r="AN65" s="344"/>
      <c r="AO65" s="344"/>
      <c r="AP65" s="344"/>
      <c r="AQ65" s="344"/>
      <c r="AR65" s="344"/>
      <c r="AS65" s="344"/>
      <c r="AT65" s="344"/>
      <c r="AU65" s="344"/>
      <c r="AV65" s="344"/>
      <c r="AW65" s="344"/>
      <c r="AX65" s="344"/>
      <c r="AY65" s="344"/>
      <c r="AZ65" s="344"/>
      <c r="BA65" s="344"/>
      <c r="BB65" s="344"/>
      <c r="BC65" s="344"/>
      <c r="BD65" s="344"/>
      <c r="BE65" s="344"/>
      <c r="BF65" s="344"/>
      <c r="BG65" s="344"/>
      <c r="BH65" s="344"/>
      <c r="BI65" s="344"/>
      <c r="BJ65" s="344"/>
      <c r="BK65" s="344"/>
      <c r="BL65" s="344"/>
      <c r="BM65" s="344"/>
      <c r="BN65" s="344"/>
      <c r="BO65" s="344"/>
      <c r="BP65" s="344"/>
      <c r="BQ65" s="344"/>
      <c r="BR65" s="344"/>
      <c r="BS65" s="344"/>
      <c r="BT65" s="344"/>
      <c r="BU65" s="344"/>
      <c r="BV65" s="344"/>
      <c r="BW65" s="344"/>
      <c r="BX65" s="344"/>
      <c r="BY65" s="344"/>
      <c r="BZ65" s="344"/>
      <c r="CA65" s="344"/>
      <c r="CB65" s="344"/>
      <c r="CC65" s="344"/>
      <c r="CD65" s="344"/>
      <c r="CE65" s="344"/>
      <c r="CF65" s="344"/>
      <c r="CG65" s="344"/>
      <c r="CH65" s="344"/>
      <c r="CI65" s="344"/>
      <c r="CJ65" s="344"/>
      <c r="CK65" s="344"/>
      <c r="CL65" s="344"/>
      <c r="CM65" s="344"/>
      <c r="CN65" s="344"/>
      <c r="CO65" s="344"/>
      <c r="CP65" s="344"/>
      <c r="CQ65" s="344"/>
      <c r="CR65" s="344"/>
      <c r="CS65" s="344"/>
      <c r="CT65" s="344"/>
      <c r="CU65" s="344"/>
      <c r="CV65" s="344"/>
      <c r="CW65" s="344"/>
      <c r="CX65" s="344"/>
      <c r="CY65" s="344"/>
      <c r="CZ65" s="344"/>
      <c r="DA65" s="344"/>
      <c r="DB65" s="344"/>
      <c r="DC65" s="344"/>
      <c r="DD65" s="344"/>
      <c r="DE65" s="344"/>
      <c r="DF65" s="344"/>
      <c r="DG65" s="344"/>
      <c r="DH65" s="344"/>
      <c r="DI65" s="344"/>
      <c r="DJ65" s="344"/>
      <c r="DK65" s="344"/>
      <c r="DL65" s="344"/>
      <c r="DM65" s="344"/>
      <c r="DN65" s="344"/>
      <c r="DO65" s="344"/>
      <c r="DP65" s="344"/>
      <c r="DQ65" s="344"/>
      <c r="DR65" s="344"/>
      <c r="DS65" s="344"/>
      <c r="DT65" s="344"/>
      <c r="DU65" s="344"/>
      <c r="DV65" s="344"/>
      <c r="DW65" s="344"/>
      <c r="DX65" s="344"/>
      <c r="DY65" s="344"/>
      <c r="DZ65" s="344"/>
      <c r="EA65" s="344"/>
      <c r="EB65" s="344"/>
      <c r="EC65" s="344"/>
      <c r="ED65" s="344"/>
      <c r="EE65" s="344"/>
      <c r="EF65" s="344"/>
      <c r="EG65" s="344"/>
      <c r="EH65" s="344"/>
      <c r="EI65" s="344"/>
      <c r="EJ65" s="344"/>
      <c r="EK65" s="344"/>
      <c r="EL65" s="344"/>
      <c r="EM65" s="344"/>
      <c r="EN65" s="344"/>
      <c r="EO65" s="344"/>
      <c r="EP65" s="344"/>
      <c r="EQ65" s="344"/>
      <c r="ER65" s="344"/>
      <c r="ES65" s="344"/>
      <c r="ET65" s="344"/>
      <c r="EU65" s="344"/>
      <c r="EV65" s="344"/>
      <c r="EW65" s="344"/>
      <c r="EX65" s="344"/>
      <c r="EY65" s="344"/>
      <c r="EZ65" s="344"/>
      <c r="FA65" s="344"/>
      <c r="FB65" s="344"/>
      <c r="FC65" s="344"/>
      <c r="FD65" s="344"/>
      <c r="FE65" s="344"/>
      <c r="FF65" s="344"/>
      <c r="FG65" s="344"/>
      <c r="FH65" s="344"/>
      <c r="FI65" s="344"/>
      <c r="FJ65" s="344"/>
      <c r="FK65" s="344"/>
      <c r="FL65" s="344"/>
      <c r="FM65" s="344"/>
      <c r="FN65" s="344"/>
      <c r="FO65" s="344"/>
      <c r="FP65" s="344"/>
      <c r="FQ65" s="344"/>
      <c r="FR65" s="344"/>
      <c r="FS65" s="344"/>
      <c r="FT65" s="344"/>
      <c r="FU65" s="344"/>
      <c r="FV65" s="344"/>
      <c r="FW65" s="344"/>
      <c r="FX65" s="344"/>
      <c r="FY65" s="344"/>
      <c r="FZ65" s="344"/>
      <c r="GA65" s="344"/>
      <c r="GB65" s="344"/>
      <c r="GC65" s="344"/>
      <c r="GD65" s="344"/>
      <c r="GE65" s="344"/>
      <c r="GF65" s="344"/>
      <c r="GG65" s="344"/>
      <c r="GH65" s="344"/>
      <c r="GI65" s="344"/>
      <c r="GJ65" s="344"/>
      <c r="GK65" s="344"/>
      <c r="GL65" s="344"/>
      <c r="GM65" s="344"/>
      <c r="GN65" s="344"/>
      <c r="GO65" s="344"/>
      <c r="GP65" s="344"/>
      <c r="GQ65" s="344"/>
      <c r="GR65" s="344"/>
      <c r="GS65" s="344"/>
      <c r="GT65" s="344"/>
      <c r="GU65" s="344"/>
      <c r="GV65" s="344"/>
      <c r="GW65" s="344"/>
      <c r="GX65" s="344"/>
      <c r="GY65" s="344"/>
      <c r="GZ65" s="344"/>
      <c r="HA65" s="344"/>
      <c r="HB65" s="344"/>
      <c r="HC65" s="344"/>
      <c r="HD65" s="344"/>
      <c r="HE65" s="344"/>
      <c r="HF65" s="344"/>
      <c r="HG65" s="344"/>
      <c r="HH65" s="344"/>
      <c r="HI65" s="344"/>
      <c r="HJ65" s="344"/>
      <c r="HK65" s="344"/>
      <c r="HL65" s="344"/>
      <c r="HM65" s="344"/>
      <c r="HN65" s="344"/>
      <c r="HO65" s="344"/>
      <c r="HP65" s="344"/>
      <c r="HQ65" s="344"/>
      <c r="HR65" s="344"/>
      <c r="HS65" s="344"/>
      <c r="HT65" s="344"/>
      <c r="HU65" s="344"/>
      <c r="HV65" s="344"/>
      <c r="HW65" s="344"/>
      <c r="HX65" s="344"/>
      <c r="HY65" s="344"/>
      <c r="HZ65" s="344"/>
      <c r="IA65" s="344"/>
      <c r="IB65" s="344"/>
      <c r="IC65" s="344"/>
      <c r="ID65" s="344"/>
      <c r="IE65" s="344"/>
      <c r="IF65" s="344"/>
      <c r="IG65" s="344"/>
      <c r="IH65" s="344"/>
      <c r="II65" s="344"/>
      <c r="IJ65" s="344"/>
      <c r="IK65" s="344"/>
      <c r="IL65" s="344"/>
      <c r="IM65" s="344"/>
      <c r="IN65" s="344"/>
      <c r="IO65" s="344"/>
      <c r="IP65" s="344"/>
      <c r="IQ65" s="344"/>
      <c r="IR65" s="344"/>
      <c r="IS65" s="344"/>
      <c r="IT65" s="344"/>
      <c r="IU65" s="344"/>
      <c r="IV65" s="344"/>
      <c r="IW65" s="344"/>
    </row>
    <row r="66" customFormat="false" ht="12.75" hidden="false" customHeight="true" outlineLevel="0" collapsed="false">
      <c r="A66" s="383"/>
      <c r="B66" s="384"/>
      <c r="C66" s="384"/>
      <c r="D66" s="384"/>
      <c r="E66" s="384"/>
      <c r="F66" s="383"/>
      <c r="G66" s="385" t="s">
        <v>150</v>
      </c>
      <c r="H66" s="386" t="n">
        <f aca="false">SUM(H5:H64)</f>
        <v>0</v>
      </c>
      <c r="I66" s="387" t="n">
        <f aca="false">SUM(I5:I64)</f>
        <v>0</v>
      </c>
      <c r="J66" s="388" t="n">
        <f aca="false">SUM(J5:J64)</f>
        <v>0</v>
      </c>
      <c r="K66" s="389" t="s">
        <v>151</v>
      </c>
      <c r="L66" s="390" t="n">
        <f aca="false">SUM(L5:L64)</f>
        <v>0</v>
      </c>
      <c r="M66" s="390" t="n">
        <f aca="false">SUM(M5:M64)</f>
        <v>0</v>
      </c>
      <c r="N66" s="391"/>
      <c r="O66" s="392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  <c r="AA66" s="393"/>
      <c r="AB66" s="393"/>
      <c r="AC66" s="393"/>
      <c r="AD66" s="393"/>
      <c r="AE66" s="393"/>
      <c r="AF66" s="393"/>
      <c r="AG66" s="393"/>
      <c r="AH66" s="393"/>
      <c r="AI66" s="393"/>
      <c r="AJ66" s="393"/>
      <c r="AK66" s="393"/>
      <c r="AL66" s="393"/>
      <c r="AM66" s="393"/>
      <c r="AN66" s="393"/>
      <c r="AO66" s="393"/>
      <c r="AP66" s="393"/>
      <c r="AQ66" s="393"/>
      <c r="AR66" s="393"/>
      <c r="AS66" s="393"/>
      <c r="AT66" s="393"/>
      <c r="AU66" s="393"/>
      <c r="AV66" s="393"/>
      <c r="AW66" s="393"/>
      <c r="AX66" s="393"/>
      <c r="AY66" s="393"/>
      <c r="AZ66" s="393"/>
      <c r="BA66" s="393"/>
      <c r="BB66" s="393"/>
      <c r="BC66" s="393"/>
      <c r="BD66" s="393"/>
      <c r="BE66" s="393"/>
      <c r="BF66" s="393"/>
      <c r="BG66" s="393"/>
      <c r="BH66" s="393"/>
      <c r="BI66" s="393"/>
      <c r="BJ66" s="393"/>
      <c r="BK66" s="393"/>
      <c r="BL66" s="393"/>
      <c r="BM66" s="393"/>
      <c r="BN66" s="393"/>
      <c r="BO66" s="393"/>
      <c r="BP66" s="393"/>
      <c r="BQ66" s="393"/>
      <c r="BR66" s="393"/>
      <c r="BS66" s="393"/>
      <c r="BT66" s="393"/>
      <c r="BU66" s="393"/>
      <c r="BV66" s="393"/>
      <c r="BW66" s="393"/>
      <c r="BX66" s="393"/>
      <c r="BY66" s="393"/>
      <c r="BZ66" s="393"/>
      <c r="CA66" s="393"/>
      <c r="CB66" s="393"/>
      <c r="CC66" s="393"/>
      <c r="CD66" s="393"/>
      <c r="CE66" s="393"/>
      <c r="CF66" s="393"/>
      <c r="CG66" s="393"/>
      <c r="CH66" s="393"/>
      <c r="CI66" s="393"/>
      <c r="CJ66" s="393"/>
      <c r="CK66" s="393"/>
      <c r="CL66" s="393"/>
      <c r="CM66" s="393"/>
      <c r="CN66" s="393"/>
      <c r="CO66" s="393"/>
      <c r="CP66" s="393"/>
      <c r="CQ66" s="393"/>
      <c r="CR66" s="393"/>
      <c r="CS66" s="393"/>
      <c r="CT66" s="393"/>
      <c r="CU66" s="393"/>
      <c r="CV66" s="393"/>
      <c r="CW66" s="393"/>
      <c r="CX66" s="393"/>
      <c r="CY66" s="393"/>
      <c r="CZ66" s="393"/>
      <c r="DA66" s="393"/>
      <c r="DB66" s="393"/>
      <c r="DC66" s="393"/>
      <c r="DD66" s="393"/>
      <c r="DE66" s="393"/>
      <c r="DF66" s="393"/>
      <c r="DG66" s="393"/>
      <c r="DH66" s="393"/>
      <c r="DI66" s="393"/>
      <c r="DJ66" s="393"/>
      <c r="DK66" s="393"/>
      <c r="DL66" s="393"/>
      <c r="DM66" s="393"/>
      <c r="DN66" s="393"/>
      <c r="DO66" s="393"/>
      <c r="DP66" s="393"/>
      <c r="DQ66" s="393"/>
      <c r="DR66" s="393"/>
      <c r="DS66" s="393"/>
      <c r="DT66" s="393"/>
      <c r="DU66" s="393"/>
      <c r="DV66" s="393"/>
      <c r="DW66" s="393"/>
      <c r="DX66" s="393"/>
      <c r="DY66" s="393"/>
      <c r="DZ66" s="393"/>
      <c r="EA66" s="393"/>
      <c r="EB66" s="393"/>
      <c r="EC66" s="393"/>
      <c r="ED66" s="393"/>
      <c r="EE66" s="393"/>
      <c r="EF66" s="393"/>
      <c r="EG66" s="393"/>
      <c r="EH66" s="393"/>
      <c r="EI66" s="393"/>
      <c r="EJ66" s="393"/>
      <c r="EK66" s="393"/>
      <c r="EL66" s="393"/>
      <c r="EM66" s="393"/>
      <c r="EN66" s="393"/>
      <c r="EO66" s="393"/>
      <c r="EP66" s="393"/>
      <c r="EQ66" s="393"/>
      <c r="ER66" s="393"/>
      <c r="ES66" s="393"/>
      <c r="ET66" s="393"/>
      <c r="EU66" s="393"/>
      <c r="EV66" s="393"/>
      <c r="EW66" s="393"/>
      <c r="EX66" s="393"/>
      <c r="EY66" s="393"/>
      <c r="EZ66" s="393"/>
      <c r="FA66" s="393"/>
      <c r="FB66" s="393"/>
      <c r="FC66" s="393"/>
      <c r="FD66" s="393"/>
      <c r="FE66" s="393"/>
      <c r="FF66" s="393"/>
      <c r="FG66" s="393"/>
      <c r="FH66" s="393"/>
      <c r="FI66" s="393"/>
      <c r="FJ66" s="393"/>
      <c r="FK66" s="393"/>
      <c r="FL66" s="393"/>
      <c r="FM66" s="393"/>
      <c r="FN66" s="393"/>
      <c r="FO66" s="393"/>
      <c r="FP66" s="393"/>
      <c r="FQ66" s="393"/>
      <c r="FR66" s="393"/>
      <c r="FS66" s="393"/>
      <c r="FT66" s="393"/>
      <c r="FU66" s="393"/>
      <c r="FV66" s="393"/>
      <c r="FW66" s="393"/>
      <c r="FX66" s="393"/>
      <c r="FY66" s="393"/>
      <c r="FZ66" s="393"/>
      <c r="GA66" s="393"/>
      <c r="GB66" s="393"/>
      <c r="GC66" s="393"/>
      <c r="GD66" s="393"/>
      <c r="GE66" s="393"/>
      <c r="GF66" s="393"/>
      <c r="GG66" s="393"/>
      <c r="GH66" s="393"/>
      <c r="GI66" s="393"/>
      <c r="GJ66" s="393"/>
      <c r="GK66" s="393"/>
      <c r="GL66" s="393"/>
      <c r="GM66" s="393"/>
      <c r="GN66" s="393"/>
      <c r="GO66" s="393"/>
      <c r="GP66" s="393"/>
      <c r="GQ66" s="393"/>
      <c r="GR66" s="393"/>
      <c r="GS66" s="393"/>
      <c r="GT66" s="393"/>
      <c r="GU66" s="393"/>
      <c r="GV66" s="393"/>
      <c r="GW66" s="393"/>
      <c r="GX66" s="393"/>
      <c r="GY66" s="393"/>
      <c r="GZ66" s="393"/>
      <c r="HA66" s="393"/>
      <c r="HB66" s="393"/>
      <c r="HC66" s="393"/>
      <c r="HD66" s="393"/>
      <c r="HE66" s="393"/>
      <c r="HF66" s="393"/>
      <c r="HG66" s="393"/>
      <c r="HH66" s="393"/>
      <c r="HI66" s="393"/>
      <c r="HJ66" s="393"/>
      <c r="HK66" s="393"/>
      <c r="HL66" s="393"/>
      <c r="HM66" s="393"/>
      <c r="HN66" s="393"/>
      <c r="HO66" s="393"/>
      <c r="HP66" s="393"/>
      <c r="HQ66" s="393"/>
      <c r="HR66" s="393"/>
      <c r="HS66" s="393"/>
      <c r="HT66" s="393"/>
      <c r="HU66" s="393"/>
      <c r="HV66" s="393"/>
      <c r="HW66" s="393"/>
      <c r="HX66" s="393"/>
      <c r="HY66" s="393"/>
      <c r="HZ66" s="393"/>
      <c r="IA66" s="393"/>
      <c r="IB66" s="393"/>
      <c r="IC66" s="393"/>
      <c r="ID66" s="393"/>
      <c r="IE66" s="393"/>
      <c r="IF66" s="393"/>
      <c r="IG66" s="393"/>
      <c r="IH66" s="393"/>
      <c r="II66" s="393"/>
      <c r="IJ66" s="393"/>
      <c r="IK66" s="393"/>
      <c r="IL66" s="393"/>
      <c r="IM66" s="393"/>
      <c r="IN66" s="393"/>
      <c r="IO66" s="393"/>
      <c r="IP66" s="393"/>
      <c r="IQ66" s="393"/>
      <c r="IR66" s="393"/>
      <c r="IS66" s="393"/>
      <c r="IT66" s="393"/>
      <c r="IU66" s="393"/>
      <c r="IV66" s="393"/>
      <c r="IW66" s="393"/>
    </row>
    <row r="67" customFormat="false" ht="12.75" hidden="false" customHeight="true" outlineLevel="0" collapsed="false">
      <c r="H67" s="394" t="n">
        <f aca="false">SUM(H66:J66)</f>
        <v>0</v>
      </c>
      <c r="I67" s="394"/>
      <c r="J67" s="394"/>
    </row>
  </sheetData>
  <mergeCells count="3">
    <mergeCell ref="A1:N1"/>
    <mergeCell ref="H4:J4"/>
    <mergeCell ref="H67:J67"/>
  </mergeCells>
  <conditionalFormatting sqref="C2">
    <cfRule type="cellIs" priority="2" operator="equal" aboveAverage="0" equalAverage="0" bottom="0" percent="0" rank="0" text="" dxfId="5">
      <formula>0</formula>
    </cfRule>
  </conditionalFormatting>
  <conditionalFormatting sqref="I5:J64 H6:H64">
    <cfRule type="cellIs" priority="3" operator="equal" aboveAverage="0" equalAverage="0" bottom="0" percent="0" rank="0" text="" dxfId="6">
      <formula>"0"</formula>
    </cfRule>
  </conditionalFormatting>
  <conditionalFormatting sqref="H5">
    <cfRule type="expression" priority="4" aboveAverage="0" equalAverage="0" bottom="0" percent="0" rank="0" text="" dxfId="7">
      <formula>"0"</formula>
    </cfRule>
  </conditionalFormatting>
  <conditionalFormatting sqref="H6:H29">
    <cfRule type="cellIs" priority="5" operator="equal" aboveAverage="0" equalAverage="0" bottom="0" percent="0" rank="0" text="" dxfId="8">
      <formula>"0"</formula>
    </cfRule>
  </conditionalFormatting>
  <conditionalFormatting sqref="H5:H29">
    <cfRule type="expression" priority="6" aboveAverage="0" equalAverage="0" bottom="0" percent="0" rank="0" text="" dxfId="9">
      <formula>"0"</formula>
    </cfRule>
  </conditionalFormatting>
  <conditionalFormatting sqref="H12:H13">
    <cfRule type="cellIs" priority="7" operator="equal" aboveAverage="0" equalAverage="0" bottom="0" percent="0" rank="0" text="" dxfId="10">
      <formula>"0"</formula>
    </cfRule>
  </conditionalFormatting>
  <printOptions headings="false" gridLines="false" gridLinesSet="true" horizontalCentered="false" verticalCentered="false"/>
  <pageMargins left="0.7875" right="0.7875" top="0.740277777777778" bottom="0.759722222222222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&amp;R&amp;F -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C0C0"/>
    <pageSetUpPr fitToPage="false"/>
  </sheetPr>
  <dimension ref="A1:M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8" activeCellId="0" sqref="D58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3.85"/>
    <col collapsed="false" customWidth="true" hidden="false" outlineLevel="0" max="2" min="2" style="0" width="12.42"/>
    <col collapsed="false" customWidth="true" hidden="false" outlineLevel="0" max="3" min="3" style="0" width="5.41"/>
    <col collapsed="false" customWidth="true" hidden="false" outlineLevel="0" max="4" min="4" style="0" width="21.42"/>
    <col collapsed="false" customWidth="true" hidden="false" outlineLevel="0" max="5" min="5" style="0" width="20.85"/>
    <col collapsed="false" customWidth="true" hidden="false" outlineLevel="0" max="6" min="6" style="0" width="19.85"/>
  </cols>
  <sheetData>
    <row r="1" customFormat="false" ht="23.25" hidden="false" customHeight="false" outlineLevel="0" collapsed="false">
      <c r="A1" s="395" t="s">
        <v>152</v>
      </c>
      <c r="B1" s="395"/>
      <c r="C1" s="395"/>
      <c r="D1" s="395"/>
      <c r="E1" s="395"/>
      <c r="F1" s="395"/>
      <c r="H1" s="396"/>
      <c r="M1" s="0" t="s">
        <v>153</v>
      </c>
    </row>
    <row r="2" customFormat="false" ht="17.25" hidden="false" customHeight="true" outlineLevel="0" collapsed="false">
      <c r="A2" s="397"/>
      <c r="B2" s="397"/>
      <c r="C2" s="397"/>
      <c r="D2" s="397"/>
      <c r="E2" s="398" t="n">
        <f aca="false">'Přehled akce'!D4</f>
        <v>0</v>
      </c>
      <c r="F2" s="398"/>
      <c r="M2" s="0" t="s">
        <v>154</v>
      </c>
    </row>
    <row r="3" customFormat="false" ht="9" hidden="false" customHeight="true" outlineLevel="0" collapsed="false">
      <c r="A3" s="399"/>
      <c r="B3" s="400"/>
      <c r="C3" s="400"/>
      <c r="D3" s="400"/>
      <c r="E3" s="400"/>
      <c r="F3" s="401"/>
      <c r="H3" s="396"/>
      <c r="M3" s="0" t="s">
        <v>155</v>
      </c>
    </row>
    <row r="4" customFormat="false" ht="12.75" hidden="false" customHeight="true" outlineLevel="0" collapsed="false">
      <c r="A4" s="402"/>
      <c r="B4" s="403" t="s">
        <v>156</v>
      </c>
      <c r="C4" s="404"/>
      <c r="D4" s="405"/>
      <c r="E4" s="406" t="n">
        <f aca="false">'Přehled akce'!D58</f>
        <v>0</v>
      </c>
      <c r="F4" s="407"/>
      <c r="H4" s="396"/>
      <c r="M4" s="0" t="s">
        <v>157</v>
      </c>
    </row>
    <row r="5" customFormat="false" ht="9" hidden="false" customHeight="true" outlineLevel="0" collapsed="false">
      <c r="A5" s="402"/>
      <c r="B5" s="408"/>
      <c r="C5" s="405"/>
      <c r="D5" s="405"/>
      <c r="E5" s="405"/>
      <c r="F5" s="407"/>
    </row>
    <row r="6" customFormat="false" ht="15" hidden="false" customHeight="false" outlineLevel="0" collapsed="false">
      <c r="A6" s="402"/>
      <c r="B6" s="409" t="s">
        <v>158</v>
      </c>
      <c r="C6" s="410"/>
      <c r="D6" s="409"/>
      <c r="E6" s="409"/>
      <c r="F6" s="411"/>
    </row>
    <row r="7" customFormat="false" ht="15" hidden="false" customHeight="false" outlineLevel="0" collapsed="false">
      <c r="A7" s="402"/>
      <c r="B7" s="409" t="s">
        <v>159</v>
      </c>
      <c r="C7" s="410"/>
      <c r="D7" s="409"/>
      <c r="E7" s="409"/>
      <c r="F7" s="411"/>
    </row>
    <row r="8" customFormat="false" ht="9" hidden="false" customHeight="true" outlineLevel="0" collapsed="false">
      <c r="A8" s="402"/>
      <c r="B8" s="409"/>
      <c r="C8" s="409"/>
      <c r="D8" s="409"/>
      <c r="E8" s="409"/>
      <c r="F8" s="411"/>
    </row>
    <row r="9" customFormat="false" ht="15" hidden="false" customHeight="false" outlineLevel="0" collapsed="false">
      <c r="A9" s="402"/>
      <c r="B9" s="409" t="s">
        <v>160</v>
      </c>
      <c r="C9" s="410"/>
      <c r="D9" s="412" t="n">
        <f aca="false">'Přehled akce'!H37</f>
        <v>0</v>
      </c>
      <c r="E9" s="410"/>
      <c r="F9" s="413"/>
    </row>
    <row r="10" customFormat="false" ht="15" hidden="false" customHeight="false" outlineLevel="0" collapsed="false">
      <c r="A10" s="402"/>
      <c r="B10" s="409" t="s">
        <v>161</v>
      </c>
      <c r="C10" s="410"/>
      <c r="D10" s="414" t="n">
        <f aca="false">'Přehled akce'!D6</f>
        <v>0</v>
      </c>
      <c r="E10" s="414"/>
      <c r="F10" s="415" t="s">
        <v>162</v>
      </c>
      <c r="H10" s="396"/>
    </row>
    <row r="11" customFormat="false" ht="19.5" hidden="false" customHeight="false" outlineLevel="0" collapsed="false">
      <c r="A11" s="402"/>
      <c r="B11" s="409" t="s">
        <v>163</v>
      </c>
      <c r="C11" s="410"/>
      <c r="D11" s="416" t="s">
        <v>164</v>
      </c>
      <c r="E11" s="417"/>
      <c r="F11" s="418" t="n">
        <f aca="false">'Přehled akce'!D4</f>
        <v>0</v>
      </c>
    </row>
    <row r="12" customFormat="false" ht="14.25" hidden="false" customHeight="false" outlineLevel="0" collapsed="false">
      <c r="A12" s="402"/>
      <c r="B12" s="409"/>
      <c r="C12" s="409"/>
      <c r="D12" s="419" t="s">
        <v>165</v>
      </c>
      <c r="E12" s="409"/>
      <c r="F12" s="411"/>
    </row>
    <row r="13" customFormat="false" ht="9" hidden="false" customHeight="true" outlineLevel="0" collapsed="false">
      <c r="A13" s="402"/>
      <c r="B13" s="409"/>
      <c r="C13" s="409"/>
      <c r="D13" s="419"/>
      <c r="E13" s="409"/>
      <c r="F13" s="411"/>
    </row>
    <row r="14" customFormat="false" ht="15" hidden="false" customHeight="false" outlineLevel="0" collapsed="false">
      <c r="A14" s="402"/>
      <c r="B14" s="410" t="s">
        <v>166</v>
      </c>
      <c r="C14" s="410"/>
      <c r="D14" s="420" t="n">
        <f aca="false">'Přehled akce'!D7</f>
        <v>0</v>
      </c>
      <c r="E14" s="421" t="s">
        <v>167</v>
      </c>
      <c r="F14" s="411"/>
    </row>
    <row r="15" customFormat="false" ht="15" hidden="false" customHeight="false" outlineLevel="0" collapsed="false">
      <c r="A15" s="402"/>
      <c r="B15" s="410" t="s">
        <v>168</v>
      </c>
      <c r="C15" s="410"/>
      <c r="D15" s="420" t="n">
        <f aca="false">'Přehled akce'!D6</f>
        <v>0</v>
      </c>
      <c r="E15" s="421" t="s">
        <v>167</v>
      </c>
      <c r="F15" s="411"/>
    </row>
    <row r="16" customFormat="false" ht="9" hidden="false" customHeight="true" outlineLevel="0" collapsed="false">
      <c r="A16" s="422"/>
      <c r="B16" s="423"/>
      <c r="C16" s="423"/>
      <c r="D16" s="423"/>
      <c r="E16" s="423"/>
      <c r="F16" s="424"/>
    </row>
    <row r="17" customFormat="false" ht="6.95" hidden="false" customHeight="true" outlineLevel="0" collapsed="false"/>
    <row r="18" customFormat="false" ht="9" hidden="false" customHeight="true" outlineLevel="0" collapsed="false">
      <c r="A18" s="399"/>
      <c r="B18" s="400"/>
      <c r="C18" s="400"/>
      <c r="D18" s="400"/>
      <c r="E18" s="400"/>
      <c r="F18" s="401"/>
    </row>
    <row r="19" customFormat="false" ht="12.75" hidden="false" customHeight="true" outlineLevel="0" collapsed="false">
      <c r="A19" s="402"/>
      <c r="B19" s="403" t="s">
        <v>169</v>
      </c>
      <c r="C19" s="404"/>
      <c r="D19" s="405"/>
      <c r="E19" s="406" t="n">
        <f aca="false">'Přehled akce'!D58</f>
        <v>0</v>
      </c>
      <c r="F19" s="407"/>
    </row>
    <row r="20" customFormat="false" ht="9" hidden="false" customHeight="true" outlineLevel="0" collapsed="false">
      <c r="A20" s="402"/>
      <c r="B20" s="405"/>
      <c r="C20" s="405"/>
      <c r="D20" s="405"/>
      <c r="E20" s="405"/>
      <c r="F20" s="407"/>
    </row>
    <row r="21" customFormat="false" ht="15" hidden="false" customHeight="false" outlineLevel="0" collapsed="false">
      <c r="A21" s="402"/>
      <c r="B21" s="409" t="s">
        <v>158</v>
      </c>
      <c r="C21" s="410"/>
      <c r="D21" s="409"/>
      <c r="E21" s="409"/>
      <c r="F21" s="411"/>
    </row>
    <row r="22" customFormat="false" ht="15" hidden="false" customHeight="false" outlineLevel="0" collapsed="false">
      <c r="A22" s="402"/>
      <c r="B22" s="409" t="s">
        <v>159</v>
      </c>
      <c r="C22" s="410"/>
      <c r="D22" s="409"/>
      <c r="E22" s="409"/>
      <c r="F22" s="411"/>
    </row>
    <row r="23" customFormat="false" ht="9" hidden="false" customHeight="true" outlineLevel="0" collapsed="false">
      <c r="A23" s="402"/>
      <c r="B23" s="409"/>
      <c r="C23" s="409"/>
      <c r="D23" s="409"/>
      <c r="E23" s="409"/>
      <c r="F23" s="411"/>
    </row>
    <row r="24" customFormat="false" ht="15" hidden="false" customHeight="false" outlineLevel="0" collapsed="false">
      <c r="A24" s="402"/>
      <c r="B24" s="409" t="s">
        <v>160</v>
      </c>
      <c r="C24" s="405"/>
      <c r="D24" s="412" t="n">
        <f aca="false">'Přehled akce'!H44</f>
        <v>0</v>
      </c>
      <c r="E24" s="405"/>
      <c r="F24" s="411"/>
    </row>
    <row r="25" customFormat="false" ht="14.25" hidden="false" customHeight="false" outlineLevel="0" collapsed="false">
      <c r="A25" s="402"/>
      <c r="B25" s="409" t="s">
        <v>170</v>
      </c>
      <c r="C25" s="405"/>
      <c r="D25" s="409" t="s">
        <v>122</v>
      </c>
      <c r="E25" s="405"/>
      <c r="F25" s="411"/>
    </row>
    <row r="26" customFormat="false" ht="19.5" hidden="false" customHeight="false" outlineLevel="0" collapsed="false">
      <c r="A26" s="402"/>
      <c r="B26" s="409" t="s">
        <v>163</v>
      </c>
      <c r="C26" s="405"/>
      <c r="D26" s="404" t="s">
        <v>120</v>
      </c>
      <c r="E26" s="405"/>
      <c r="F26" s="418" t="n">
        <f aca="false">'Přehled akce'!D4</f>
        <v>0</v>
      </c>
    </row>
    <row r="27" customFormat="false" ht="14.25" hidden="false" customHeight="false" outlineLevel="0" collapsed="false">
      <c r="A27" s="402"/>
      <c r="B27" s="409"/>
      <c r="C27" s="405"/>
      <c r="D27" s="425" t="s">
        <v>171</v>
      </c>
      <c r="E27" s="405"/>
      <c r="F27" s="411"/>
    </row>
    <row r="28" customFormat="false" ht="9" hidden="false" customHeight="true" outlineLevel="0" collapsed="false">
      <c r="A28" s="402"/>
      <c r="B28" s="409"/>
      <c r="C28" s="409"/>
      <c r="D28" s="409"/>
      <c r="E28" s="409"/>
      <c r="F28" s="411"/>
    </row>
    <row r="29" customFormat="false" ht="15" hidden="false" customHeight="false" outlineLevel="0" collapsed="false">
      <c r="A29" s="402"/>
      <c r="B29" s="410" t="s">
        <v>168</v>
      </c>
      <c r="C29" s="410"/>
      <c r="D29" s="420" t="n">
        <f aca="false">'Přehled akce'!D7</f>
        <v>0</v>
      </c>
      <c r="E29" s="409" t="s">
        <v>167</v>
      </c>
      <c r="F29" s="411"/>
    </row>
    <row r="30" customFormat="false" ht="9" hidden="false" customHeight="true" outlineLevel="0" collapsed="false">
      <c r="A30" s="422"/>
      <c r="B30" s="423"/>
      <c r="C30" s="423"/>
      <c r="D30" s="423"/>
      <c r="E30" s="423"/>
      <c r="F30" s="424"/>
    </row>
    <row r="31" customFormat="false" ht="6.95" hidden="false" customHeight="true" outlineLevel="0" collapsed="false"/>
    <row r="32" customFormat="false" ht="9" hidden="false" customHeight="true" outlineLevel="0" collapsed="false">
      <c r="A32" s="399"/>
      <c r="B32" s="400"/>
      <c r="C32" s="400"/>
      <c r="D32" s="400"/>
      <c r="E32" s="400"/>
      <c r="F32" s="401"/>
    </row>
    <row r="33" customFormat="false" ht="12.75" hidden="false" customHeight="true" outlineLevel="0" collapsed="false">
      <c r="A33" s="402"/>
      <c r="B33" s="403" t="s">
        <v>169</v>
      </c>
      <c r="C33" s="404"/>
      <c r="D33" s="405"/>
      <c r="E33" s="406" t="n">
        <f aca="false">'Přehled akce'!D58</f>
        <v>0</v>
      </c>
      <c r="F33" s="407"/>
    </row>
    <row r="34" customFormat="false" ht="9" hidden="false" customHeight="true" outlineLevel="0" collapsed="false">
      <c r="A34" s="402"/>
      <c r="B34" s="405"/>
      <c r="C34" s="405"/>
      <c r="D34" s="405"/>
      <c r="E34" s="405"/>
      <c r="F34" s="407"/>
    </row>
    <row r="35" customFormat="false" ht="15" hidden="false" customHeight="false" outlineLevel="0" collapsed="false">
      <c r="A35" s="402"/>
      <c r="B35" s="409" t="s">
        <v>158</v>
      </c>
      <c r="C35" s="410"/>
      <c r="D35" s="409"/>
      <c r="E35" s="409"/>
      <c r="F35" s="411"/>
    </row>
    <row r="36" customFormat="false" ht="15" hidden="false" customHeight="false" outlineLevel="0" collapsed="false">
      <c r="A36" s="402"/>
      <c r="B36" s="409" t="s">
        <v>159</v>
      </c>
      <c r="C36" s="410"/>
      <c r="D36" s="409"/>
      <c r="E36" s="409"/>
      <c r="F36" s="411"/>
    </row>
    <row r="37" customFormat="false" ht="9" hidden="false" customHeight="true" outlineLevel="0" collapsed="false">
      <c r="A37" s="402"/>
      <c r="B37" s="409"/>
      <c r="C37" s="409"/>
      <c r="D37" s="409"/>
      <c r="E37" s="409"/>
      <c r="F37" s="411"/>
      <c r="G37" s="239"/>
      <c r="H37" s="239"/>
    </row>
    <row r="38" customFormat="false" ht="15" hidden="false" customHeight="false" outlineLevel="0" collapsed="false">
      <c r="A38" s="402"/>
      <c r="B38" s="409" t="s">
        <v>160</v>
      </c>
      <c r="C38" s="405"/>
      <c r="D38" s="412" t="n">
        <f aca="false">'Přehled akce'!L50</f>
        <v>0</v>
      </c>
      <c r="E38" s="405"/>
      <c r="F38" s="413"/>
      <c r="G38" s="426"/>
      <c r="H38" s="239"/>
    </row>
    <row r="39" customFormat="false" ht="15" hidden="false" customHeight="false" outlineLevel="0" collapsed="false">
      <c r="A39" s="402"/>
      <c r="B39" s="409" t="s">
        <v>170</v>
      </c>
      <c r="C39" s="405"/>
      <c r="D39" s="409" t="s">
        <v>172</v>
      </c>
      <c r="E39" s="405"/>
      <c r="F39" s="413"/>
      <c r="G39" s="426"/>
      <c r="H39" s="239"/>
    </row>
    <row r="40" customFormat="false" ht="19.5" hidden="false" customHeight="false" outlineLevel="0" collapsed="false">
      <c r="A40" s="402"/>
      <c r="B40" s="409" t="s">
        <v>163</v>
      </c>
      <c r="C40" s="405"/>
      <c r="D40" s="416" t="s">
        <v>173</v>
      </c>
      <c r="E40" s="427"/>
      <c r="F40" s="428"/>
      <c r="G40" s="429"/>
      <c r="H40" s="239"/>
    </row>
    <row r="41" customFormat="false" ht="14.25" hidden="false" customHeight="false" outlineLevel="0" collapsed="false">
      <c r="A41" s="402"/>
      <c r="B41" s="409"/>
      <c r="C41" s="409"/>
      <c r="D41" s="419" t="s">
        <v>174</v>
      </c>
      <c r="E41" s="409"/>
      <c r="F41" s="411"/>
      <c r="G41" s="239"/>
      <c r="H41" s="239"/>
    </row>
    <row r="42" customFormat="false" ht="9" hidden="false" customHeight="true" outlineLevel="0" collapsed="false">
      <c r="A42" s="402"/>
      <c r="B42" s="409"/>
      <c r="C42" s="409"/>
      <c r="D42" s="409"/>
      <c r="E42" s="409"/>
      <c r="F42" s="411"/>
      <c r="G42" s="239"/>
      <c r="H42" s="239"/>
    </row>
    <row r="43" customFormat="false" ht="15" hidden="false" customHeight="false" outlineLevel="0" collapsed="false">
      <c r="A43" s="402"/>
      <c r="B43" s="410" t="s">
        <v>168</v>
      </c>
      <c r="C43" s="410"/>
      <c r="D43" s="420" t="n">
        <f aca="false">'Přehled akce'!D7</f>
        <v>0</v>
      </c>
      <c r="E43" s="409" t="s">
        <v>167</v>
      </c>
      <c r="F43" s="411"/>
    </row>
    <row r="44" customFormat="false" ht="9" hidden="false" customHeight="true" outlineLevel="0" collapsed="false">
      <c r="A44" s="422"/>
      <c r="B44" s="423"/>
      <c r="C44" s="423"/>
      <c r="D44" s="423"/>
      <c r="E44" s="423"/>
      <c r="F44" s="424"/>
    </row>
    <row r="45" customFormat="false" ht="6.95" hidden="false" customHeight="true" outlineLevel="0" collapsed="false"/>
    <row r="46" customFormat="false" ht="9" hidden="false" customHeight="true" outlineLevel="0" collapsed="false">
      <c r="A46" s="399"/>
      <c r="B46" s="400"/>
      <c r="C46" s="400"/>
      <c r="D46" s="400"/>
      <c r="E46" s="400"/>
      <c r="F46" s="401"/>
    </row>
    <row r="47" customFormat="false" ht="12.75" hidden="false" customHeight="true" outlineLevel="0" collapsed="false">
      <c r="A47" s="402"/>
      <c r="B47" s="430" t="str">
        <f aca="false">IF('Přehled akce'!$L$53&gt;=0,"Výdajový","Příjmový")</f>
        <v>Výdajový</v>
      </c>
      <c r="C47" s="431" t="s">
        <v>175</v>
      </c>
      <c r="D47" s="405"/>
      <c r="E47" s="406" t="n">
        <f aca="false">'Přehled akce'!I58</f>
        <v>0</v>
      </c>
      <c r="F47" s="407"/>
    </row>
    <row r="48" customFormat="false" ht="9" hidden="false" customHeight="true" outlineLevel="0" collapsed="false">
      <c r="A48" s="402"/>
      <c r="B48" s="405"/>
      <c r="C48" s="405"/>
      <c r="D48" s="405"/>
      <c r="E48" s="405"/>
      <c r="F48" s="407"/>
    </row>
    <row r="49" customFormat="false" ht="15" hidden="false" customHeight="false" outlineLevel="0" collapsed="false">
      <c r="A49" s="402"/>
      <c r="B49" s="409" t="s">
        <v>158</v>
      </c>
      <c r="C49" s="410"/>
      <c r="D49" s="409"/>
      <c r="E49" s="409"/>
      <c r="F49" s="411"/>
    </row>
    <row r="50" customFormat="false" ht="15" hidden="false" customHeight="false" outlineLevel="0" collapsed="false">
      <c r="A50" s="402"/>
      <c r="B50" s="409" t="s">
        <v>159</v>
      </c>
      <c r="C50" s="410"/>
      <c r="D50" s="409"/>
      <c r="E50" s="409"/>
      <c r="F50" s="411"/>
    </row>
    <row r="51" customFormat="false" ht="9" hidden="false" customHeight="true" outlineLevel="0" collapsed="false">
      <c r="A51" s="402"/>
      <c r="B51" s="409"/>
      <c r="C51" s="409"/>
      <c r="D51" s="409"/>
      <c r="E51" s="409"/>
      <c r="F51" s="411"/>
    </row>
    <row r="52" customFormat="false" ht="15" hidden="false" customHeight="false" outlineLevel="0" collapsed="false">
      <c r="A52" s="402"/>
      <c r="B52" s="410" t="s">
        <v>160</v>
      </c>
      <c r="C52" s="410"/>
      <c r="D52" s="412" t="n">
        <f aca="false">ABS('Přehled akce'!L53)</f>
        <v>0</v>
      </c>
      <c r="E52" s="409"/>
      <c r="F52" s="411"/>
    </row>
    <row r="53" customFormat="false" ht="15" hidden="false" customHeight="false" outlineLevel="0" collapsed="false">
      <c r="A53" s="402"/>
      <c r="B53" s="410" t="str">
        <f aca="false">IF('Přehled akce'!$L$53&gt;=0,"Vyplaceno komu:","Přijato od:")</f>
        <v>Vyplaceno komu:</v>
      </c>
      <c r="C53" s="410"/>
      <c r="D53" s="414" t="n">
        <f aca="false">'Přehled akce'!I57</f>
        <v>0</v>
      </c>
      <c r="E53" s="414"/>
      <c r="F53" s="415" t="s">
        <v>176</v>
      </c>
    </row>
    <row r="54" customFormat="false" ht="18" hidden="false" customHeight="false" outlineLevel="0" collapsed="false">
      <c r="A54" s="402"/>
      <c r="B54" s="410" t="s">
        <v>163</v>
      </c>
      <c r="C54" s="410"/>
      <c r="D54" s="432" t="s">
        <v>177</v>
      </c>
      <c r="E54" s="409"/>
      <c r="F54" s="418" t="n">
        <f aca="false">'Přehled akce'!D4</f>
        <v>0</v>
      </c>
    </row>
    <row r="55" customFormat="false" ht="15" hidden="false" customHeight="false" outlineLevel="0" collapsed="false">
      <c r="A55" s="402"/>
      <c r="B55" s="410"/>
      <c r="C55" s="410"/>
      <c r="D55" s="419" t="s">
        <v>178</v>
      </c>
      <c r="E55" s="409"/>
      <c r="F55" s="411"/>
    </row>
    <row r="56" customFormat="false" ht="9" hidden="false" customHeight="true" outlineLevel="0" collapsed="false">
      <c r="A56" s="402"/>
      <c r="B56" s="409"/>
      <c r="C56" s="409"/>
      <c r="D56" s="409"/>
      <c r="E56" s="409"/>
      <c r="F56" s="411"/>
    </row>
    <row r="57" customFormat="false" ht="15" hidden="false" customHeight="false" outlineLevel="0" collapsed="false">
      <c r="A57" s="402"/>
      <c r="B57" s="410" t="str">
        <f aca="false">IF('Přehled akce'!$L$53&gt;=0,"Vydal:","Přijal:")</f>
        <v>Vydal:</v>
      </c>
      <c r="C57" s="410"/>
      <c r="D57" s="420" t="n">
        <f aca="false">'Přehled akce'!D7</f>
        <v>0</v>
      </c>
      <c r="E57" s="421" t="s">
        <v>167</v>
      </c>
      <c r="F57" s="411"/>
    </row>
    <row r="58" customFormat="false" ht="15" hidden="false" customHeight="false" outlineLevel="0" collapsed="false">
      <c r="A58" s="402"/>
      <c r="B58" s="410" t="str">
        <f aca="false">IF('Přehled akce'!$L$53&gt;=0,"Přijal:","Vydal:")</f>
        <v>Přijal:</v>
      </c>
      <c r="C58" s="410"/>
      <c r="D58" s="420" t="n">
        <f aca="false">'Přehled akce'!I57</f>
        <v>0</v>
      </c>
      <c r="E58" s="421" t="s">
        <v>167</v>
      </c>
      <c r="F58" s="411"/>
    </row>
    <row r="59" customFormat="false" ht="9" hidden="false" customHeight="true" outlineLevel="0" collapsed="false">
      <c r="A59" s="422"/>
      <c r="B59" s="423"/>
      <c r="C59" s="423"/>
      <c r="D59" s="423"/>
      <c r="E59" s="423"/>
      <c r="F59" s="424"/>
    </row>
  </sheetData>
  <mergeCells count="4">
    <mergeCell ref="A1:F1"/>
    <mergeCell ref="E2:F2"/>
    <mergeCell ref="D10:E10"/>
    <mergeCell ref="D53:E53"/>
  </mergeCells>
  <conditionalFormatting sqref="D29 D10 E47 D25 D53 D14:D15 E54:E55 E4 D57:D58 E33 D43 E19 F26 F11 F54 E2:F2">
    <cfRule type="cellIs" priority="2" operator="equal" aboveAverage="0" equalAverage="0" bottom="0" percent="0" rank="0" text="" dxfId="11">
      <formula>0</formula>
    </cfRule>
  </conditionalFormatting>
  <printOptions headings="false" gridLines="false" gridLinesSet="true" horizontalCentered="false" verticalCentered="false"/>
  <pageMargins left="0.25" right="0.25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&amp;R&amp;F -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9696"/>
    <pageSetUpPr fitToPage="false"/>
  </sheetPr>
  <dimension ref="A1:IW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9.13671875" defaultRowHeight="12.75" customHeight="true" zeroHeight="false" outlineLevelRow="0" outlineLevelCol="0"/>
  <cols>
    <col collapsed="false" customWidth="true" hidden="false" outlineLevel="0" max="1" min="1" style="325" width="3.85"/>
    <col collapsed="false" customWidth="true" hidden="false" outlineLevel="0" max="2" min="2" style="326" width="11.56"/>
    <col collapsed="false" customWidth="true" hidden="false" outlineLevel="0" max="3" min="3" style="326" width="9.56"/>
    <col collapsed="false" customWidth="true" hidden="false" outlineLevel="0" max="4" min="4" style="326" width="10.13"/>
    <col collapsed="false" customWidth="true" hidden="false" outlineLevel="0" max="5" min="5" style="326" width="15.7"/>
    <col collapsed="false" customWidth="true" hidden="false" outlineLevel="0" max="6" min="6" style="325" width="8.99"/>
    <col collapsed="false" customWidth="true" hidden="false" outlineLevel="0" max="7" min="7" style="325" width="10.85"/>
    <col collapsed="false" customWidth="true" hidden="false" outlineLevel="0" max="8" min="8" style="326" width="11.7"/>
    <col collapsed="false" customWidth="true" hidden="false" outlineLevel="0" max="15" min="9" style="326" width="9.99"/>
    <col collapsed="false" customWidth="true" hidden="false" outlineLevel="0" max="16" min="16" style="326" width="10.56"/>
    <col collapsed="false" customWidth="true" hidden="false" outlineLevel="0" max="17" min="17" style="326" width="11.85"/>
    <col collapsed="false" customWidth="true" hidden="false" outlineLevel="0" max="18" min="18" style="326" width="13.28"/>
    <col collapsed="false" customWidth="true" hidden="false" outlineLevel="0" max="19" min="19" style="326" width="6.85"/>
    <col collapsed="false" customWidth="true" hidden="false" outlineLevel="0" max="20" min="20" style="326" width="14.7"/>
    <col collapsed="false" customWidth="false" hidden="false" outlineLevel="0" max="257" min="21" style="326" width="9.14"/>
  </cols>
  <sheetData>
    <row r="1" customFormat="false" ht="39.75" hidden="false" customHeight="true" outlineLevel="0" collapsed="false">
      <c r="A1" s="433" t="s">
        <v>179</v>
      </c>
      <c r="B1" s="434"/>
      <c r="C1" s="434"/>
      <c r="D1" s="434"/>
      <c r="E1" s="434"/>
      <c r="F1" s="434"/>
      <c r="G1" s="434"/>
      <c r="H1" s="434"/>
      <c r="T1" s="434"/>
    </row>
    <row r="2" customFormat="false" ht="12.75" hidden="false" customHeight="true" outlineLevel="0" collapsed="false">
      <c r="A2" s="328"/>
      <c r="B2" s="329" t="s">
        <v>2</v>
      </c>
      <c r="C2" s="330" t="n">
        <f aca="false">'Přehled akce'!D4</f>
        <v>0</v>
      </c>
      <c r="D2" s="331"/>
      <c r="E2" s="329"/>
      <c r="F2" s="329" t="str">
        <f aca="false">CONCATENATE("Datum: ",'Přehled akce'!D5)</f>
        <v>Datum: </v>
      </c>
      <c r="G2" s="329"/>
      <c r="H2" s="332"/>
      <c r="I2" s="334"/>
      <c r="J2" s="435" t="s">
        <v>180</v>
      </c>
      <c r="K2" s="436" t="n">
        <v>50</v>
      </c>
      <c r="L2" s="148"/>
      <c r="M2" s="148"/>
      <c r="N2" s="148"/>
      <c r="O2" s="148"/>
      <c r="P2" s="148"/>
      <c r="Q2" s="148"/>
      <c r="R2" s="148"/>
      <c r="S2" s="148"/>
      <c r="T2" s="331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8"/>
      <c r="BB2" s="148"/>
      <c r="BC2" s="148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</row>
    <row r="3" customFormat="false" ht="12.75" hidden="false" customHeight="true" outlineLevel="0" collapsed="false">
      <c r="A3" s="335"/>
      <c r="B3" s="331"/>
      <c r="C3" s="331"/>
      <c r="D3" s="331"/>
      <c r="E3" s="331"/>
      <c r="F3" s="335"/>
      <c r="G3" s="335"/>
      <c r="H3" s="331"/>
      <c r="I3" s="331"/>
      <c r="T3" s="331"/>
    </row>
    <row r="4" customFormat="false" ht="12.75" hidden="false" customHeight="true" outlineLevel="0" collapsed="false">
      <c r="A4" s="437"/>
      <c r="B4" s="438" t="s">
        <v>181</v>
      </c>
      <c r="C4" s="438"/>
      <c r="D4" s="438"/>
      <c r="E4" s="438"/>
      <c r="F4" s="438"/>
      <c r="G4" s="438"/>
      <c r="H4" s="438"/>
      <c r="I4" s="439" t="s">
        <v>182</v>
      </c>
      <c r="J4" s="439"/>
      <c r="K4" s="439"/>
      <c r="L4" s="439"/>
      <c r="M4" s="439"/>
      <c r="N4" s="439"/>
      <c r="O4" s="440" t="s">
        <v>183</v>
      </c>
      <c r="P4" s="440"/>
      <c r="Q4" s="440"/>
      <c r="R4" s="440"/>
      <c r="S4" s="441" t="s">
        <v>184</v>
      </c>
      <c r="T4" s="441"/>
    </row>
    <row r="5" customFormat="false" ht="15" hidden="false" customHeight="true" outlineLevel="0" collapsed="false">
      <c r="A5" s="442" t="s">
        <v>140</v>
      </c>
      <c r="B5" s="443" t="s">
        <v>141</v>
      </c>
      <c r="C5" s="444" t="s">
        <v>142</v>
      </c>
      <c r="D5" s="445" t="s">
        <v>143</v>
      </c>
      <c r="E5" s="444" t="s">
        <v>144</v>
      </c>
      <c r="F5" s="444" t="s">
        <v>145</v>
      </c>
      <c r="G5" s="444" t="s">
        <v>185</v>
      </c>
      <c r="H5" s="446" t="s">
        <v>146</v>
      </c>
      <c r="I5" s="447" t="s">
        <v>186</v>
      </c>
      <c r="J5" s="448" t="s">
        <v>187</v>
      </c>
      <c r="K5" s="448" t="s">
        <v>188</v>
      </c>
      <c r="L5" s="449" t="s">
        <v>189</v>
      </c>
      <c r="M5" s="449" t="s">
        <v>190</v>
      </c>
      <c r="N5" s="450" t="s">
        <v>191</v>
      </c>
      <c r="O5" s="443" t="s">
        <v>192</v>
      </c>
      <c r="P5" s="444" t="s">
        <v>193</v>
      </c>
      <c r="Q5" s="444" t="s">
        <v>110</v>
      </c>
      <c r="R5" s="446" t="s">
        <v>194</v>
      </c>
      <c r="S5" s="451" t="s">
        <v>195</v>
      </c>
      <c r="T5" s="452" t="s">
        <v>111</v>
      </c>
      <c r="U5" s="344"/>
      <c r="V5" s="344"/>
      <c r="W5" s="344"/>
      <c r="X5" s="344"/>
      <c r="Y5" s="344"/>
      <c r="Z5" s="344"/>
      <c r="AA5" s="344"/>
      <c r="AB5" s="344"/>
      <c r="AC5" s="344"/>
      <c r="AD5" s="344"/>
      <c r="AE5" s="344"/>
      <c r="AF5" s="344"/>
      <c r="AG5" s="344"/>
      <c r="AH5" s="344"/>
      <c r="AI5" s="344"/>
      <c r="AJ5" s="344"/>
      <c r="AK5" s="344"/>
      <c r="AL5" s="344"/>
      <c r="AM5" s="344"/>
      <c r="AN5" s="344"/>
      <c r="AO5" s="344"/>
      <c r="AP5" s="344"/>
      <c r="AQ5" s="344"/>
      <c r="AR5" s="344"/>
      <c r="AS5" s="344"/>
      <c r="AT5" s="344"/>
      <c r="AU5" s="344"/>
      <c r="AV5" s="344"/>
      <c r="AW5" s="344"/>
      <c r="AX5" s="344"/>
      <c r="AY5" s="344"/>
      <c r="AZ5" s="344"/>
      <c r="BA5" s="344"/>
      <c r="BB5" s="344"/>
      <c r="BC5" s="344"/>
      <c r="BD5" s="344"/>
      <c r="BE5" s="344"/>
      <c r="BF5" s="344"/>
      <c r="BG5" s="344"/>
      <c r="BH5" s="344"/>
      <c r="BI5" s="344"/>
      <c r="BJ5" s="344"/>
      <c r="BK5" s="344"/>
      <c r="BL5" s="344"/>
      <c r="BM5" s="344"/>
      <c r="BN5" s="344"/>
      <c r="BO5" s="344"/>
      <c r="BP5" s="344"/>
      <c r="BQ5" s="344"/>
      <c r="BR5" s="344"/>
      <c r="BS5" s="344"/>
      <c r="BT5" s="344"/>
      <c r="BU5" s="344"/>
      <c r="BV5" s="344"/>
      <c r="BW5" s="344"/>
      <c r="BX5" s="344"/>
      <c r="BY5" s="344"/>
      <c r="BZ5" s="344"/>
      <c r="CA5" s="344"/>
      <c r="CB5" s="344"/>
      <c r="CC5" s="344"/>
      <c r="CD5" s="344"/>
      <c r="CE5" s="344"/>
      <c r="CF5" s="344"/>
      <c r="CG5" s="344"/>
      <c r="CH5" s="344"/>
      <c r="CI5" s="344"/>
      <c r="CJ5" s="344"/>
      <c r="CK5" s="344"/>
      <c r="CL5" s="344"/>
      <c r="CM5" s="344"/>
      <c r="CN5" s="344"/>
      <c r="CO5" s="344"/>
      <c r="CP5" s="344"/>
      <c r="CQ5" s="344"/>
      <c r="CR5" s="344"/>
      <c r="CS5" s="344"/>
      <c r="CT5" s="344"/>
      <c r="CU5" s="344"/>
      <c r="CV5" s="344"/>
      <c r="CW5" s="344"/>
      <c r="CX5" s="344"/>
      <c r="CY5" s="344"/>
      <c r="CZ5" s="344"/>
      <c r="DA5" s="344"/>
      <c r="DB5" s="344"/>
      <c r="DC5" s="344"/>
      <c r="DD5" s="344"/>
      <c r="DE5" s="344"/>
      <c r="DF5" s="344"/>
      <c r="DG5" s="344"/>
      <c r="DH5" s="344"/>
      <c r="DI5" s="344"/>
      <c r="DJ5" s="344"/>
      <c r="DK5" s="344"/>
      <c r="DL5" s="344"/>
      <c r="DM5" s="344"/>
      <c r="DN5" s="344"/>
      <c r="DO5" s="344"/>
      <c r="DP5" s="344"/>
      <c r="DQ5" s="344"/>
      <c r="DR5" s="344"/>
      <c r="DS5" s="344"/>
      <c r="DT5" s="344"/>
      <c r="DU5" s="344"/>
      <c r="DV5" s="344"/>
      <c r="DW5" s="344"/>
      <c r="DX5" s="344"/>
      <c r="DY5" s="344"/>
      <c r="DZ5" s="344"/>
      <c r="EA5" s="344"/>
      <c r="EB5" s="344"/>
      <c r="EC5" s="344"/>
      <c r="ED5" s="344"/>
      <c r="EE5" s="344"/>
      <c r="EF5" s="344"/>
      <c r="EG5" s="344"/>
      <c r="EH5" s="344"/>
      <c r="EI5" s="344"/>
      <c r="EJ5" s="344"/>
      <c r="EK5" s="344"/>
      <c r="EL5" s="344"/>
      <c r="EM5" s="344"/>
      <c r="EN5" s="344"/>
      <c r="EO5" s="344"/>
      <c r="EP5" s="344"/>
      <c r="EQ5" s="344"/>
      <c r="ER5" s="344"/>
      <c r="ES5" s="344"/>
      <c r="ET5" s="344"/>
      <c r="EU5" s="344"/>
      <c r="EV5" s="344"/>
      <c r="EW5" s="344"/>
      <c r="EX5" s="344"/>
      <c r="EY5" s="344"/>
      <c r="EZ5" s="344"/>
      <c r="FA5" s="344"/>
      <c r="FB5" s="344"/>
      <c r="FC5" s="344"/>
      <c r="FD5" s="344"/>
      <c r="FE5" s="344"/>
      <c r="FF5" s="344"/>
      <c r="FG5" s="344"/>
      <c r="FH5" s="344"/>
      <c r="FI5" s="344"/>
      <c r="FJ5" s="344"/>
      <c r="FK5" s="344"/>
      <c r="FL5" s="344"/>
      <c r="FM5" s="344"/>
      <c r="FN5" s="344"/>
      <c r="FO5" s="344"/>
      <c r="FP5" s="344"/>
      <c r="FQ5" s="344"/>
      <c r="FR5" s="344"/>
      <c r="FS5" s="344"/>
      <c r="FT5" s="344"/>
      <c r="FU5" s="344"/>
      <c r="FV5" s="344"/>
      <c r="FW5" s="344"/>
      <c r="FX5" s="344"/>
      <c r="FY5" s="344"/>
      <c r="FZ5" s="344"/>
      <c r="GA5" s="344"/>
      <c r="GB5" s="344"/>
      <c r="GC5" s="344"/>
      <c r="GD5" s="344"/>
      <c r="GE5" s="344"/>
      <c r="GF5" s="344"/>
      <c r="GG5" s="344"/>
      <c r="GH5" s="344"/>
      <c r="GI5" s="344"/>
      <c r="GJ5" s="344"/>
      <c r="GK5" s="344"/>
      <c r="GL5" s="344"/>
      <c r="GM5" s="344"/>
      <c r="GN5" s="344"/>
      <c r="GO5" s="344"/>
      <c r="GP5" s="344"/>
      <c r="GQ5" s="344"/>
      <c r="GR5" s="344"/>
      <c r="GS5" s="344"/>
      <c r="GT5" s="344"/>
      <c r="GU5" s="344"/>
      <c r="GV5" s="344"/>
      <c r="GW5" s="344"/>
      <c r="GX5" s="344"/>
      <c r="GY5" s="344"/>
      <c r="GZ5" s="344"/>
      <c r="HA5" s="344"/>
      <c r="HB5" s="344"/>
      <c r="HC5" s="344"/>
      <c r="HD5" s="344"/>
      <c r="HE5" s="344"/>
      <c r="HF5" s="344"/>
      <c r="HG5" s="344"/>
      <c r="HH5" s="344"/>
      <c r="HI5" s="344"/>
      <c r="HJ5" s="344"/>
      <c r="HK5" s="344"/>
      <c r="HL5" s="344"/>
      <c r="HM5" s="344"/>
      <c r="HN5" s="344"/>
      <c r="HO5" s="344"/>
      <c r="HP5" s="344"/>
      <c r="HQ5" s="344"/>
      <c r="HR5" s="344"/>
      <c r="HS5" s="344"/>
      <c r="HT5" s="344"/>
      <c r="HU5" s="344"/>
      <c r="HV5" s="344"/>
      <c r="HW5" s="344"/>
      <c r="HX5" s="344"/>
      <c r="HY5" s="344"/>
      <c r="HZ5" s="344"/>
      <c r="IA5" s="344"/>
      <c r="IB5" s="344"/>
      <c r="IC5" s="344"/>
      <c r="ID5" s="344"/>
      <c r="IE5" s="344"/>
      <c r="IF5" s="344"/>
      <c r="IG5" s="344"/>
      <c r="IH5" s="344"/>
      <c r="II5" s="344"/>
      <c r="IJ5" s="344"/>
      <c r="IK5" s="344"/>
      <c r="IL5" s="344"/>
      <c r="IM5" s="344"/>
      <c r="IN5" s="344"/>
      <c r="IO5" s="344"/>
      <c r="IP5" s="344"/>
      <c r="IQ5" s="344"/>
      <c r="IR5" s="344"/>
      <c r="IS5" s="344"/>
      <c r="IT5" s="344"/>
      <c r="IU5" s="344"/>
      <c r="IV5" s="344"/>
      <c r="IW5" s="344"/>
    </row>
    <row r="6" customFormat="false" ht="9.95" hidden="false" customHeight="true" outlineLevel="0" collapsed="false">
      <c r="A6" s="442"/>
      <c r="B6" s="443"/>
      <c r="C6" s="444"/>
      <c r="D6" s="444"/>
      <c r="E6" s="444"/>
      <c r="F6" s="444"/>
      <c r="G6" s="444"/>
      <c r="H6" s="446"/>
      <c r="I6" s="453" t="s">
        <v>196</v>
      </c>
      <c r="J6" s="453" t="s">
        <v>196</v>
      </c>
      <c r="K6" s="453" t="s">
        <v>196</v>
      </c>
      <c r="L6" s="453" t="s">
        <v>196</v>
      </c>
      <c r="M6" s="453" t="s">
        <v>196</v>
      </c>
      <c r="N6" s="453" t="s">
        <v>196</v>
      </c>
      <c r="O6" s="443"/>
      <c r="P6" s="444"/>
      <c r="Q6" s="444"/>
      <c r="R6" s="446"/>
      <c r="S6" s="451"/>
      <c r="T6" s="452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44"/>
      <c r="AF6" s="344"/>
      <c r="AG6" s="344"/>
      <c r="AH6" s="344"/>
      <c r="AI6" s="344"/>
      <c r="AJ6" s="344"/>
      <c r="AK6" s="344"/>
      <c r="AL6" s="344"/>
      <c r="AM6" s="344"/>
      <c r="AN6" s="344"/>
      <c r="AO6" s="344"/>
      <c r="AP6" s="344"/>
      <c r="AQ6" s="344"/>
      <c r="AR6" s="344"/>
      <c r="AS6" s="344"/>
      <c r="AT6" s="344"/>
      <c r="AU6" s="344"/>
      <c r="AV6" s="344"/>
      <c r="AW6" s="344"/>
      <c r="AX6" s="344"/>
      <c r="AY6" s="344"/>
      <c r="AZ6" s="344"/>
      <c r="BA6" s="344"/>
      <c r="BB6" s="344"/>
      <c r="BC6" s="344"/>
      <c r="BD6" s="344"/>
      <c r="BE6" s="344"/>
      <c r="BF6" s="344"/>
      <c r="BG6" s="344"/>
      <c r="BH6" s="344"/>
      <c r="BI6" s="344"/>
      <c r="BJ6" s="344"/>
      <c r="BK6" s="344"/>
      <c r="BL6" s="344"/>
      <c r="BM6" s="344"/>
      <c r="BN6" s="344"/>
      <c r="BO6" s="344"/>
      <c r="BP6" s="344"/>
      <c r="BQ6" s="344"/>
      <c r="BR6" s="344"/>
      <c r="BS6" s="344"/>
      <c r="BT6" s="344"/>
      <c r="BU6" s="344"/>
      <c r="BV6" s="344"/>
      <c r="BW6" s="344"/>
      <c r="BX6" s="344"/>
      <c r="BY6" s="344"/>
      <c r="BZ6" s="344"/>
      <c r="CA6" s="344"/>
      <c r="CB6" s="344"/>
      <c r="CC6" s="344"/>
      <c r="CD6" s="344"/>
      <c r="CE6" s="344"/>
      <c r="CF6" s="344"/>
      <c r="CG6" s="344"/>
      <c r="CH6" s="344"/>
      <c r="CI6" s="344"/>
      <c r="CJ6" s="344"/>
      <c r="CK6" s="344"/>
      <c r="CL6" s="344"/>
      <c r="CM6" s="344"/>
      <c r="CN6" s="344"/>
      <c r="CO6" s="344"/>
      <c r="CP6" s="344"/>
      <c r="CQ6" s="344"/>
      <c r="CR6" s="344"/>
      <c r="CS6" s="344"/>
      <c r="CT6" s="344"/>
      <c r="CU6" s="344"/>
      <c r="CV6" s="344"/>
      <c r="CW6" s="344"/>
      <c r="CX6" s="344"/>
      <c r="CY6" s="344"/>
      <c r="CZ6" s="344"/>
      <c r="DA6" s="344"/>
      <c r="DB6" s="344"/>
      <c r="DC6" s="344"/>
      <c r="DD6" s="344"/>
      <c r="DE6" s="344"/>
      <c r="DF6" s="344"/>
      <c r="DG6" s="344"/>
      <c r="DH6" s="344"/>
      <c r="DI6" s="344"/>
      <c r="DJ6" s="344"/>
      <c r="DK6" s="344"/>
      <c r="DL6" s="344"/>
      <c r="DM6" s="344"/>
      <c r="DN6" s="344"/>
      <c r="DO6" s="344"/>
      <c r="DP6" s="344"/>
      <c r="DQ6" s="344"/>
      <c r="DR6" s="344"/>
      <c r="DS6" s="344"/>
      <c r="DT6" s="344"/>
      <c r="DU6" s="344"/>
      <c r="DV6" s="344"/>
      <c r="DW6" s="344"/>
      <c r="DX6" s="344"/>
      <c r="DY6" s="344"/>
      <c r="DZ6" s="344"/>
      <c r="EA6" s="344"/>
      <c r="EB6" s="344"/>
      <c r="EC6" s="344"/>
      <c r="ED6" s="344"/>
      <c r="EE6" s="344"/>
      <c r="EF6" s="344"/>
      <c r="EG6" s="344"/>
      <c r="EH6" s="344"/>
      <c r="EI6" s="344"/>
      <c r="EJ6" s="344"/>
      <c r="EK6" s="344"/>
      <c r="EL6" s="344"/>
      <c r="EM6" s="344"/>
      <c r="EN6" s="344"/>
      <c r="EO6" s="344"/>
      <c r="EP6" s="344"/>
      <c r="EQ6" s="344"/>
      <c r="ER6" s="344"/>
      <c r="ES6" s="344"/>
      <c r="ET6" s="344"/>
      <c r="EU6" s="344"/>
      <c r="EV6" s="344"/>
      <c r="EW6" s="344"/>
      <c r="EX6" s="344"/>
      <c r="EY6" s="344"/>
      <c r="EZ6" s="344"/>
      <c r="FA6" s="344"/>
      <c r="FB6" s="344"/>
      <c r="FC6" s="344"/>
      <c r="FD6" s="344"/>
      <c r="FE6" s="344"/>
      <c r="FF6" s="344"/>
      <c r="FG6" s="344"/>
      <c r="FH6" s="344"/>
      <c r="FI6" s="344"/>
      <c r="FJ6" s="344"/>
      <c r="FK6" s="344"/>
      <c r="FL6" s="344"/>
      <c r="FM6" s="344"/>
      <c r="FN6" s="344"/>
      <c r="FO6" s="344"/>
      <c r="FP6" s="344"/>
      <c r="FQ6" s="344"/>
      <c r="FR6" s="344"/>
      <c r="FS6" s="344"/>
      <c r="FT6" s="344"/>
      <c r="FU6" s="344"/>
      <c r="FV6" s="344"/>
      <c r="FW6" s="344"/>
      <c r="FX6" s="344"/>
      <c r="FY6" s="344"/>
      <c r="FZ6" s="344"/>
      <c r="GA6" s="344"/>
      <c r="GB6" s="344"/>
      <c r="GC6" s="344"/>
      <c r="GD6" s="344"/>
      <c r="GE6" s="344"/>
      <c r="GF6" s="344"/>
      <c r="GG6" s="344"/>
      <c r="GH6" s="344"/>
      <c r="GI6" s="344"/>
      <c r="GJ6" s="344"/>
      <c r="GK6" s="344"/>
      <c r="GL6" s="344"/>
      <c r="GM6" s="344"/>
      <c r="GN6" s="344"/>
      <c r="GO6" s="344"/>
      <c r="GP6" s="344"/>
      <c r="GQ6" s="344"/>
      <c r="GR6" s="344"/>
      <c r="GS6" s="344"/>
      <c r="GT6" s="344"/>
      <c r="GU6" s="344"/>
      <c r="GV6" s="344"/>
      <c r="GW6" s="344"/>
      <c r="GX6" s="344"/>
      <c r="GY6" s="344"/>
      <c r="GZ6" s="344"/>
      <c r="HA6" s="344"/>
      <c r="HB6" s="344"/>
      <c r="HC6" s="344"/>
      <c r="HD6" s="344"/>
      <c r="HE6" s="344"/>
      <c r="HF6" s="344"/>
      <c r="HG6" s="344"/>
      <c r="HH6" s="344"/>
      <c r="HI6" s="344"/>
      <c r="HJ6" s="344"/>
      <c r="HK6" s="344"/>
      <c r="HL6" s="344"/>
      <c r="HM6" s="344"/>
      <c r="HN6" s="344"/>
      <c r="HO6" s="344"/>
      <c r="HP6" s="344"/>
      <c r="HQ6" s="344"/>
      <c r="HR6" s="344"/>
      <c r="HS6" s="344"/>
      <c r="HT6" s="344"/>
      <c r="HU6" s="344"/>
      <c r="HV6" s="344"/>
      <c r="HW6" s="344"/>
      <c r="HX6" s="344"/>
      <c r="HY6" s="344"/>
      <c r="HZ6" s="344"/>
      <c r="IA6" s="344"/>
      <c r="IB6" s="344"/>
      <c r="IC6" s="344"/>
      <c r="ID6" s="344"/>
      <c r="IE6" s="344"/>
      <c r="IF6" s="344"/>
      <c r="IG6" s="344"/>
      <c r="IH6" s="344"/>
      <c r="II6" s="344"/>
      <c r="IJ6" s="344"/>
      <c r="IK6" s="344"/>
      <c r="IL6" s="344"/>
      <c r="IM6" s="344"/>
      <c r="IN6" s="344"/>
      <c r="IO6" s="344"/>
      <c r="IP6" s="344"/>
      <c r="IQ6" s="344"/>
      <c r="IR6" s="344"/>
      <c r="IS6" s="344"/>
      <c r="IT6" s="344"/>
      <c r="IU6" s="344"/>
      <c r="IV6" s="344"/>
      <c r="IW6" s="344"/>
    </row>
    <row r="7" customFormat="false" ht="9.95" hidden="false" customHeight="true" outlineLevel="0" collapsed="false">
      <c r="A7" s="442"/>
      <c r="B7" s="443"/>
      <c r="C7" s="444"/>
      <c r="D7" s="444"/>
      <c r="E7" s="444"/>
      <c r="F7" s="444"/>
      <c r="G7" s="444"/>
      <c r="H7" s="446"/>
      <c r="I7" s="454" t="n">
        <v>0</v>
      </c>
      <c r="J7" s="455" t="n">
        <v>0</v>
      </c>
      <c r="K7" s="455" t="n">
        <v>0</v>
      </c>
      <c r="L7" s="455" t="n">
        <v>0</v>
      </c>
      <c r="M7" s="455" t="n">
        <v>0</v>
      </c>
      <c r="N7" s="456" t="n">
        <v>0</v>
      </c>
      <c r="O7" s="443"/>
      <c r="P7" s="444"/>
      <c r="Q7" s="444"/>
      <c r="R7" s="446"/>
      <c r="S7" s="451"/>
      <c r="T7" s="452"/>
      <c r="U7" s="344"/>
      <c r="V7" s="344"/>
      <c r="W7" s="344"/>
      <c r="X7" s="344"/>
      <c r="Y7" s="344"/>
      <c r="Z7" s="344"/>
      <c r="AA7" s="344"/>
      <c r="AB7" s="344"/>
      <c r="AC7" s="344"/>
      <c r="AD7" s="344"/>
      <c r="AE7" s="344"/>
      <c r="AF7" s="344"/>
      <c r="AG7" s="344"/>
      <c r="AH7" s="344"/>
      <c r="AI7" s="344"/>
      <c r="AJ7" s="344"/>
      <c r="AK7" s="344"/>
      <c r="AL7" s="344"/>
      <c r="AM7" s="344"/>
      <c r="AN7" s="344"/>
      <c r="AO7" s="344"/>
      <c r="AP7" s="344"/>
      <c r="AQ7" s="344"/>
      <c r="AR7" s="344"/>
      <c r="AS7" s="344"/>
      <c r="AT7" s="344"/>
      <c r="AU7" s="344"/>
      <c r="AV7" s="344"/>
      <c r="AW7" s="344"/>
      <c r="AX7" s="344"/>
      <c r="AY7" s="344"/>
      <c r="AZ7" s="344"/>
      <c r="BA7" s="344"/>
      <c r="BB7" s="344"/>
      <c r="BC7" s="344"/>
      <c r="BD7" s="344"/>
      <c r="BE7" s="344"/>
      <c r="BF7" s="344"/>
      <c r="BG7" s="344"/>
      <c r="BH7" s="344"/>
      <c r="BI7" s="344"/>
      <c r="BJ7" s="344"/>
      <c r="BK7" s="344"/>
      <c r="BL7" s="344"/>
      <c r="BM7" s="344"/>
      <c r="BN7" s="344"/>
      <c r="BO7" s="344"/>
      <c r="BP7" s="344"/>
      <c r="BQ7" s="344"/>
      <c r="BR7" s="344"/>
      <c r="BS7" s="344"/>
      <c r="BT7" s="344"/>
      <c r="BU7" s="344"/>
      <c r="BV7" s="344"/>
      <c r="BW7" s="344"/>
      <c r="BX7" s="344"/>
      <c r="BY7" s="344"/>
      <c r="BZ7" s="344"/>
      <c r="CA7" s="344"/>
      <c r="CB7" s="344"/>
      <c r="CC7" s="344"/>
      <c r="CD7" s="344"/>
      <c r="CE7" s="344"/>
      <c r="CF7" s="344"/>
      <c r="CG7" s="344"/>
      <c r="CH7" s="344"/>
      <c r="CI7" s="344"/>
      <c r="CJ7" s="344"/>
      <c r="CK7" s="344"/>
      <c r="CL7" s="344"/>
      <c r="CM7" s="344"/>
      <c r="CN7" s="344"/>
      <c r="CO7" s="344"/>
      <c r="CP7" s="344"/>
      <c r="CQ7" s="344"/>
      <c r="CR7" s="344"/>
      <c r="CS7" s="344"/>
      <c r="CT7" s="344"/>
      <c r="CU7" s="344"/>
      <c r="CV7" s="344"/>
      <c r="CW7" s="344"/>
      <c r="CX7" s="344"/>
      <c r="CY7" s="344"/>
      <c r="CZ7" s="344"/>
      <c r="DA7" s="344"/>
      <c r="DB7" s="344"/>
      <c r="DC7" s="344"/>
      <c r="DD7" s="344"/>
      <c r="DE7" s="344"/>
      <c r="DF7" s="344"/>
      <c r="DG7" s="344"/>
      <c r="DH7" s="344"/>
      <c r="DI7" s="344"/>
      <c r="DJ7" s="344"/>
      <c r="DK7" s="344"/>
      <c r="DL7" s="344"/>
      <c r="DM7" s="344"/>
      <c r="DN7" s="344"/>
      <c r="DO7" s="344"/>
      <c r="DP7" s="344"/>
      <c r="DQ7" s="344"/>
      <c r="DR7" s="344"/>
      <c r="DS7" s="344"/>
      <c r="DT7" s="344"/>
      <c r="DU7" s="344"/>
      <c r="DV7" s="344"/>
      <c r="DW7" s="344"/>
      <c r="DX7" s="344"/>
      <c r="DY7" s="344"/>
      <c r="DZ7" s="344"/>
      <c r="EA7" s="344"/>
      <c r="EB7" s="344"/>
      <c r="EC7" s="344"/>
      <c r="ED7" s="344"/>
      <c r="EE7" s="344"/>
      <c r="EF7" s="344"/>
      <c r="EG7" s="344"/>
      <c r="EH7" s="344"/>
      <c r="EI7" s="344"/>
      <c r="EJ7" s="344"/>
      <c r="EK7" s="344"/>
      <c r="EL7" s="344"/>
      <c r="EM7" s="344"/>
      <c r="EN7" s="344"/>
      <c r="EO7" s="344"/>
      <c r="EP7" s="344"/>
      <c r="EQ7" s="344"/>
      <c r="ER7" s="344"/>
      <c r="ES7" s="344"/>
      <c r="ET7" s="344"/>
      <c r="EU7" s="344"/>
      <c r="EV7" s="344"/>
      <c r="EW7" s="344"/>
      <c r="EX7" s="344"/>
      <c r="EY7" s="344"/>
      <c r="EZ7" s="344"/>
      <c r="FA7" s="344"/>
      <c r="FB7" s="344"/>
      <c r="FC7" s="344"/>
      <c r="FD7" s="344"/>
      <c r="FE7" s="344"/>
      <c r="FF7" s="344"/>
      <c r="FG7" s="344"/>
      <c r="FH7" s="344"/>
      <c r="FI7" s="344"/>
      <c r="FJ7" s="344"/>
      <c r="FK7" s="344"/>
      <c r="FL7" s="344"/>
      <c r="FM7" s="344"/>
      <c r="FN7" s="344"/>
      <c r="FO7" s="344"/>
      <c r="FP7" s="344"/>
      <c r="FQ7" s="344"/>
      <c r="FR7" s="344"/>
      <c r="FS7" s="344"/>
      <c r="FT7" s="344"/>
      <c r="FU7" s="344"/>
      <c r="FV7" s="344"/>
      <c r="FW7" s="344"/>
      <c r="FX7" s="344"/>
      <c r="FY7" s="344"/>
      <c r="FZ7" s="344"/>
      <c r="GA7" s="344"/>
      <c r="GB7" s="344"/>
      <c r="GC7" s="344"/>
      <c r="GD7" s="344"/>
      <c r="GE7" s="344"/>
      <c r="GF7" s="344"/>
      <c r="GG7" s="344"/>
      <c r="GH7" s="344"/>
      <c r="GI7" s="344"/>
      <c r="GJ7" s="344"/>
      <c r="GK7" s="344"/>
      <c r="GL7" s="344"/>
      <c r="GM7" s="344"/>
      <c r="GN7" s="344"/>
      <c r="GO7" s="344"/>
      <c r="GP7" s="344"/>
      <c r="GQ7" s="344"/>
      <c r="GR7" s="344"/>
      <c r="GS7" s="344"/>
      <c r="GT7" s="344"/>
      <c r="GU7" s="344"/>
      <c r="GV7" s="344"/>
      <c r="GW7" s="344"/>
      <c r="GX7" s="344"/>
      <c r="GY7" s="344"/>
      <c r="GZ7" s="344"/>
      <c r="HA7" s="344"/>
      <c r="HB7" s="344"/>
      <c r="HC7" s="344"/>
      <c r="HD7" s="344"/>
      <c r="HE7" s="344"/>
      <c r="HF7" s="344"/>
      <c r="HG7" s="344"/>
      <c r="HH7" s="344"/>
      <c r="HI7" s="344"/>
      <c r="HJ7" s="344"/>
      <c r="HK7" s="344"/>
      <c r="HL7" s="344"/>
      <c r="HM7" s="344"/>
      <c r="HN7" s="344"/>
      <c r="HO7" s="344"/>
      <c r="HP7" s="344"/>
      <c r="HQ7" s="344"/>
      <c r="HR7" s="344"/>
      <c r="HS7" s="344"/>
      <c r="HT7" s="344"/>
      <c r="HU7" s="344"/>
      <c r="HV7" s="344"/>
      <c r="HW7" s="344"/>
      <c r="HX7" s="344"/>
      <c r="HY7" s="344"/>
      <c r="HZ7" s="344"/>
      <c r="IA7" s="344"/>
      <c r="IB7" s="344"/>
      <c r="IC7" s="344"/>
      <c r="ID7" s="344"/>
      <c r="IE7" s="344"/>
      <c r="IF7" s="344"/>
      <c r="IG7" s="344"/>
      <c r="IH7" s="344"/>
      <c r="II7" s="344"/>
      <c r="IJ7" s="344"/>
      <c r="IK7" s="344"/>
      <c r="IL7" s="344"/>
      <c r="IM7" s="344"/>
      <c r="IN7" s="344"/>
      <c r="IO7" s="344"/>
      <c r="IP7" s="344"/>
      <c r="IQ7" s="344"/>
      <c r="IR7" s="344"/>
      <c r="IS7" s="344"/>
      <c r="IT7" s="344"/>
      <c r="IU7" s="344"/>
      <c r="IV7" s="344"/>
      <c r="IW7" s="344"/>
    </row>
    <row r="8" customFormat="false" ht="15.95" hidden="false" customHeight="true" outlineLevel="0" collapsed="false">
      <c r="A8" s="457" t="n">
        <v>1</v>
      </c>
      <c r="B8" s="458"/>
      <c r="C8" s="459"/>
      <c r="D8" s="460"/>
      <c r="E8" s="459"/>
      <c r="F8" s="460"/>
      <c r="G8" s="461"/>
      <c r="H8" s="462"/>
      <c r="I8" s="463" t="n">
        <f aca="false">I$7</f>
        <v>0</v>
      </c>
      <c r="J8" s="464" t="n">
        <f aca="false">J$7</f>
        <v>0</v>
      </c>
      <c r="K8" s="464" t="n">
        <f aca="false">K$7</f>
        <v>0</v>
      </c>
      <c r="L8" s="464" t="n">
        <f aca="false">L$7</f>
        <v>0</v>
      </c>
      <c r="M8" s="464" t="n">
        <f aca="false">M$7</f>
        <v>0</v>
      </c>
      <c r="N8" s="465" t="n">
        <f aca="false">N$7</f>
        <v>0</v>
      </c>
      <c r="O8" s="466" t="n">
        <f aca="false">SUM(I8:N8)*$K$2</f>
        <v>0</v>
      </c>
      <c r="P8" s="467"/>
      <c r="Q8" s="468"/>
      <c r="R8" s="469" t="n">
        <f aca="false">P8-O8</f>
        <v>0</v>
      </c>
      <c r="S8" s="470" t="n">
        <f aca="false">IF(ISNA(VLOOKUP(D8,$B$28:$M$178,12)*V28)=TRUE(),0,VLOOKUP(D8,$B$28:$M$178,12)*V28)</f>
        <v>0</v>
      </c>
      <c r="T8" s="471"/>
      <c r="U8" s="353"/>
      <c r="V8" s="353"/>
      <c r="W8" s="353"/>
      <c r="X8" s="353"/>
      <c r="Y8" s="353"/>
      <c r="Z8" s="353"/>
      <c r="AA8" s="353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  <c r="BI8" s="353"/>
      <c r="BJ8" s="353"/>
      <c r="BK8" s="353"/>
      <c r="BL8" s="353"/>
      <c r="BM8" s="353"/>
      <c r="BN8" s="353"/>
      <c r="BO8" s="353"/>
      <c r="BP8" s="353"/>
      <c r="BQ8" s="353"/>
      <c r="BR8" s="353"/>
      <c r="BS8" s="353"/>
      <c r="BT8" s="353"/>
      <c r="BU8" s="353"/>
      <c r="BV8" s="353"/>
      <c r="BW8" s="353"/>
      <c r="BX8" s="353"/>
      <c r="BY8" s="353"/>
      <c r="BZ8" s="353"/>
      <c r="CA8" s="353"/>
      <c r="CB8" s="353"/>
      <c r="CC8" s="353"/>
      <c r="CD8" s="353"/>
      <c r="CE8" s="353"/>
      <c r="CF8" s="353"/>
      <c r="CG8" s="353"/>
      <c r="CH8" s="353"/>
      <c r="CI8" s="353"/>
      <c r="CJ8" s="353"/>
      <c r="CK8" s="353"/>
      <c r="CL8" s="353"/>
      <c r="CM8" s="353"/>
      <c r="CN8" s="353"/>
      <c r="CO8" s="353"/>
      <c r="CP8" s="353"/>
      <c r="CQ8" s="353"/>
      <c r="CR8" s="353"/>
      <c r="CS8" s="353"/>
      <c r="CT8" s="353"/>
      <c r="CU8" s="353"/>
      <c r="CV8" s="353"/>
      <c r="CW8" s="353"/>
      <c r="CX8" s="353"/>
      <c r="CY8" s="353"/>
      <c r="CZ8" s="353"/>
      <c r="DA8" s="353"/>
      <c r="DB8" s="353"/>
      <c r="DC8" s="353"/>
      <c r="DD8" s="353"/>
      <c r="DE8" s="353"/>
      <c r="DF8" s="353"/>
      <c r="DG8" s="353"/>
      <c r="DH8" s="353"/>
      <c r="DI8" s="353"/>
      <c r="DJ8" s="353"/>
      <c r="DK8" s="353"/>
      <c r="DL8" s="353"/>
      <c r="DM8" s="353"/>
      <c r="DN8" s="353"/>
      <c r="DO8" s="353"/>
      <c r="DP8" s="353"/>
      <c r="DQ8" s="353"/>
      <c r="DR8" s="353"/>
      <c r="DS8" s="353"/>
      <c r="DT8" s="353"/>
      <c r="DU8" s="353"/>
      <c r="DV8" s="353"/>
      <c r="DW8" s="353"/>
      <c r="DX8" s="353"/>
      <c r="DY8" s="353"/>
      <c r="DZ8" s="353"/>
      <c r="EA8" s="353"/>
      <c r="EB8" s="353"/>
      <c r="EC8" s="353"/>
      <c r="ED8" s="353"/>
      <c r="EE8" s="353"/>
      <c r="EF8" s="353"/>
      <c r="EG8" s="353"/>
      <c r="EH8" s="353"/>
      <c r="EI8" s="353"/>
      <c r="EJ8" s="353"/>
      <c r="EK8" s="353"/>
      <c r="EL8" s="353"/>
      <c r="EM8" s="353"/>
      <c r="EN8" s="353"/>
      <c r="EO8" s="353"/>
      <c r="EP8" s="353"/>
      <c r="EQ8" s="353"/>
      <c r="ER8" s="353"/>
      <c r="ES8" s="353"/>
      <c r="ET8" s="353"/>
      <c r="EU8" s="353"/>
      <c r="EV8" s="353"/>
      <c r="EW8" s="353"/>
      <c r="EX8" s="353"/>
      <c r="EY8" s="353"/>
      <c r="EZ8" s="353"/>
      <c r="FA8" s="353"/>
      <c r="FB8" s="353"/>
      <c r="FC8" s="353"/>
      <c r="FD8" s="353"/>
      <c r="FE8" s="353"/>
      <c r="FF8" s="353"/>
      <c r="FG8" s="353"/>
      <c r="FH8" s="353"/>
      <c r="FI8" s="353"/>
      <c r="FJ8" s="353"/>
      <c r="FK8" s="353"/>
      <c r="FL8" s="353"/>
      <c r="FM8" s="353"/>
      <c r="FN8" s="353"/>
      <c r="FO8" s="353"/>
      <c r="FP8" s="353"/>
      <c r="FQ8" s="353"/>
      <c r="FR8" s="353"/>
      <c r="FS8" s="353"/>
      <c r="FT8" s="353"/>
      <c r="FU8" s="353"/>
      <c r="FV8" s="353"/>
      <c r="FW8" s="353"/>
      <c r="FX8" s="353"/>
      <c r="FY8" s="353"/>
      <c r="FZ8" s="353"/>
      <c r="GA8" s="353"/>
      <c r="GB8" s="353"/>
      <c r="GC8" s="353"/>
      <c r="GD8" s="353"/>
      <c r="GE8" s="353"/>
      <c r="GF8" s="353"/>
      <c r="GG8" s="353"/>
      <c r="GH8" s="353"/>
      <c r="GI8" s="353"/>
      <c r="GJ8" s="353"/>
      <c r="GK8" s="353"/>
      <c r="GL8" s="353"/>
      <c r="GM8" s="353"/>
      <c r="GN8" s="353"/>
      <c r="GO8" s="353"/>
      <c r="GP8" s="353"/>
      <c r="GQ8" s="353"/>
      <c r="GR8" s="353"/>
      <c r="GS8" s="353"/>
      <c r="GT8" s="353"/>
      <c r="GU8" s="353"/>
      <c r="GV8" s="353"/>
      <c r="GW8" s="353"/>
      <c r="GX8" s="353"/>
      <c r="GY8" s="353"/>
      <c r="GZ8" s="353"/>
      <c r="HA8" s="353"/>
      <c r="HB8" s="353"/>
      <c r="HC8" s="353"/>
      <c r="HD8" s="353"/>
      <c r="HE8" s="353"/>
      <c r="HF8" s="353"/>
      <c r="HG8" s="353"/>
      <c r="HH8" s="353"/>
      <c r="HI8" s="353"/>
      <c r="HJ8" s="353"/>
      <c r="HK8" s="353"/>
      <c r="HL8" s="353"/>
      <c r="HM8" s="353"/>
      <c r="HN8" s="353"/>
      <c r="HO8" s="353"/>
      <c r="HP8" s="353"/>
      <c r="HQ8" s="353"/>
      <c r="HR8" s="353"/>
      <c r="HS8" s="353"/>
      <c r="HT8" s="353"/>
      <c r="HU8" s="353"/>
      <c r="HV8" s="353"/>
      <c r="HW8" s="353"/>
      <c r="HX8" s="353"/>
      <c r="HY8" s="353"/>
      <c r="HZ8" s="353"/>
      <c r="IA8" s="353"/>
      <c r="IB8" s="353"/>
      <c r="IC8" s="353"/>
      <c r="ID8" s="353"/>
      <c r="IE8" s="353"/>
      <c r="IF8" s="353"/>
      <c r="IG8" s="353"/>
      <c r="IH8" s="353"/>
      <c r="II8" s="353"/>
      <c r="IJ8" s="353"/>
      <c r="IK8" s="353"/>
      <c r="IL8" s="353"/>
      <c r="IM8" s="353"/>
      <c r="IN8" s="353"/>
      <c r="IO8" s="353"/>
      <c r="IP8" s="353"/>
      <c r="IQ8" s="353"/>
      <c r="IR8" s="353"/>
      <c r="IS8" s="353"/>
      <c r="IT8" s="353"/>
      <c r="IU8" s="353"/>
      <c r="IV8" s="353"/>
      <c r="IW8" s="353"/>
    </row>
    <row r="9" customFormat="false" ht="15.95" hidden="false" customHeight="true" outlineLevel="0" collapsed="false">
      <c r="A9" s="472" t="n">
        <v>2</v>
      </c>
      <c r="B9" s="473"/>
      <c r="C9" s="356"/>
      <c r="D9" s="357"/>
      <c r="E9" s="356"/>
      <c r="F9" s="357"/>
      <c r="G9" s="474"/>
      <c r="H9" s="475"/>
      <c r="I9" s="476" t="n">
        <f aca="false">I$7</f>
        <v>0</v>
      </c>
      <c r="J9" s="477" t="n">
        <f aca="false">J$7</f>
        <v>0</v>
      </c>
      <c r="K9" s="477" t="n">
        <f aca="false">K$7</f>
        <v>0</v>
      </c>
      <c r="L9" s="477" t="n">
        <f aca="false">L$7</f>
        <v>0</v>
      </c>
      <c r="M9" s="477" t="n">
        <f aca="false">M$7</f>
        <v>0</v>
      </c>
      <c r="N9" s="478" t="n">
        <f aca="false">N$7</f>
        <v>0</v>
      </c>
      <c r="O9" s="466" t="n">
        <f aca="false">SUM(I9:N9)*$K$2</f>
        <v>0</v>
      </c>
      <c r="P9" s="479"/>
      <c r="Q9" s="359"/>
      <c r="R9" s="469" t="n">
        <f aca="false">P9-O9</f>
        <v>0</v>
      </c>
      <c r="S9" s="470" t="n">
        <f aca="false">IF(ISNA(VLOOKUP(D9,$B$28:$W$178,12)*V29)=TRUE(),0,VLOOKUP(D9,$B$28:$W$178,12)*V29)</f>
        <v>0</v>
      </c>
      <c r="T9" s="480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353"/>
      <c r="AH9" s="353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3"/>
      <c r="AV9" s="353"/>
      <c r="AW9" s="353"/>
      <c r="AX9" s="353"/>
      <c r="AY9" s="353"/>
      <c r="AZ9" s="353"/>
      <c r="BA9" s="353"/>
      <c r="BB9" s="353"/>
      <c r="BC9" s="353"/>
      <c r="BD9" s="353"/>
      <c r="BE9" s="353"/>
      <c r="BF9" s="353"/>
      <c r="BG9" s="353"/>
      <c r="BH9" s="353"/>
      <c r="BI9" s="353"/>
      <c r="BJ9" s="353"/>
      <c r="BK9" s="353"/>
      <c r="BL9" s="353"/>
      <c r="BM9" s="353"/>
      <c r="BN9" s="353"/>
      <c r="BO9" s="353"/>
      <c r="BP9" s="353"/>
      <c r="BQ9" s="353"/>
      <c r="BR9" s="353"/>
      <c r="BS9" s="353"/>
      <c r="BT9" s="353"/>
      <c r="BU9" s="353"/>
      <c r="BV9" s="353"/>
      <c r="BW9" s="353"/>
      <c r="BX9" s="353"/>
      <c r="BY9" s="353"/>
      <c r="BZ9" s="353"/>
      <c r="CA9" s="353"/>
      <c r="CB9" s="353"/>
      <c r="CC9" s="353"/>
      <c r="CD9" s="353"/>
      <c r="CE9" s="353"/>
      <c r="CF9" s="353"/>
      <c r="CG9" s="353"/>
      <c r="CH9" s="353"/>
      <c r="CI9" s="353"/>
      <c r="CJ9" s="353"/>
      <c r="CK9" s="353"/>
      <c r="CL9" s="353"/>
      <c r="CM9" s="353"/>
      <c r="CN9" s="353"/>
      <c r="CO9" s="353"/>
      <c r="CP9" s="353"/>
      <c r="CQ9" s="353"/>
      <c r="CR9" s="353"/>
      <c r="CS9" s="353"/>
      <c r="CT9" s="353"/>
      <c r="CU9" s="353"/>
      <c r="CV9" s="353"/>
      <c r="CW9" s="353"/>
      <c r="CX9" s="353"/>
      <c r="CY9" s="353"/>
      <c r="CZ9" s="353"/>
      <c r="DA9" s="353"/>
      <c r="DB9" s="353"/>
      <c r="DC9" s="353"/>
      <c r="DD9" s="353"/>
      <c r="DE9" s="353"/>
      <c r="DF9" s="353"/>
      <c r="DG9" s="353"/>
      <c r="DH9" s="353"/>
      <c r="DI9" s="353"/>
      <c r="DJ9" s="353"/>
      <c r="DK9" s="353"/>
      <c r="DL9" s="353"/>
      <c r="DM9" s="353"/>
      <c r="DN9" s="353"/>
      <c r="DO9" s="353"/>
      <c r="DP9" s="353"/>
      <c r="DQ9" s="353"/>
      <c r="DR9" s="353"/>
      <c r="DS9" s="353"/>
      <c r="DT9" s="353"/>
      <c r="DU9" s="353"/>
      <c r="DV9" s="353"/>
      <c r="DW9" s="353"/>
      <c r="DX9" s="353"/>
      <c r="DY9" s="353"/>
      <c r="DZ9" s="353"/>
      <c r="EA9" s="353"/>
      <c r="EB9" s="353"/>
      <c r="EC9" s="353"/>
      <c r="ED9" s="353"/>
      <c r="EE9" s="353"/>
      <c r="EF9" s="353"/>
      <c r="EG9" s="353"/>
      <c r="EH9" s="353"/>
      <c r="EI9" s="353"/>
      <c r="EJ9" s="353"/>
      <c r="EK9" s="353"/>
      <c r="EL9" s="353"/>
      <c r="EM9" s="353"/>
      <c r="EN9" s="353"/>
      <c r="EO9" s="353"/>
      <c r="EP9" s="353"/>
      <c r="EQ9" s="353"/>
      <c r="ER9" s="353"/>
      <c r="ES9" s="353"/>
      <c r="ET9" s="353"/>
      <c r="EU9" s="353"/>
      <c r="EV9" s="353"/>
      <c r="EW9" s="353"/>
      <c r="EX9" s="353"/>
      <c r="EY9" s="353"/>
      <c r="EZ9" s="353"/>
      <c r="FA9" s="353"/>
      <c r="FB9" s="353"/>
      <c r="FC9" s="353"/>
      <c r="FD9" s="353"/>
      <c r="FE9" s="353"/>
      <c r="FF9" s="353"/>
      <c r="FG9" s="353"/>
      <c r="FH9" s="353"/>
      <c r="FI9" s="353"/>
      <c r="FJ9" s="353"/>
      <c r="FK9" s="353"/>
      <c r="FL9" s="353"/>
      <c r="FM9" s="353"/>
      <c r="FN9" s="353"/>
      <c r="FO9" s="353"/>
      <c r="FP9" s="353"/>
      <c r="FQ9" s="353"/>
      <c r="FR9" s="353"/>
      <c r="FS9" s="353"/>
      <c r="FT9" s="353"/>
      <c r="FU9" s="353"/>
      <c r="FV9" s="353"/>
      <c r="FW9" s="353"/>
      <c r="FX9" s="353"/>
      <c r="FY9" s="353"/>
      <c r="FZ9" s="353"/>
      <c r="GA9" s="353"/>
      <c r="GB9" s="353"/>
      <c r="GC9" s="353"/>
      <c r="GD9" s="353"/>
      <c r="GE9" s="353"/>
      <c r="GF9" s="353"/>
      <c r="GG9" s="353"/>
      <c r="GH9" s="353"/>
      <c r="GI9" s="353"/>
      <c r="GJ9" s="353"/>
      <c r="GK9" s="353"/>
      <c r="GL9" s="353"/>
      <c r="GM9" s="353"/>
      <c r="GN9" s="353"/>
      <c r="GO9" s="353"/>
      <c r="GP9" s="353"/>
      <c r="GQ9" s="353"/>
      <c r="GR9" s="353"/>
      <c r="GS9" s="353"/>
      <c r="GT9" s="353"/>
      <c r="GU9" s="353"/>
      <c r="GV9" s="353"/>
      <c r="GW9" s="353"/>
      <c r="GX9" s="353"/>
      <c r="GY9" s="353"/>
      <c r="GZ9" s="353"/>
      <c r="HA9" s="353"/>
      <c r="HB9" s="353"/>
      <c r="HC9" s="353"/>
      <c r="HD9" s="353"/>
      <c r="HE9" s="353"/>
      <c r="HF9" s="353"/>
      <c r="HG9" s="353"/>
      <c r="HH9" s="353"/>
      <c r="HI9" s="353"/>
      <c r="HJ9" s="353"/>
      <c r="HK9" s="353"/>
      <c r="HL9" s="353"/>
      <c r="HM9" s="353"/>
      <c r="HN9" s="353"/>
      <c r="HO9" s="353"/>
      <c r="HP9" s="353"/>
      <c r="HQ9" s="353"/>
      <c r="HR9" s="353"/>
      <c r="HS9" s="353"/>
      <c r="HT9" s="353"/>
      <c r="HU9" s="353"/>
      <c r="HV9" s="353"/>
      <c r="HW9" s="353"/>
      <c r="HX9" s="353"/>
      <c r="HY9" s="353"/>
      <c r="HZ9" s="353"/>
      <c r="IA9" s="353"/>
      <c r="IB9" s="353"/>
      <c r="IC9" s="353"/>
      <c r="ID9" s="353"/>
      <c r="IE9" s="353"/>
      <c r="IF9" s="353"/>
      <c r="IG9" s="353"/>
      <c r="IH9" s="353"/>
      <c r="II9" s="353"/>
      <c r="IJ9" s="353"/>
      <c r="IK9" s="353"/>
      <c r="IL9" s="353"/>
      <c r="IM9" s="353"/>
      <c r="IN9" s="353"/>
      <c r="IO9" s="353"/>
      <c r="IP9" s="353"/>
      <c r="IQ9" s="353"/>
      <c r="IR9" s="353"/>
      <c r="IS9" s="353"/>
      <c r="IT9" s="353"/>
      <c r="IU9" s="353"/>
      <c r="IV9" s="353"/>
      <c r="IW9" s="353"/>
    </row>
    <row r="10" customFormat="false" ht="15.95" hidden="false" customHeight="true" outlineLevel="0" collapsed="false">
      <c r="A10" s="472" t="n">
        <v>3</v>
      </c>
      <c r="B10" s="473"/>
      <c r="C10" s="356"/>
      <c r="D10" s="357"/>
      <c r="E10" s="356"/>
      <c r="F10" s="357"/>
      <c r="G10" s="474"/>
      <c r="H10" s="475"/>
      <c r="I10" s="476" t="n">
        <f aca="false">I$7</f>
        <v>0</v>
      </c>
      <c r="J10" s="477" t="n">
        <f aca="false">J$7</f>
        <v>0</v>
      </c>
      <c r="K10" s="477" t="n">
        <f aca="false">K$7</f>
        <v>0</v>
      </c>
      <c r="L10" s="477" t="n">
        <f aca="false">L$7</f>
        <v>0</v>
      </c>
      <c r="M10" s="477" t="n">
        <f aca="false">M$7</f>
        <v>0</v>
      </c>
      <c r="N10" s="478" t="n">
        <f aca="false">N$7</f>
        <v>0</v>
      </c>
      <c r="O10" s="466" t="n">
        <f aca="false">SUM(I10:N10)*$K$2</f>
        <v>0</v>
      </c>
      <c r="P10" s="481"/>
      <c r="Q10" s="482"/>
      <c r="R10" s="469" t="n">
        <f aca="false">P10-O10</f>
        <v>0</v>
      </c>
      <c r="S10" s="470" t="n">
        <f aca="false">IF(ISNA(VLOOKUP(D10,$B$28:$W$178,12)*V30)=TRUE(),0,VLOOKUP(D10,$B$28:$W$178,12)*V30)</f>
        <v>0</v>
      </c>
      <c r="T10" s="480"/>
      <c r="U10" s="363"/>
      <c r="V10" s="363"/>
      <c r="W10" s="363"/>
      <c r="X10" s="363"/>
      <c r="Y10" s="363"/>
      <c r="Z10" s="363"/>
      <c r="AA10" s="363"/>
      <c r="AB10" s="363"/>
      <c r="AC10" s="363"/>
      <c r="AD10" s="363"/>
      <c r="AE10" s="363"/>
      <c r="AF10" s="363"/>
      <c r="AG10" s="363"/>
      <c r="AH10" s="363"/>
      <c r="AI10" s="363"/>
      <c r="AJ10" s="363"/>
      <c r="AK10" s="363"/>
      <c r="AL10" s="363"/>
      <c r="AM10" s="363"/>
      <c r="AN10" s="363"/>
      <c r="AO10" s="36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  <c r="BC10" s="353"/>
      <c r="BD10" s="353"/>
      <c r="BE10" s="353"/>
      <c r="BF10" s="353"/>
      <c r="BG10" s="353"/>
      <c r="BH10" s="353"/>
      <c r="BI10" s="353"/>
      <c r="BJ10" s="353"/>
      <c r="BK10" s="353"/>
      <c r="BL10" s="353"/>
      <c r="BM10" s="353"/>
      <c r="BN10" s="353"/>
      <c r="BO10" s="353"/>
      <c r="BP10" s="353"/>
      <c r="BQ10" s="353"/>
      <c r="BR10" s="353"/>
      <c r="BS10" s="353"/>
      <c r="BT10" s="353"/>
      <c r="BU10" s="353"/>
      <c r="BV10" s="353"/>
      <c r="BW10" s="353"/>
      <c r="BX10" s="353"/>
      <c r="BY10" s="353"/>
      <c r="BZ10" s="353"/>
      <c r="CA10" s="353"/>
      <c r="CB10" s="353"/>
      <c r="CC10" s="353"/>
      <c r="CD10" s="353"/>
      <c r="CE10" s="353"/>
      <c r="CF10" s="353"/>
      <c r="CG10" s="353"/>
      <c r="CH10" s="353"/>
      <c r="CI10" s="353"/>
      <c r="CJ10" s="353"/>
      <c r="CK10" s="353"/>
      <c r="CL10" s="353"/>
      <c r="CM10" s="353"/>
      <c r="CN10" s="353"/>
      <c r="CO10" s="353"/>
      <c r="CP10" s="353"/>
      <c r="CQ10" s="353"/>
      <c r="CR10" s="353"/>
      <c r="CS10" s="353"/>
      <c r="CT10" s="353"/>
      <c r="CU10" s="353"/>
      <c r="CV10" s="353"/>
      <c r="CW10" s="353"/>
      <c r="CX10" s="353"/>
      <c r="CY10" s="353"/>
      <c r="CZ10" s="353"/>
      <c r="DA10" s="353"/>
      <c r="DB10" s="353"/>
      <c r="DC10" s="353"/>
      <c r="DD10" s="353"/>
      <c r="DE10" s="353"/>
      <c r="DF10" s="353"/>
      <c r="DG10" s="353"/>
      <c r="DH10" s="353"/>
      <c r="DI10" s="353"/>
      <c r="DJ10" s="353"/>
      <c r="DK10" s="353"/>
      <c r="DL10" s="353"/>
      <c r="DM10" s="353"/>
      <c r="DN10" s="353"/>
      <c r="DO10" s="353"/>
      <c r="DP10" s="353"/>
      <c r="DQ10" s="353"/>
      <c r="DR10" s="353"/>
      <c r="DS10" s="353"/>
      <c r="DT10" s="353"/>
      <c r="DU10" s="353"/>
      <c r="DV10" s="353"/>
      <c r="DW10" s="353"/>
      <c r="DX10" s="353"/>
      <c r="DY10" s="353"/>
      <c r="DZ10" s="353"/>
      <c r="EA10" s="353"/>
      <c r="EB10" s="353"/>
      <c r="EC10" s="353"/>
      <c r="ED10" s="353"/>
      <c r="EE10" s="353"/>
      <c r="EF10" s="353"/>
      <c r="EG10" s="353"/>
      <c r="EH10" s="353"/>
      <c r="EI10" s="353"/>
      <c r="EJ10" s="353"/>
      <c r="EK10" s="353"/>
      <c r="EL10" s="353"/>
      <c r="EM10" s="353"/>
      <c r="EN10" s="353"/>
      <c r="EO10" s="353"/>
      <c r="EP10" s="353"/>
      <c r="EQ10" s="353"/>
      <c r="ER10" s="353"/>
      <c r="ES10" s="353"/>
      <c r="ET10" s="353"/>
      <c r="EU10" s="353"/>
      <c r="EV10" s="353"/>
      <c r="EW10" s="353"/>
      <c r="EX10" s="353"/>
      <c r="EY10" s="353"/>
      <c r="EZ10" s="353"/>
      <c r="FA10" s="353"/>
      <c r="FB10" s="353"/>
      <c r="FC10" s="353"/>
      <c r="FD10" s="353"/>
      <c r="FE10" s="353"/>
      <c r="FF10" s="353"/>
      <c r="FG10" s="353"/>
      <c r="FH10" s="353"/>
      <c r="FI10" s="353"/>
      <c r="FJ10" s="353"/>
      <c r="FK10" s="353"/>
      <c r="FL10" s="353"/>
      <c r="FM10" s="353"/>
      <c r="FN10" s="353"/>
      <c r="FO10" s="353"/>
      <c r="FP10" s="353"/>
      <c r="FQ10" s="353"/>
      <c r="FR10" s="353"/>
      <c r="FS10" s="353"/>
      <c r="FT10" s="353"/>
      <c r="FU10" s="353"/>
      <c r="FV10" s="353"/>
      <c r="FW10" s="353"/>
      <c r="FX10" s="353"/>
      <c r="FY10" s="353"/>
      <c r="FZ10" s="353"/>
      <c r="GA10" s="353"/>
      <c r="GB10" s="353"/>
      <c r="GC10" s="353"/>
      <c r="GD10" s="353"/>
      <c r="GE10" s="353"/>
      <c r="GF10" s="353"/>
      <c r="GG10" s="353"/>
      <c r="GH10" s="353"/>
      <c r="GI10" s="353"/>
      <c r="GJ10" s="353"/>
      <c r="GK10" s="353"/>
      <c r="GL10" s="353"/>
      <c r="GM10" s="353"/>
      <c r="GN10" s="353"/>
      <c r="GO10" s="353"/>
      <c r="GP10" s="353"/>
      <c r="GQ10" s="353"/>
      <c r="GR10" s="353"/>
      <c r="GS10" s="353"/>
      <c r="GT10" s="353"/>
      <c r="GU10" s="353"/>
      <c r="GV10" s="353"/>
      <c r="GW10" s="353"/>
      <c r="GX10" s="353"/>
      <c r="GY10" s="353"/>
      <c r="GZ10" s="353"/>
      <c r="HA10" s="353"/>
      <c r="HB10" s="353"/>
      <c r="HC10" s="353"/>
      <c r="HD10" s="353"/>
      <c r="HE10" s="353"/>
      <c r="HF10" s="353"/>
      <c r="HG10" s="353"/>
      <c r="HH10" s="353"/>
      <c r="HI10" s="353"/>
      <c r="HJ10" s="353"/>
      <c r="HK10" s="353"/>
      <c r="HL10" s="353"/>
      <c r="HM10" s="353"/>
      <c r="HN10" s="353"/>
      <c r="HO10" s="353"/>
      <c r="HP10" s="353"/>
      <c r="HQ10" s="353"/>
      <c r="HR10" s="353"/>
      <c r="HS10" s="353"/>
      <c r="HT10" s="353"/>
      <c r="HU10" s="353"/>
      <c r="HV10" s="353"/>
      <c r="HW10" s="353"/>
      <c r="HX10" s="353"/>
      <c r="HY10" s="353"/>
      <c r="HZ10" s="353"/>
      <c r="IA10" s="353"/>
      <c r="IB10" s="353"/>
      <c r="IC10" s="353"/>
      <c r="ID10" s="353"/>
      <c r="IE10" s="353"/>
      <c r="IF10" s="353"/>
      <c r="IG10" s="353"/>
      <c r="IH10" s="353"/>
      <c r="II10" s="353"/>
      <c r="IJ10" s="353"/>
      <c r="IK10" s="353"/>
      <c r="IL10" s="353"/>
      <c r="IM10" s="353"/>
      <c r="IN10" s="353"/>
      <c r="IO10" s="353"/>
      <c r="IP10" s="353"/>
      <c r="IQ10" s="353"/>
      <c r="IR10" s="353"/>
      <c r="IS10" s="353"/>
      <c r="IT10" s="353"/>
      <c r="IU10" s="353"/>
      <c r="IV10" s="353"/>
      <c r="IW10" s="353"/>
    </row>
    <row r="11" customFormat="false" ht="15.95" hidden="false" customHeight="true" outlineLevel="0" collapsed="false">
      <c r="A11" s="472" t="n">
        <v>4</v>
      </c>
      <c r="B11" s="473"/>
      <c r="C11" s="356"/>
      <c r="D11" s="357"/>
      <c r="E11" s="356"/>
      <c r="F11" s="357"/>
      <c r="G11" s="474"/>
      <c r="H11" s="475"/>
      <c r="I11" s="476" t="n">
        <f aca="false">I$7</f>
        <v>0</v>
      </c>
      <c r="J11" s="477" t="n">
        <f aca="false">J$7</f>
        <v>0</v>
      </c>
      <c r="K11" s="477" t="n">
        <f aca="false">K$7</f>
        <v>0</v>
      </c>
      <c r="L11" s="477" t="n">
        <f aca="false">L$7</f>
        <v>0</v>
      </c>
      <c r="M11" s="477" t="n">
        <f aca="false">M$7</f>
        <v>0</v>
      </c>
      <c r="N11" s="478" t="n">
        <f aca="false">N$7</f>
        <v>0</v>
      </c>
      <c r="O11" s="466" t="n">
        <f aca="false">SUM(I11:N11)*$K$2</f>
        <v>0</v>
      </c>
      <c r="P11" s="481"/>
      <c r="Q11" s="482"/>
      <c r="R11" s="469" t="n">
        <f aca="false">P11-O11</f>
        <v>0</v>
      </c>
      <c r="S11" s="470" t="n">
        <f aca="false">IF(ISNA(VLOOKUP(D11,$B$28:$W$178,12)*V31)=TRUE(),0,VLOOKUP(D11,$B$28:$W$178,12)*V31)</f>
        <v>0</v>
      </c>
      <c r="T11" s="480"/>
      <c r="U11" s="36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353"/>
      <c r="AV11" s="353"/>
      <c r="AW11" s="353"/>
      <c r="AX11" s="353"/>
      <c r="AY11" s="353"/>
      <c r="AZ11" s="353"/>
      <c r="BA11" s="353"/>
      <c r="BB11" s="353"/>
      <c r="BC11" s="353"/>
      <c r="BD11" s="353"/>
      <c r="BE11" s="353"/>
      <c r="BF11" s="353"/>
      <c r="BG11" s="353"/>
      <c r="BH11" s="353"/>
      <c r="BI11" s="353"/>
      <c r="BJ11" s="353"/>
      <c r="BK11" s="353"/>
      <c r="BL11" s="353"/>
      <c r="BM11" s="353"/>
      <c r="BN11" s="353"/>
      <c r="BO11" s="353"/>
      <c r="BP11" s="353"/>
      <c r="BQ11" s="353"/>
      <c r="BR11" s="353"/>
      <c r="BS11" s="353"/>
      <c r="BT11" s="353"/>
      <c r="BU11" s="353"/>
      <c r="BV11" s="353"/>
      <c r="BW11" s="353"/>
      <c r="BX11" s="353"/>
      <c r="BY11" s="353"/>
      <c r="BZ11" s="353"/>
      <c r="CA11" s="353"/>
      <c r="CB11" s="353"/>
      <c r="CC11" s="353"/>
      <c r="CD11" s="353"/>
      <c r="CE11" s="353"/>
      <c r="CF11" s="353"/>
      <c r="CG11" s="353"/>
      <c r="CH11" s="353"/>
      <c r="CI11" s="353"/>
      <c r="CJ11" s="353"/>
      <c r="CK11" s="353"/>
      <c r="CL11" s="353"/>
      <c r="CM11" s="353"/>
      <c r="CN11" s="353"/>
      <c r="CO11" s="353"/>
      <c r="CP11" s="353"/>
      <c r="CQ11" s="353"/>
      <c r="CR11" s="353"/>
      <c r="CS11" s="353"/>
      <c r="CT11" s="353"/>
      <c r="CU11" s="353"/>
      <c r="CV11" s="353"/>
      <c r="CW11" s="353"/>
      <c r="CX11" s="353"/>
      <c r="CY11" s="353"/>
      <c r="CZ11" s="353"/>
      <c r="DA11" s="353"/>
      <c r="DB11" s="353"/>
      <c r="DC11" s="353"/>
      <c r="DD11" s="353"/>
      <c r="DE11" s="353"/>
      <c r="DF11" s="353"/>
      <c r="DG11" s="353"/>
      <c r="DH11" s="353"/>
      <c r="DI11" s="353"/>
      <c r="DJ11" s="353"/>
      <c r="DK11" s="353"/>
      <c r="DL11" s="353"/>
      <c r="DM11" s="353"/>
      <c r="DN11" s="353"/>
      <c r="DO11" s="353"/>
      <c r="DP11" s="353"/>
      <c r="DQ11" s="353"/>
      <c r="DR11" s="353"/>
      <c r="DS11" s="353"/>
      <c r="DT11" s="353"/>
      <c r="DU11" s="353"/>
      <c r="DV11" s="353"/>
      <c r="DW11" s="353"/>
      <c r="DX11" s="353"/>
      <c r="DY11" s="353"/>
      <c r="DZ11" s="353"/>
      <c r="EA11" s="353"/>
      <c r="EB11" s="353"/>
      <c r="EC11" s="353"/>
      <c r="ED11" s="353"/>
      <c r="EE11" s="353"/>
      <c r="EF11" s="353"/>
      <c r="EG11" s="353"/>
      <c r="EH11" s="353"/>
      <c r="EI11" s="353"/>
      <c r="EJ11" s="353"/>
      <c r="EK11" s="353"/>
      <c r="EL11" s="353"/>
      <c r="EM11" s="353"/>
      <c r="EN11" s="353"/>
      <c r="EO11" s="353"/>
      <c r="EP11" s="353"/>
      <c r="EQ11" s="353"/>
      <c r="ER11" s="353"/>
      <c r="ES11" s="353"/>
      <c r="ET11" s="353"/>
      <c r="EU11" s="353"/>
      <c r="EV11" s="353"/>
      <c r="EW11" s="353"/>
      <c r="EX11" s="353"/>
      <c r="EY11" s="353"/>
      <c r="EZ11" s="353"/>
      <c r="FA11" s="353"/>
      <c r="FB11" s="353"/>
      <c r="FC11" s="353"/>
      <c r="FD11" s="353"/>
      <c r="FE11" s="353"/>
      <c r="FF11" s="353"/>
      <c r="FG11" s="353"/>
      <c r="FH11" s="353"/>
      <c r="FI11" s="353"/>
      <c r="FJ11" s="353"/>
      <c r="FK11" s="353"/>
      <c r="FL11" s="353"/>
      <c r="FM11" s="353"/>
      <c r="FN11" s="353"/>
      <c r="FO11" s="353"/>
      <c r="FP11" s="353"/>
      <c r="FQ11" s="353"/>
      <c r="FR11" s="353"/>
      <c r="FS11" s="353"/>
      <c r="FT11" s="353"/>
      <c r="FU11" s="353"/>
      <c r="FV11" s="353"/>
      <c r="FW11" s="353"/>
      <c r="FX11" s="353"/>
      <c r="FY11" s="353"/>
      <c r="FZ11" s="353"/>
      <c r="GA11" s="353"/>
      <c r="GB11" s="353"/>
      <c r="GC11" s="353"/>
      <c r="GD11" s="353"/>
      <c r="GE11" s="353"/>
      <c r="GF11" s="353"/>
      <c r="GG11" s="353"/>
      <c r="GH11" s="353"/>
      <c r="GI11" s="353"/>
      <c r="GJ11" s="353"/>
      <c r="GK11" s="353"/>
      <c r="GL11" s="353"/>
      <c r="GM11" s="353"/>
      <c r="GN11" s="353"/>
      <c r="GO11" s="353"/>
      <c r="GP11" s="353"/>
      <c r="GQ11" s="353"/>
      <c r="GR11" s="353"/>
      <c r="GS11" s="353"/>
      <c r="GT11" s="353"/>
      <c r="GU11" s="353"/>
      <c r="GV11" s="353"/>
      <c r="GW11" s="353"/>
      <c r="GX11" s="353"/>
      <c r="GY11" s="353"/>
      <c r="GZ11" s="353"/>
      <c r="HA11" s="353"/>
      <c r="HB11" s="353"/>
      <c r="HC11" s="353"/>
      <c r="HD11" s="353"/>
      <c r="HE11" s="353"/>
      <c r="HF11" s="353"/>
      <c r="HG11" s="353"/>
      <c r="HH11" s="353"/>
      <c r="HI11" s="353"/>
      <c r="HJ11" s="353"/>
      <c r="HK11" s="353"/>
      <c r="HL11" s="353"/>
      <c r="HM11" s="353"/>
      <c r="HN11" s="353"/>
      <c r="HO11" s="353"/>
      <c r="HP11" s="353"/>
      <c r="HQ11" s="353"/>
      <c r="HR11" s="353"/>
      <c r="HS11" s="353"/>
      <c r="HT11" s="353"/>
      <c r="HU11" s="353"/>
      <c r="HV11" s="353"/>
      <c r="HW11" s="353"/>
      <c r="HX11" s="353"/>
      <c r="HY11" s="353"/>
      <c r="HZ11" s="353"/>
      <c r="IA11" s="353"/>
      <c r="IB11" s="353"/>
      <c r="IC11" s="353"/>
      <c r="ID11" s="353"/>
      <c r="IE11" s="353"/>
      <c r="IF11" s="353"/>
      <c r="IG11" s="353"/>
      <c r="IH11" s="353"/>
      <c r="II11" s="353"/>
      <c r="IJ11" s="353"/>
      <c r="IK11" s="353"/>
      <c r="IL11" s="353"/>
      <c r="IM11" s="353"/>
      <c r="IN11" s="353"/>
      <c r="IO11" s="353"/>
      <c r="IP11" s="353"/>
      <c r="IQ11" s="353"/>
      <c r="IR11" s="353"/>
      <c r="IS11" s="353"/>
      <c r="IT11" s="353"/>
      <c r="IU11" s="353"/>
      <c r="IV11" s="353"/>
      <c r="IW11" s="353"/>
    </row>
    <row r="12" customFormat="false" ht="15.95" hidden="false" customHeight="true" outlineLevel="0" collapsed="false">
      <c r="A12" s="472" t="n">
        <v>5</v>
      </c>
      <c r="B12" s="473"/>
      <c r="C12" s="356"/>
      <c r="D12" s="357"/>
      <c r="E12" s="356"/>
      <c r="F12" s="357"/>
      <c r="G12" s="474"/>
      <c r="H12" s="475"/>
      <c r="I12" s="476" t="n">
        <f aca="false">I$7</f>
        <v>0</v>
      </c>
      <c r="J12" s="477" t="n">
        <f aca="false">J$7</f>
        <v>0</v>
      </c>
      <c r="K12" s="477" t="n">
        <f aca="false">K$7</f>
        <v>0</v>
      </c>
      <c r="L12" s="477" t="n">
        <f aca="false">L$7</f>
        <v>0</v>
      </c>
      <c r="M12" s="477" t="n">
        <f aca="false">M$7</f>
        <v>0</v>
      </c>
      <c r="N12" s="478" t="n">
        <f aca="false">N$7</f>
        <v>0</v>
      </c>
      <c r="O12" s="466" t="n">
        <f aca="false">SUM(I12:N12)*$K$2</f>
        <v>0</v>
      </c>
      <c r="P12" s="479"/>
      <c r="Q12" s="359"/>
      <c r="R12" s="469" t="n">
        <f aca="false">P12-O12</f>
        <v>0</v>
      </c>
      <c r="S12" s="470" t="n">
        <f aca="false">IF(ISNA(VLOOKUP(D12,$B$28:$W$178,12)*V32)=TRUE(),0,VLOOKUP(D12,$B$28:$W$178,12)*V32)</f>
        <v>0</v>
      </c>
      <c r="T12" s="480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63"/>
      <c r="AV12" s="363"/>
      <c r="AW12" s="363"/>
      <c r="AX12" s="363"/>
      <c r="AY12" s="363"/>
      <c r="AZ12" s="353"/>
      <c r="BA12" s="353"/>
      <c r="BB12" s="353"/>
      <c r="BC12" s="353"/>
      <c r="BD12" s="353"/>
      <c r="BE12" s="353"/>
      <c r="BF12" s="353"/>
      <c r="BG12" s="353"/>
      <c r="BH12" s="353"/>
      <c r="BI12" s="353"/>
      <c r="BJ12" s="353"/>
      <c r="BK12" s="353"/>
      <c r="BL12" s="353"/>
      <c r="BM12" s="353"/>
      <c r="BN12" s="353"/>
      <c r="BO12" s="353"/>
      <c r="BP12" s="353"/>
      <c r="BQ12" s="353"/>
      <c r="BR12" s="353"/>
      <c r="BS12" s="353"/>
      <c r="BT12" s="353"/>
      <c r="BU12" s="353"/>
      <c r="BV12" s="353"/>
      <c r="BW12" s="353"/>
      <c r="BX12" s="353"/>
      <c r="BY12" s="353"/>
      <c r="BZ12" s="353"/>
      <c r="CA12" s="353"/>
      <c r="CB12" s="353"/>
      <c r="CC12" s="353"/>
      <c r="CD12" s="353"/>
      <c r="CE12" s="353"/>
      <c r="CF12" s="353"/>
      <c r="CG12" s="353"/>
      <c r="CH12" s="353"/>
      <c r="CI12" s="353"/>
      <c r="CJ12" s="353"/>
      <c r="CK12" s="353"/>
      <c r="CL12" s="353"/>
      <c r="CM12" s="353"/>
      <c r="CN12" s="353"/>
      <c r="CO12" s="353"/>
      <c r="CP12" s="353"/>
      <c r="CQ12" s="353"/>
      <c r="CR12" s="353"/>
      <c r="CS12" s="353"/>
      <c r="CT12" s="353"/>
      <c r="CU12" s="353"/>
      <c r="CV12" s="353"/>
      <c r="CW12" s="353"/>
      <c r="CX12" s="353"/>
      <c r="CY12" s="353"/>
      <c r="CZ12" s="353"/>
      <c r="DA12" s="353"/>
      <c r="DB12" s="353"/>
      <c r="DC12" s="353"/>
      <c r="DD12" s="353"/>
      <c r="DE12" s="353"/>
      <c r="DF12" s="353"/>
      <c r="DG12" s="353"/>
      <c r="DH12" s="353"/>
      <c r="DI12" s="353"/>
      <c r="DJ12" s="353"/>
      <c r="DK12" s="353"/>
      <c r="DL12" s="353"/>
      <c r="DM12" s="353"/>
      <c r="DN12" s="353"/>
      <c r="DO12" s="353"/>
      <c r="DP12" s="353"/>
      <c r="DQ12" s="353"/>
      <c r="DR12" s="353"/>
      <c r="DS12" s="353"/>
      <c r="DT12" s="353"/>
      <c r="DU12" s="353"/>
      <c r="DV12" s="353"/>
      <c r="DW12" s="353"/>
      <c r="DX12" s="353"/>
      <c r="DY12" s="353"/>
      <c r="DZ12" s="353"/>
      <c r="EA12" s="353"/>
      <c r="EB12" s="353"/>
      <c r="EC12" s="353"/>
      <c r="ED12" s="353"/>
      <c r="EE12" s="353"/>
      <c r="EF12" s="353"/>
      <c r="EG12" s="353"/>
      <c r="EH12" s="353"/>
      <c r="EI12" s="353"/>
      <c r="EJ12" s="353"/>
      <c r="EK12" s="353"/>
      <c r="EL12" s="353"/>
      <c r="EM12" s="353"/>
      <c r="EN12" s="353"/>
      <c r="EO12" s="353"/>
      <c r="EP12" s="353"/>
      <c r="EQ12" s="353"/>
      <c r="ER12" s="353"/>
      <c r="ES12" s="353"/>
      <c r="ET12" s="353"/>
      <c r="EU12" s="353"/>
      <c r="EV12" s="353"/>
      <c r="EW12" s="353"/>
      <c r="EX12" s="353"/>
      <c r="EY12" s="353"/>
      <c r="EZ12" s="353"/>
      <c r="FA12" s="353"/>
      <c r="FB12" s="353"/>
      <c r="FC12" s="353"/>
      <c r="FD12" s="353"/>
      <c r="FE12" s="353"/>
      <c r="FF12" s="353"/>
      <c r="FG12" s="353"/>
      <c r="FH12" s="353"/>
      <c r="FI12" s="353"/>
      <c r="FJ12" s="353"/>
      <c r="FK12" s="353"/>
      <c r="FL12" s="353"/>
      <c r="FM12" s="353"/>
      <c r="FN12" s="353"/>
      <c r="FO12" s="353"/>
      <c r="FP12" s="353"/>
      <c r="FQ12" s="353"/>
      <c r="FR12" s="353"/>
      <c r="FS12" s="353"/>
      <c r="FT12" s="353"/>
      <c r="FU12" s="353"/>
      <c r="FV12" s="353"/>
      <c r="FW12" s="353"/>
      <c r="FX12" s="353"/>
      <c r="FY12" s="353"/>
      <c r="FZ12" s="353"/>
      <c r="GA12" s="353"/>
      <c r="GB12" s="353"/>
      <c r="GC12" s="353"/>
      <c r="GD12" s="353"/>
      <c r="GE12" s="353"/>
      <c r="GF12" s="353"/>
      <c r="GG12" s="353"/>
      <c r="GH12" s="353"/>
      <c r="GI12" s="353"/>
      <c r="GJ12" s="353"/>
      <c r="GK12" s="353"/>
      <c r="GL12" s="353"/>
      <c r="GM12" s="353"/>
      <c r="GN12" s="353"/>
      <c r="GO12" s="353"/>
      <c r="GP12" s="353"/>
      <c r="GQ12" s="353"/>
      <c r="GR12" s="353"/>
      <c r="GS12" s="353"/>
      <c r="GT12" s="353"/>
      <c r="GU12" s="353"/>
      <c r="GV12" s="353"/>
      <c r="GW12" s="353"/>
      <c r="GX12" s="353"/>
      <c r="GY12" s="353"/>
      <c r="GZ12" s="353"/>
      <c r="HA12" s="353"/>
      <c r="HB12" s="353"/>
      <c r="HC12" s="353"/>
      <c r="HD12" s="353"/>
      <c r="HE12" s="353"/>
      <c r="HF12" s="353"/>
      <c r="HG12" s="353"/>
      <c r="HH12" s="353"/>
      <c r="HI12" s="353"/>
      <c r="HJ12" s="353"/>
      <c r="HK12" s="353"/>
      <c r="HL12" s="353"/>
      <c r="HM12" s="353"/>
      <c r="HN12" s="353"/>
      <c r="HO12" s="353"/>
      <c r="HP12" s="353"/>
      <c r="HQ12" s="353"/>
      <c r="HR12" s="353"/>
      <c r="HS12" s="353"/>
      <c r="HT12" s="353"/>
      <c r="HU12" s="353"/>
      <c r="HV12" s="353"/>
      <c r="HW12" s="353"/>
      <c r="HX12" s="353"/>
      <c r="HY12" s="353"/>
      <c r="HZ12" s="353"/>
      <c r="IA12" s="353"/>
      <c r="IB12" s="353"/>
      <c r="IC12" s="353"/>
      <c r="ID12" s="353"/>
      <c r="IE12" s="353"/>
      <c r="IF12" s="353"/>
      <c r="IG12" s="353"/>
      <c r="IH12" s="353"/>
      <c r="II12" s="353"/>
      <c r="IJ12" s="353"/>
      <c r="IK12" s="353"/>
      <c r="IL12" s="353"/>
      <c r="IM12" s="353"/>
      <c r="IN12" s="353"/>
      <c r="IO12" s="353"/>
      <c r="IP12" s="353"/>
      <c r="IQ12" s="353"/>
      <c r="IR12" s="353"/>
      <c r="IS12" s="353"/>
      <c r="IT12" s="353"/>
      <c r="IU12" s="353"/>
      <c r="IV12" s="353"/>
      <c r="IW12" s="353"/>
    </row>
    <row r="13" customFormat="false" ht="15.95" hidden="false" customHeight="true" outlineLevel="0" collapsed="false">
      <c r="A13" s="472" t="n">
        <v>6</v>
      </c>
      <c r="B13" s="473"/>
      <c r="C13" s="356"/>
      <c r="D13" s="357"/>
      <c r="E13" s="356"/>
      <c r="F13" s="357"/>
      <c r="G13" s="474"/>
      <c r="H13" s="475"/>
      <c r="I13" s="476" t="n">
        <f aca="false">I$7</f>
        <v>0</v>
      </c>
      <c r="J13" s="477" t="n">
        <f aca="false">J$7</f>
        <v>0</v>
      </c>
      <c r="K13" s="477" t="n">
        <f aca="false">K$7</f>
        <v>0</v>
      </c>
      <c r="L13" s="477" t="n">
        <f aca="false">L$7</f>
        <v>0</v>
      </c>
      <c r="M13" s="477" t="n">
        <f aca="false">M$7</f>
        <v>0</v>
      </c>
      <c r="N13" s="478" t="n">
        <f aca="false">N$7</f>
        <v>0</v>
      </c>
      <c r="O13" s="466" t="n">
        <f aca="false">SUM(I13:N13)*$K$2</f>
        <v>0</v>
      </c>
      <c r="P13" s="479"/>
      <c r="Q13" s="359"/>
      <c r="R13" s="469" t="n">
        <f aca="false">P13-O13</f>
        <v>0</v>
      </c>
      <c r="S13" s="470" t="n">
        <f aca="false">IF(ISNA(VLOOKUP(D13,$B$28:$W$178,12)*V33)=TRUE(),0,VLOOKUP(D13,$B$28:$W$178,12)*V33)</f>
        <v>0</v>
      </c>
      <c r="T13" s="480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3"/>
      <c r="AG13" s="353"/>
      <c r="AH13" s="353"/>
      <c r="AI13" s="353"/>
      <c r="AJ13" s="353"/>
      <c r="AK13" s="353"/>
      <c r="AL13" s="353"/>
      <c r="AM13" s="353"/>
      <c r="AN13" s="353"/>
      <c r="AO13" s="353"/>
      <c r="AP13" s="353"/>
      <c r="AQ13" s="353"/>
      <c r="AR13" s="353"/>
      <c r="AS13" s="353"/>
      <c r="AT13" s="353"/>
      <c r="AU13" s="353"/>
      <c r="AV13" s="353"/>
      <c r="AW13" s="353"/>
      <c r="AX13" s="353"/>
      <c r="AY13" s="353"/>
      <c r="AZ13" s="353"/>
      <c r="BA13" s="353"/>
      <c r="BB13" s="353"/>
      <c r="BC13" s="353"/>
      <c r="BD13" s="353"/>
      <c r="BE13" s="353"/>
      <c r="BF13" s="353"/>
      <c r="BG13" s="353"/>
      <c r="BH13" s="353"/>
      <c r="BI13" s="353"/>
      <c r="BJ13" s="353"/>
      <c r="BK13" s="353"/>
      <c r="BL13" s="353"/>
      <c r="BM13" s="353"/>
      <c r="BN13" s="353"/>
      <c r="BO13" s="353"/>
      <c r="BP13" s="353"/>
      <c r="BQ13" s="353"/>
      <c r="BR13" s="353"/>
      <c r="BS13" s="353"/>
      <c r="BT13" s="353"/>
      <c r="BU13" s="353"/>
      <c r="BV13" s="353"/>
      <c r="BW13" s="353"/>
      <c r="BX13" s="353"/>
      <c r="BY13" s="353"/>
      <c r="BZ13" s="353"/>
      <c r="CA13" s="353"/>
      <c r="CB13" s="353"/>
      <c r="CC13" s="353"/>
      <c r="CD13" s="353"/>
      <c r="CE13" s="353"/>
      <c r="CF13" s="353"/>
      <c r="CG13" s="353"/>
      <c r="CH13" s="353"/>
      <c r="CI13" s="353"/>
      <c r="CJ13" s="353"/>
      <c r="CK13" s="353"/>
      <c r="CL13" s="353"/>
      <c r="CM13" s="353"/>
      <c r="CN13" s="353"/>
      <c r="CO13" s="353"/>
      <c r="CP13" s="353"/>
      <c r="CQ13" s="353"/>
      <c r="CR13" s="353"/>
      <c r="CS13" s="353"/>
      <c r="CT13" s="353"/>
      <c r="CU13" s="353"/>
      <c r="CV13" s="353"/>
      <c r="CW13" s="353"/>
      <c r="CX13" s="353"/>
      <c r="CY13" s="353"/>
      <c r="CZ13" s="353"/>
      <c r="DA13" s="353"/>
      <c r="DB13" s="353"/>
      <c r="DC13" s="353"/>
      <c r="DD13" s="353"/>
      <c r="DE13" s="353"/>
      <c r="DF13" s="353"/>
      <c r="DG13" s="353"/>
      <c r="DH13" s="353"/>
      <c r="DI13" s="353"/>
      <c r="DJ13" s="353"/>
      <c r="DK13" s="353"/>
      <c r="DL13" s="353"/>
      <c r="DM13" s="353"/>
      <c r="DN13" s="353"/>
      <c r="DO13" s="353"/>
      <c r="DP13" s="353"/>
      <c r="DQ13" s="353"/>
      <c r="DR13" s="353"/>
      <c r="DS13" s="353"/>
      <c r="DT13" s="353"/>
      <c r="DU13" s="353"/>
      <c r="DV13" s="353"/>
      <c r="DW13" s="353"/>
      <c r="DX13" s="353"/>
      <c r="DY13" s="353"/>
      <c r="DZ13" s="353"/>
      <c r="EA13" s="353"/>
      <c r="EB13" s="353"/>
      <c r="EC13" s="353"/>
      <c r="ED13" s="353"/>
      <c r="EE13" s="353"/>
      <c r="EF13" s="353"/>
      <c r="EG13" s="353"/>
      <c r="EH13" s="353"/>
      <c r="EI13" s="353"/>
      <c r="EJ13" s="353"/>
      <c r="EK13" s="353"/>
      <c r="EL13" s="353"/>
      <c r="EM13" s="353"/>
      <c r="EN13" s="353"/>
      <c r="EO13" s="353"/>
      <c r="EP13" s="353"/>
      <c r="EQ13" s="353"/>
      <c r="ER13" s="353"/>
      <c r="ES13" s="353"/>
      <c r="ET13" s="353"/>
      <c r="EU13" s="353"/>
      <c r="EV13" s="353"/>
      <c r="EW13" s="353"/>
      <c r="EX13" s="353"/>
      <c r="EY13" s="353"/>
      <c r="EZ13" s="353"/>
      <c r="FA13" s="353"/>
      <c r="FB13" s="353"/>
      <c r="FC13" s="353"/>
      <c r="FD13" s="353"/>
      <c r="FE13" s="353"/>
      <c r="FF13" s="353"/>
      <c r="FG13" s="353"/>
      <c r="FH13" s="353"/>
      <c r="FI13" s="353"/>
      <c r="FJ13" s="353"/>
      <c r="FK13" s="353"/>
      <c r="FL13" s="353"/>
      <c r="FM13" s="353"/>
      <c r="FN13" s="353"/>
      <c r="FO13" s="353"/>
      <c r="FP13" s="353"/>
      <c r="FQ13" s="353"/>
      <c r="FR13" s="353"/>
      <c r="FS13" s="353"/>
      <c r="FT13" s="353"/>
      <c r="FU13" s="353"/>
      <c r="FV13" s="353"/>
      <c r="FW13" s="353"/>
      <c r="FX13" s="353"/>
      <c r="FY13" s="353"/>
      <c r="FZ13" s="353"/>
      <c r="GA13" s="353"/>
      <c r="GB13" s="353"/>
      <c r="GC13" s="353"/>
      <c r="GD13" s="353"/>
      <c r="GE13" s="353"/>
      <c r="GF13" s="353"/>
      <c r="GG13" s="353"/>
      <c r="GH13" s="353"/>
      <c r="GI13" s="353"/>
      <c r="GJ13" s="353"/>
      <c r="GK13" s="353"/>
      <c r="GL13" s="353"/>
      <c r="GM13" s="353"/>
      <c r="GN13" s="353"/>
      <c r="GO13" s="353"/>
      <c r="GP13" s="353"/>
      <c r="GQ13" s="353"/>
      <c r="GR13" s="353"/>
      <c r="GS13" s="353"/>
      <c r="GT13" s="353"/>
      <c r="GU13" s="353"/>
      <c r="GV13" s="353"/>
      <c r="GW13" s="353"/>
      <c r="GX13" s="353"/>
      <c r="GY13" s="353"/>
      <c r="GZ13" s="353"/>
      <c r="HA13" s="353"/>
      <c r="HB13" s="353"/>
      <c r="HC13" s="353"/>
      <c r="HD13" s="353"/>
      <c r="HE13" s="353"/>
      <c r="HF13" s="353"/>
      <c r="HG13" s="353"/>
      <c r="HH13" s="353"/>
      <c r="HI13" s="353"/>
      <c r="HJ13" s="353"/>
      <c r="HK13" s="353"/>
      <c r="HL13" s="353"/>
      <c r="HM13" s="353"/>
      <c r="HN13" s="353"/>
      <c r="HO13" s="353"/>
      <c r="HP13" s="353"/>
      <c r="HQ13" s="353"/>
      <c r="HR13" s="353"/>
      <c r="HS13" s="353"/>
      <c r="HT13" s="353"/>
      <c r="HU13" s="353"/>
      <c r="HV13" s="353"/>
      <c r="HW13" s="353"/>
      <c r="HX13" s="353"/>
      <c r="HY13" s="353"/>
      <c r="HZ13" s="353"/>
      <c r="IA13" s="353"/>
      <c r="IB13" s="353"/>
      <c r="IC13" s="353"/>
      <c r="ID13" s="353"/>
      <c r="IE13" s="353"/>
      <c r="IF13" s="353"/>
      <c r="IG13" s="353"/>
      <c r="IH13" s="353"/>
      <c r="II13" s="353"/>
      <c r="IJ13" s="353"/>
      <c r="IK13" s="353"/>
      <c r="IL13" s="353"/>
      <c r="IM13" s="353"/>
      <c r="IN13" s="353"/>
      <c r="IO13" s="353"/>
      <c r="IP13" s="353"/>
      <c r="IQ13" s="353"/>
      <c r="IR13" s="353"/>
      <c r="IS13" s="353"/>
      <c r="IT13" s="353"/>
      <c r="IU13" s="353"/>
      <c r="IV13" s="353"/>
      <c r="IW13" s="353"/>
    </row>
    <row r="14" customFormat="false" ht="15.95" hidden="false" customHeight="true" outlineLevel="0" collapsed="false">
      <c r="A14" s="472" t="n">
        <v>7</v>
      </c>
      <c r="B14" s="473"/>
      <c r="C14" s="356"/>
      <c r="D14" s="357"/>
      <c r="E14" s="356"/>
      <c r="F14" s="357"/>
      <c r="G14" s="474"/>
      <c r="H14" s="475"/>
      <c r="I14" s="476" t="n">
        <f aca="false">I$7</f>
        <v>0</v>
      </c>
      <c r="J14" s="477" t="n">
        <f aca="false">J$7</f>
        <v>0</v>
      </c>
      <c r="K14" s="477" t="n">
        <f aca="false">K$7</f>
        <v>0</v>
      </c>
      <c r="L14" s="477" t="n">
        <f aca="false">L$7</f>
        <v>0</v>
      </c>
      <c r="M14" s="477" t="n">
        <f aca="false">M$7</f>
        <v>0</v>
      </c>
      <c r="N14" s="478" t="n">
        <f aca="false">N$7</f>
        <v>0</v>
      </c>
      <c r="O14" s="466" t="n">
        <f aca="false">SUM(I14:N14)*$K$2</f>
        <v>0</v>
      </c>
      <c r="P14" s="479"/>
      <c r="Q14" s="359"/>
      <c r="R14" s="469" t="n">
        <f aca="false">P14-O14</f>
        <v>0</v>
      </c>
      <c r="S14" s="470" t="n">
        <f aca="false">IF(ISNA(VLOOKUP(D14,$B$28:$W$178,12)*V34)=TRUE(),0,VLOOKUP(D14,$B$28:$W$178,12)*V34)</f>
        <v>0</v>
      </c>
      <c r="T14" s="480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3"/>
      <c r="AG14" s="353"/>
      <c r="AH14" s="353"/>
      <c r="AI14" s="353"/>
      <c r="AJ14" s="353"/>
      <c r="AK14" s="353"/>
      <c r="AL14" s="353"/>
      <c r="AM14" s="353"/>
      <c r="AN14" s="353"/>
      <c r="AO14" s="353"/>
      <c r="AP14" s="363"/>
      <c r="AQ14" s="363"/>
      <c r="AR14" s="363"/>
      <c r="AS14" s="363"/>
      <c r="AT14" s="363"/>
      <c r="AU14" s="363"/>
      <c r="AV14" s="363"/>
      <c r="AW14" s="363"/>
      <c r="AX14" s="363"/>
      <c r="AY14" s="363"/>
      <c r="AZ14" s="353"/>
      <c r="BA14" s="353"/>
      <c r="BB14" s="353"/>
      <c r="BC14" s="353"/>
      <c r="BD14" s="353"/>
      <c r="BE14" s="353"/>
      <c r="BF14" s="353"/>
      <c r="BG14" s="353"/>
      <c r="BH14" s="353"/>
      <c r="BI14" s="353"/>
      <c r="BJ14" s="353"/>
      <c r="BK14" s="353"/>
      <c r="BL14" s="353"/>
      <c r="BM14" s="353"/>
      <c r="BN14" s="353"/>
      <c r="BO14" s="353"/>
      <c r="BP14" s="353"/>
      <c r="BQ14" s="353"/>
      <c r="BR14" s="353"/>
      <c r="BS14" s="353"/>
      <c r="BT14" s="353"/>
      <c r="BU14" s="353"/>
      <c r="BV14" s="353"/>
      <c r="BW14" s="353"/>
      <c r="BX14" s="353"/>
      <c r="BY14" s="353"/>
      <c r="BZ14" s="353"/>
      <c r="CA14" s="353"/>
      <c r="CB14" s="353"/>
      <c r="CC14" s="353"/>
      <c r="CD14" s="353"/>
      <c r="CE14" s="353"/>
      <c r="CF14" s="353"/>
      <c r="CG14" s="353"/>
      <c r="CH14" s="353"/>
      <c r="CI14" s="353"/>
      <c r="CJ14" s="353"/>
      <c r="CK14" s="353"/>
      <c r="CL14" s="353"/>
      <c r="CM14" s="353"/>
      <c r="CN14" s="353"/>
      <c r="CO14" s="353"/>
      <c r="CP14" s="353"/>
      <c r="CQ14" s="353"/>
      <c r="CR14" s="353"/>
      <c r="CS14" s="353"/>
      <c r="CT14" s="353"/>
      <c r="CU14" s="353"/>
      <c r="CV14" s="353"/>
      <c r="CW14" s="353"/>
      <c r="CX14" s="353"/>
      <c r="CY14" s="353"/>
      <c r="CZ14" s="353"/>
      <c r="DA14" s="353"/>
      <c r="DB14" s="353"/>
      <c r="DC14" s="353"/>
      <c r="DD14" s="353"/>
      <c r="DE14" s="353"/>
      <c r="DF14" s="353"/>
      <c r="DG14" s="353"/>
      <c r="DH14" s="353"/>
      <c r="DI14" s="353"/>
      <c r="DJ14" s="353"/>
      <c r="DK14" s="353"/>
      <c r="DL14" s="353"/>
      <c r="DM14" s="353"/>
      <c r="DN14" s="353"/>
      <c r="DO14" s="353"/>
      <c r="DP14" s="353"/>
      <c r="DQ14" s="353"/>
      <c r="DR14" s="353"/>
      <c r="DS14" s="353"/>
      <c r="DT14" s="353"/>
      <c r="DU14" s="353"/>
      <c r="DV14" s="353"/>
      <c r="DW14" s="353"/>
      <c r="DX14" s="353"/>
      <c r="DY14" s="353"/>
      <c r="DZ14" s="353"/>
      <c r="EA14" s="353"/>
      <c r="EB14" s="353"/>
      <c r="EC14" s="353"/>
      <c r="ED14" s="353"/>
      <c r="EE14" s="353"/>
      <c r="EF14" s="353"/>
      <c r="EG14" s="353"/>
      <c r="EH14" s="353"/>
      <c r="EI14" s="353"/>
      <c r="EJ14" s="353"/>
      <c r="EK14" s="353"/>
      <c r="EL14" s="353"/>
      <c r="EM14" s="353"/>
      <c r="EN14" s="353"/>
      <c r="EO14" s="353"/>
      <c r="EP14" s="353"/>
      <c r="EQ14" s="353"/>
      <c r="ER14" s="353"/>
      <c r="ES14" s="353"/>
      <c r="ET14" s="353"/>
      <c r="EU14" s="353"/>
      <c r="EV14" s="353"/>
      <c r="EW14" s="353"/>
      <c r="EX14" s="353"/>
      <c r="EY14" s="353"/>
      <c r="EZ14" s="353"/>
      <c r="FA14" s="353"/>
      <c r="FB14" s="353"/>
      <c r="FC14" s="353"/>
      <c r="FD14" s="353"/>
      <c r="FE14" s="353"/>
      <c r="FF14" s="353"/>
      <c r="FG14" s="353"/>
      <c r="FH14" s="353"/>
      <c r="FI14" s="353"/>
      <c r="FJ14" s="353"/>
      <c r="FK14" s="353"/>
      <c r="FL14" s="353"/>
      <c r="FM14" s="353"/>
      <c r="FN14" s="353"/>
      <c r="FO14" s="353"/>
      <c r="FP14" s="353"/>
      <c r="FQ14" s="353"/>
      <c r="FR14" s="353"/>
      <c r="FS14" s="353"/>
      <c r="FT14" s="353"/>
      <c r="FU14" s="353"/>
      <c r="FV14" s="353"/>
      <c r="FW14" s="353"/>
      <c r="FX14" s="353"/>
      <c r="FY14" s="353"/>
      <c r="FZ14" s="353"/>
      <c r="GA14" s="353"/>
      <c r="GB14" s="353"/>
      <c r="GC14" s="353"/>
      <c r="GD14" s="353"/>
      <c r="GE14" s="353"/>
      <c r="GF14" s="353"/>
      <c r="GG14" s="353"/>
      <c r="GH14" s="353"/>
      <c r="GI14" s="353"/>
      <c r="GJ14" s="353"/>
      <c r="GK14" s="353"/>
      <c r="GL14" s="353"/>
      <c r="GM14" s="353"/>
      <c r="GN14" s="353"/>
      <c r="GO14" s="353"/>
      <c r="GP14" s="353"/>
      <c r="GQ14" s="353"/>
      <c r="GR14" s="353"/>
      <c r="GS14" s="353"/>
      <c r="GT14" s="353"/>
      <c r="GU14" s="353"/>
      <c r="GV14" s="353"/>
      <c r="GW14" s="353"/>
      <c r="GX14" s="353"/>
      <c r="GY14" s="353"/>
      <c r="GZ14" s="353"/>
      <c r="HA14" s="353"/>
      <c r="HB14" s="353"/>
      <c r="HC14" s="353"/>
      <c r="HD14" s="353"/>
      <c r="HE14" s="353"/>
      <c r="HF14" s="353"/>
      <c r="HG14" s="353"/>
      <c r="HH14" s="353"/>
      <c r="HI14" s="353"/>
      <c r="HJ14" s="353"/>
      <c r="HK14" s="353"/>
      <c r="HL14" s="353"/>
      <c r="HM14" s="353"/>
      <c r="HN14" s="353"/>
      <c r="HO14" s="353"/>
      <c r="HP14" s="353"/>
      <c r="HQ14" s="353"/>
      <c r="HR14" s="353"/>
      <c r="HS14" s="353"/>
      <c r="HT14" s="353"/>
      <c r="HU14" s="353"/>
      <c r="HV14" s="353"/>
      <c r="HW14" s="353"/>
      <c r="HX14" s="353"/>
      <c r="HY14" s="353"/>
      <c r="HZ14" s="353"/>
      <c r="IA14" s="353"/>
      <c r="IB14" s="353"/>
      <c r="IC14" s="353"/>
      <c r="ID14" s="353"/>
      <c r="IE14" s="353"/>
      <c r="IF14" s="353"/>
      <c r="IG14" s="353"/>
      <c r="IH14" s="353"/>
      <c r="II14" s="353"/>
      <c r="IJ14" s="353"/>
      <c r="IK14" s="353"/>
      <c r="IL14" s="353"/>
      <c r="IM14" s="353"/>
      <c r="IN14" s="353"/>
      <c r="IO14" s="353"/>
      <c r="IP14" s="353"/>
      <c r="IQ14" s="353"/>
      <c r="IR14" s="353"/>
      <c r="IS14" s="353"/>
      <c r="IT14" s="353"/>
      <c r="IU14" s="353"/>
      <c r="IV14" s="353"/>
      <c r="IW14" s="353"/>
    </row>
    <row r="15" customFormat="false" ht="15.95" hidden="false" customHeight="true" outlineLevel="0" collapsed="false">
      <c r="A15" s="472" t="n">
        <v>8</v>
      </c>
      <c r="B15" s="473"/>
      <c r="C15" s="356"/>
      <c r="D15" s="357"/>
      <c r="E15" s="356"/>
      <c r="F15" s="357"/>
      <c r="G15" s="474"/>
      <c r="H15" s="475"/>
      <c r="I15" s="476" t="n">
        <f aca="false">I$7</f>
        <v>0</v>
      </c>
      <c r="J15" s="477" t="n">
        <f aca="false">J$7</f>
        <v>0</v>
      </c>
      <c r="K15" s="477" t="n">
        <f aca="false">K$7</f>
        <v>0</v>
      </c>
      <c r="L15" s="477" t="n">
        <f aca="false">L$7</f>
        <v>0</v>
      </c>
      <c r="M15" s="477" t="n">
        <f aca="false">M$7</f>
        <v>0</v>
      </c>
      <c r="N15" s="478" t="n">
        <f aca="false">N$7</f>
        <v>0</v>
      </c>
      <c r="O15" s="466" t="n">
        <f aca="false">SUM(I15:N15)*$K$2</f>
        <v>0</v>
      </c>
      <c r="P15" s="479"/>
      <c r="Q15" s="359"/>
      <c r="R15" s="469" t="n">
        <f aca="false">P15-O15</f>
        <v>0</v>
      </c>
      <c r="S15" s="470" t="n">
        <f aca="false">IF(ISNA(VLOOKUP(D15,$B$28:$W$178,12)*V35)=TRUE(),0,VLOOKUP(D15,$B$28:$W$178,12)*V35)</f>
        <v>0</v>
      </c>
      <c r="T15" s="480"/>
      <c r="U15" s="353"/>
      <c r="V15" s="363"/>
      <c r="W15" s="363"/>
      <c r="X15" s="363"/>
      <c r="Y15" s="363"/>
      <c r="Z15" s="363"/>
      <c r="AA15" s="363"/>
      <c r="AB15" s="363"/>
      <c r="AC15" s="363"/>
      <c r="AD15" s="363"/>
      <c r="AE15" s="363"/>
      <c r="AF15" s="363"/>
      <c r="AG15" s="363"/>
      <c r="AH15" s="363"/>
      <c r="AI15" s="363"/>
      <c r="AJ15" s="363"/>
      <c r="AK15" s="363"/>
      <c r="AL15" s="363"/>
      <c r="AM15" s="363"/>
      <c r="AN15" s="363"/>
      <c r="AO15" s="363"/>
      <c r="AP15" s="353"/>
      <c r="AQ15" s="353"/>
      <c r="AR15" s="353"/>
      <c r="AS15" s="353"/>
      <c r="AT15" s="353"/>
      <c r="AU15" s="353"/>
      <c r="AV15" s="353"/>
      <c r="AW15" s="353"/>
      <c r="AX15" s="353"/>
      <c r="AY15" s="353"/>
      <c r="AZ15" s="353"/>
      <c r="BA15" s="353"/>
      <c r="BB15" s="353"/>
      <c r="BC15" s="353"/>
      <c r="BD15" s="353"/>
      <c r="BE15" s="353"/>
      <c r="BF15" s="353"/>
      <c r="BG15" s="353"/>
      <c r="BH15" s="353"/>
      <c r="BI15" s="353"/>
      <c r="BJ15" s="353"/>
      <c r="BK15" s="353"/>
      <c r="BL15" s="353"/>
      <c r="BM15" s="353"/>
      <c r="BN15" s="353"/>
      <c r="BO15" s="353"/>
      <c r="BP15" s="353"/>
      <c r="BQ15" s="353"/>
      <c r="BR15" s="353"/>
      <c r="BS15" s="353"/>
      <c r="BT15" s="353"/>
      <c r="BU15" s="353"/>
      <c r="BV15" s="353"/>
      <c r="BW15" s="353"/>
      <c r="BX15" s="353"/>
      <c r="BY15" s="353"/>
      <c r="BZ15" s="353"/>
      <c r="CA15" s="353"/>
      <c r="CB15" s="353"/>
      <c r="CC15" s="353"/>
      <c r="CD15" s="353"/>
      <c r="CE15" s="353"/>
      <c r="CF15" s="353"/>
      <c r="CG15" s="353"/>
      <c r="CH15" s="353"/>
      <c r="CI15" s="353"/>
      <c r="CJ15" s="353"/>
      <c r="CK15" s="353"/>
      <c r="CL15" s="353"/>
      <c r="CM15" s="353"/>
      <c r="CN15" s="353"/>
      <c r="CO15" s="353"/>
      <c r="CP15" s="353"/>
      <c r="CQ15" s="353"/>
      <c r="CR15" s="353"/>
      <c r="CS15" s="353"/>
      <c r="CT15" s="353"/>
      <c r="CU15" s="353"/>
      <c r="CV15" s="353"/>
      <c r="CW15" s="353"/>
      <c r="CX15" s="353"/>
      <c r="CY15" s="353"/>
      <c r="CZ15" s="353"/>
      <c r="DA15" s="353"/>
      <c r="DB15" s="353"/>
      <c r="DC15" s="353"/>
      <c r="DD15" s="353"/>
      <c r="DE15" s="353"/>
      <c r="DF15" s="353"/>
      <c r="DG15" s="353"/>
      <c r="DH15" s="353"/>
      <c r="DI15" s="353"/>
      <c r="DJ15" s="353"/>
      <c r="DK15" s="353"/>
      <c r="DL15" s="353"/>
      <c r="DM15" s="353"/>
      <c r="DN15" s="353"/>
      <c r="DO15" s="353"/>
      <c r="DP15" s="353"/>
      <c r="DQ15" s="353"/>
      <c r="DR15" s="353"/>
      <c r="DS15" s="353"/>
      <c r="DT15" s="353"/>
      <c r="DU15" s="353"/>
      <c r="DV15" s="353"/>
      <c r="DW15" s="353"/>
      <c r="DX15" s="353"/>
      <c r="DY15" s="353"/>
      <c r="DZ15" s="353"/>
      <c r="EA15" s="353"/>
      <c r="EB15" s="353"/>
      <c r="EC15" s="353"/>
      <c r="ED15" s="353"/>
      <c r="EE15" s="353"/>
      <c r="EF15" s="353"/>
      <c r="EG15" s="353"/>
      <c r="EH15" s="353"/>
      <c r="EI15" s="353"/>
      <c r="EJ15" s="353"/>
      <c r="EK15" s="353"/>
      <c r="EL15" s="353"/>
      <c r="EM15" s="353"/>
      <c r="EN15" s="353"/>
      <c r="EO15" s="353"/>
      <c r="EP15" s="353"/>
      <c r="EQ15" s="353"/>
      <c r="ER15" s="353"/>
      <c r="ES15" s="353"/>
      <c r="ET15" s="353"/>
      <c r="EU15" s="353"/>
      <c r="EV15" s="353"/>
      <c r="EW15" s="353"/>
      <c r="EX15" s="353"/>
      <c r="EY15" s="353"/>
      <c r="EZ15" s="353"/>
      <c r="FA15" s="353"/>
      <c r="FB15" s="353"/>
      <c r="FC15" s="353"/>
      <c r="FD15" s="353"/>
      <c r="FE15" s="353"/>
      <c r="FF15" s="353"/>
      <c r="FG15" s="353"/>
      <c r="FH15" s="353"/>
      <c r="FI15" s="353"/>
      <c r="FJ15" s="353"/>
      <c r="FK15" s="353"/>
      <c r="FL15" s="353"/>
      <c r="FM15" s="353"/>
      <c r="FN15" s="353"/>
      <c r="FO15" s="353"/>
      <c r="FP15" s="353"/>
      <c r="FQ15" s="353"/>
      <c r="FR15" s="353"/>
      <c r="FS15" s="353"/>
      <c r="FT15" s="353"/>
      <c r="FU15" s="353"/>
      <c r="FV15" s="353"/>
      <c r="FW15" s="353"/>
      <c r="FX15" s="353"/>
      <c r="FY15" s="353"/>
      <c r="FZ15" s="353"/>
      <c r="GA15" s="353"/>
      <c r="GB15" s="353"/>
      <c r="GC15" s="353"/>
      <c r="GD15" s="353"/>
      <c r="GE15" s="353"/>
      <c r="GF15" s="353"/>
      <c r="GG15" s="353"/>
      <c r="GH15" s="353"/>
      <c r="GI15" s="353"/>
      <c r="GJ15" s="353"/>
      <c r="GK15" s="353"/>
      <c r="GL15" s="353"/>
      <c r="GM15" s="353"/>
      <c r="GN15" s="353"/>
      <c r="GO15" s="353"/>
      <c r="GP15" s="353"/>
      <c r="GQ15" s="353"/>
      <c r="GR15" s="353"/>
      <c r="GS15" s="353"/>
      <c r="GT15" s="353"/>
      <c r="GU15" s="353"/>
      <c r="GV15" s="353"/>
      <c r="GW15" s="353"/>
      <c r="GX15" s="353"/>
      <c r="GY15" s="353"/>
      <c r="GZ15" s="353"/>
      <c r="HA15" s="353"/>
      <c r="HB15" s="353"/>
      <c r="HC15" s="353"/>
      <c r="HD15" s="353"/>
      <c r="HE15" s="353"/>
      <c r="HF15" s="353"/>
      <c r="HG15" s="353"/>
      <c r="HH15" s="353"/>
      <c r="HI15" s="353"/>
      <c r="HJ15" s="353"/>
      <c r="HK15" s="353"/>
      <c r="HL15" s="353"/>
      <c r="HM15" s="353"/>
      <c r="HN15" s="353"/>
      <c r="HO15" s="353"/>
      <c r="HP15" s="353"/>
      <c r="HQ15" s="353"/>
      <c r="HR15" s="353"/>
      <c r="HS15" s="353"/>
      <c r="HT15" s="353"/>
      <c r="HU15" s="353"/>
      <c r="HV15" s="353"/>
      <c r="HW15" s="353"/>
      <c r="HX15" s="353"/>
      <c r="HY15" s="353"/>
      <c r="HZ15" s="353"/>
      <c r="IA15" s="353"/>
      <c r="IB15" s="353"/>
      <c r="IC15" s="353"/>
      <c r="ID15" s="353"/>
      <c r="IE15" s="353"/>
      <c r="IF15" s="353"/>
      <c r="IG15" s="353"/>
      <c r="IH15" s="353"/>
      <c r="II15" s="353"/>
      <c r="IJ15" s="353"/>
      <c r="IK15" s="353"/>
      <c r="IL15" s="353"/>
      <c r="IM15" s="353"/>
      <c r="IN15" s="353"/>
      <c r="IO15" s="353"/>
      <c r="IP15" s="353"/>
      <c r="IQ15" s="353"/>
      <c r="IR15" s="353"/>
      <c r="IS15" s="353"/>
      <c r="IT15" s="353"/>
      <c r="IU15" s="353"/>
      <c r="IV15" s="353"/>
      <c r="IW15" s="353"/>
    </row>
    <row r="16" customFormat="false" ht="15.95" hidden="false" customHeight="true" outlineLevel="0" collapsed="false">
      <c r="A16" s="472" t="n">
        <v>9</v>
      </c>
      <c r="B16" s="483"/>
      <c r="C16" s="364"/>
      <c r="D16" s="365"/>
      <c r="E16" s="364"/>
      <c r="F16" s="367"/>
      <c r="G16" s="484"/>
      <c r="H16" s="485"/>
      <c r="I16" s="476" t="n">
        <f aca="false">I$7</f>
        <v>0</v>
      </c>
      <c r="J16" s="477" t="n">
        <f aca="false">J$7</f>
        <v>0</v>
      </c>
      <c r="K16" s="477" t="n">
        <f aca="false">K$7</f>
        <v>0</v>
      </c>
      <c r="L16" s="477" t="n">
        <f aca="false">L$7</f>
        <v>0</v>
      </c>
      <c r="M16" s="477" t="n">
        <f aca="false">M$7</f>
        <v>0</v>
      </c>
      <c r="N16" s="478" t="n">
        <f aca="false">N$7</f>
        <v>0</v>
      </c>
      <c r="O16" s="466" t="n">
        <f aca="false">SUM(I16:N16)*$K$2</f>
        <v>0</v>
      </c>
      <c r="P16" s="479"/>
      <c r="Q16" s="359"/>
      <c r="R16" s="469" t="n">
        <f aca="false">P16-O16</f>
        <v>0</v>
      </c>
      <c r="S16" s="470" t="n">
        <f aca="false">IF(ISNA(VLOOKUP(D16,$B$28:$W$178,12)*V36)=TRUE(),0,VLOOKUP(D16,$B$28:$W$178,12)*V36)</f>
        <v>0</v>
      </c>
      <c r="T16" s="480"/>
      <c r="U16" s="353"/>
      <c r="V16" s="363"/>
      <c r="W16" s="363"/>
      <c r="X16" s="363"/>
      <c r="Y16" s="363"/>
      <c r="Z16" s="363"/>
      <c r="AA16" s="363"/>
      <c r="AB16" s="363"/>
      <c r="AC16" s="363"/>
      <c r="AD16" s="363"/>
      <c r="AE16" s="363"/>
      <c r="AF16" s="363"/>
      <c r="AG16" s="363"/>
      <c r="AH16" s="363"/>
      <c r="AI16" s="363"/>
      <c r="AJ16" s="363"/>
      <c r="AK16" s="363"/>
      <c r="AL16" s="363"/>
      <c r="AM16" s="363"/>
      <c r="AN16" s="363"/>
      <c r="AO16" s="363"/>
      <c r="AP16" s="363"/>
      <c r="AQ16" s="363"/>
      <c r="AR16" s="363"/>
      <c r="AS16" s="363"/>
      <c r="AT16" s="363"/>
      <c r="AU16" s="353"/>
      <c r="AV16" s="353"/>
      <c r="AW16" s="353"/>
      <c r="AX16" s="353"/>
      <c r="AY16" s="353"/>
      <c r="AZ16" s="363"/>
      <c r="BA16" s="363"/>
      <c r="BB16" s="363"/>
      <c r="BC16" s="363"/>
      <c r="BD16" s="363"/>
      <c r="BE16" s="363"/>
      <c r="BF16" s="363"/>
      <c r="BG16" s="363"/>
      <c r="BH16" s="363"/>
      <c r="BI16" s="363"/>
      <c r="BJ16" s="363"/>
      <c r="BK16" s="363"/>
      <c r="BL16" s="363"/>
      <c r="BM16" s="363"/>
      <c r="BN16" s="363"/>
      <c r="BO16" s="363"/>
      <c r="BP16" s="363"/>
      <c r="BQ16" s="363"/>
      <c r="BR16" s="363"/>
      <c r="BS16" s="363"/>
      <c r="BT16" s="363"/>
      <c r="BU16" s="363"/>
      <c r="BV16" s="363"/>
      <c r="BW16" s="363"/>
      <c r="BX16" s="363"/>
      <c r="BY16" s="363"/>
      <c r="BZ16" s="363"/>
      <c r="CA16" s="363"/>
      <c r="CB16" s="363"/>
      <c r="CC16" s="363"/>
      <c r="CD16" s="363"/>
      <c r="CE16" s="363"/>
      <c r="CF16" s="363"/>
      <c r="CG16" s="363"/>
      <c r="CH16" s="363"/>
      <c r="CI16" s="363"/>
      <c r="CJ16" s="363"/>
      <c r="CK16" s="363"/>
      <c r="CL16" s="363"/>
      <c r="CM16" s="363"/>
      <c r="CN16" s="363"/>
      <c r="CO16" s="363"/>
      <c r="CP16" s="363"/>
      <c r="CQ16" s="363"/>
      <c r="CR16" s="363"/>
      <c r="CS16" s="363"/>
      <c r="CT16" s="363"/>
      <c r="CU16" s="363"/>
      <c r="CV16" s="363"/>
      <c r="CW16" s="363"/>
      <c r="CX16" s="363"/>
      <c r="CY16" s="363"/>
      <c r="CZ16" s="353"/>
      <c r="DA16" s="353"/>
      <c r="DB16" s="353"/>
      <c r="DC16" s="353"/>
      <c r="DD16" s="353"/>
      <c r="DE16" s="353"/>
      <c r="DF16" s="353"/>
      <c r="DG16" s="353"/>
      <c r="DH16" s="353"/>
      <c r="DI16" s="353"/>
      <c r="DJ16" s="353"/>
      <c r="DK16" s="353"/>
      <c r="DL16" s="353"/>
      <c r="DM16" s="353"/>
      <c r="DN16" s="353"/>
      <c r="DO16" s="353"/>
      <c r="DP16" s="353"/>
      <c r="DQ16" s="353"/>
      <c r="DR16" s="353"/>
      <c r="DS16" s="353"/>
      <c r="DT16" s="353"/>
      <c r="DU16" s="353"/>
      <c r="DV16" s="353"/>
      <c r="DW16" s="353"/>
      <c r="DX16" s="353"/>
      <c r="DY16" s="353"/>
      <c r="DZ16" s="353"/>
      <c r="EA16" s="353"/>
      <c r="EB16" s="353"/>
      <c r="EC16" s="353"/>
      <c r="ED16" s="353"/>
      <c r="EE16" s="353"/>
      <c r="EF16" s="353"/>
      <c r="EG16" s="353"/>
      <c r="EH16" s="353"/>
      <c r="EI16" s="353"/>
      <c r="EJ16" s="353"/>
      <c r="EK16" s="353"/>
      <c r="EL16" s="353"/>
      <c r="EM16" s="353"/>
      <c r="EN16" s="353"/>
      <c r="EO16" s="353"/>
      <c r="EP16" s="353"/>
      <c r="EQ16" s="353"/>
      <c r="ER16" s="353"/>
      <c r="ES16" s="353"/>
      <c r="ET16" s="353"/>
      <c r="EU16" s="353"/>
      <c r="EV16" s="353"/>
      <c r="EW16" s="353"/>
      <c r="EX16" s="353"/>
      <c r="EY16" s="353"/>
      <c r="EZ16" s="353"/>
      <c r="FA16" s="353"/>
      <c r="FB16" s="353"/>
      <c r="FC16" s="353"/>
      <c r="FD16" s="353"/>
      <c r="FE16" s="353"/>
      <c r="FF16" s="353"/>
      <c r="FG16" s="353"/>
      <c r="FH16" s="353"/>
      <c r="FI16" s="353"/>
      <c r="FJ16" s="353"/>
      <c r="FK16" s="353"/>
      <c r="FL16" s="353"/>
      <c r="FM16" s="353"/>
      <c r="FN16" s="353"/>
      <c r="FO16" s="353"/>
      <c r="FP16" s="353"/>
      <c r="FQ16" s="353"/>
      <c r="FR16" s="353"/>
      <c r="FS16" s="353"/>
      <c r="FT16" s="353"/>
      <c r="FU16" s="353"/>
      <c r="FV16" s="353"/>
      <c r="FW16" s="353"/>
      <c r="FX16" s="353"/>
      <c r="FY16" s="353"/>
      <c r="FZ16" s="353"/>
      <c r="GA16" s="353"/>
      <c r="GB16" s="353"/>
      <c r="GC16" s="353"/>
      <c r="GD16" s="353"/>
      <c r="GE16" s="353"/>
      <c r="GF16" s="353"/>
      <c r="GG16" s="353"/>
      <c r="GH16" s="353"/>
      <c r="GI16" s="353"/>
      <c r="GJ16" s="353"/>
      <c r="GK16" s="353"/>
      <c r="GL16" s="353"/>
      <c r="GM16" s="353"/>
      <c r="GN16" s="353"/>
      <c r="GO16" s="353"/>
      <c r="GP16" s="353"/>
      <c r="GQ16" s="353"/>
      <c r="GR16" s="353"/>
      <c r="GS16" s="353"/>
      <c r="GT16" s="353"/>
      <c r="GU16" s="353"/>
      <c r="GV16" s="353"/>
      <c r="GW16" s="353"/>
      <c r="GX16" s="353"/>
      <c r="GY16" s="353"/>
      <c r="GZ16" s="353"/>
      <c r="HA16" s="353"/>
      <c r="HB16" s="353"/>
      <c r="HC16" s="353"/>
      <c r="HD16" s="353"/>
      <c r="HE16" s="353"/>
      <c r="HF16" s="353"/>
      <c r="HG16" s="353"/>
      <c r="HH16" s="353"/>
      <c r="HI16" s="353"/>
      <c r="HJ16" s="353"/>
      <c r="HK16" s="353"/>
      <c r="HL16" s="353"/>
      <c r="HM16" s="353"/>
      <c r="HN16" s="353"/>
      <c r="HO16" s="353"/>
      <c r="HP16" s="353"/>
      <c r="HQ16" s="353"/>
      <c r="HR16" s="353"/>
      <c r="HS16" s="353"/>
      <c r="HT16" s="353"/>
      <c r="HU16" s="353"/>
      <c r="HV16" s="353"/>
      <c r="HW16" s="353"/>
      <c r="HX16" s="353"/>
      <c r="HY16" s="353"/>
      <c r="HZ16" s="353"/>
      <c r="IA16" s="353"/>
      <c r="IB16" s="353"/>
      <c r="IC16" s="353"/>
      <c r="ID16" s="353"/>
      <c r="IE16" s="353"/>
      <c r="IF16" s="353"/>
      <c r="IG16" s="353"/>
      <c r="IH16" s="353"/>
      <c r="II16" s="353"/>
      <c r="IJ16" s="353"/>
      <c r="IK16" s="353"/>
      <c r="IL16" s="353"/>
      <c r="IM16" s="353"/>
      <c r="IN16" s="353"/>
      <c r="IO16" s="353"/>
      <c r="IP16" s="353"/>
      <c r="IQ16" s="353"/>
      <c r="IR16" s="353"/>
      <c r="IS16" s="353"/>
      <c r="IT16" s="353"/>
      <c r="IU16" s="353"/>
      <c r="IV16" s="353"/>
      <c r="IW16" s="353"/>
    </row>
    <row r="17" customFormat="false" ht="15.95" hidden="false" customHeight="true" outlineLevel="0" collapsed="false">
      <c r="A17" s="472" t="n">
        <v>10</v>
      </c>
      <c r="B17" s="473"/>
      <c r="C17" s="356"/>
      <c r="D17" s="357"/>
      <c r="E17" s="356"/>
      <c r="F17" s="357"/>
      <c r="G17" s="474"/>
      <c r="H17" s="475"/>
      <c r="I17" s="476" t="n">
        <f aca="false">I$7</f>
        <v>0</v>
      </c>
      <c r="J17" s="477" t="n">
        <f aca="false">J$7</f>
        <v>0</v>
      </c>
      <c r="K17" s="477" t="n">
        <f aca="false">K$7</f>
        <v>0</v>
      </c>
      <c r="L17" s="477" t="n">
        <f aca="false">L$7</f>
        <v>0</v>
      </c>
      <c r="M17" s="477" t="n">
        <f aca="false">M$7</f>
        <v>0</v>
      </c>
      <c r="N17" s="478" t="n">
        <f aca="false">N$7</f>
        <v>0</v>
      </c>
      <c r="O17" s="466" t="n">
        <f aca="false">SUM(I17:N17)*$K$2</f>
        <v>0</v>
      </c>
      <c r="P17" s="479"/>
      <c r="Q17" s="359"/>
      <c r="R17" s="469" t="n">
        <f aca="false">P17-O17</f>
        <v>0</v>
      </c>
      <c r="S17" s="470" t="n">
        <f aca="false">IF(ISNA(VLOOKUP(D17,$B$28:$W$178,12)*V37)=TRUE(),0,VLOOKUP(D17,$B$28:$W$178,12)*V37)</f>
        <v>0</v>
      </c>
      <c r="T17" s="480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3"/>
      <c r="AG17" s="353"/>
      <c r="AH17" s="353"/>
      <c r="AI17" s="353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3"/>
      <c r="AV17" s="353"/>
      <c r="AW17" s="353"/>
      <c r="AX17" s="353"/>
      <c r="AY17" s="353"/>
      <c r="AZ17" s="353"/>
      <c r="BA17" s="353"/>
      <c r="BB17" s="353"/>
      <c r="BC17" s="353"/>
      <c r="BD17" s="353"/>
      <c r="BE17" s="353"/>
      <c r="BF17" s="353"/>
      <c r="BG17" s="353"/>
      <c r="BH17" s="353"/>
      <c r="BI17" s="353"/>
      <c r="BJ17" s="353"/>
      <c r="BK17" s="353"/>
      <c r="BL17" s="353"/>
      <c r="BM17" s="353"/>
      <c r="BN17" s="353"/>
      <c r="BO17" s="353"/>
      <c r="BP17" s="353"/>
      <c r="BQ17" s="353"/>
      <c r="BR17" s="353"/>
      <c r="BS17" s="353"/>
      <c r="BT17" s="353"/>
      <c r="BU17" s="353"/>
      <c r="BV17" s="353"/>
      <c r="BW17" s="353"/>
      <c r="BX17" s="353"/>
      <c r="BY17" s="353"/>
      <c r="BZ17" s="353"/>
      <c r="CA17" s="353"/>
      <c r="CB17" s="353"/>
      <c r="CC17" s="353"/>
      <c r="CD17" s="353"/>
      <c r="CE17" s="353"/>
      <c r="CF17" s="353"/>
      <c r="CG17" s="353"/>
      <c r="CH17" s="353"/>
      <c r="CI17" s="353"/>
      <c r="CJ17" s="353"/>
      <c r="CK17" s="353"/>
      <c r="CL17" s="353"/>
      <c r="CM17" s="353"/>
      <c r="CN17" s="353"/>
      <c r="CO17" s="353"/>
      <c r="CP17" s="353"/>
      <c r="CQ17" s="353"/>
      <c r="CR17" s="353"/>
      <c r="CS17" s="353"/>
      <c r="CT17" s="353"/>
      <c r="CU17" s="353"/>
      <c r="CV17" s="353"/>
      <c r="CW17" s="353"/>
      <c r="CX17" s="353"/>
      <c r="CY17" s="353"/>
      <c r="CZ17" s="353"/>
      <c r="DA17" s="353"/>
      <c r="DB17" s="353"/>
      <c r="DC17" s="353"/>
      <c r="DD17" s="353"/>
      <c r="DE17" s="353"/>
      <c r="DF17" s="353"/>
      <c r="DG17" s="353"/>
      <c r="DH17" s="353"/>
      <c r="DI17" s="353"/>
      <c r="DJ17" s="353"/>
      <c r="DK17" s="353"/>
      <c r="DL17" s="353"/>
      <c r="DM17" s="353"/>
      <c r="DN17" s="353"/>
      <c r="DO17" s="353"/>
      <c r="DP17" s="353"/>
      <c r="DQ17" s="353"/>
      <c r="DR17" s="353"/>
      <c r="DS17" s="353"/>
      <c r="DT17" s="353"/>
      <c r="DU17" s="353"/>
      <c r="DV17" s="353"/>
      <c r="DW17" s="353"/>
      <c r="DX17" s="353"/>
      <c r="DY17" s="353"/>
      <c r="DZ17" s="353"/>
      <c r="EA17" s="353"/>
      <c r="EB17" s="353"/>
      <c r="EC17" s="353"/>
      <c r="ED17" s="353"/>
      <c r="EE17" s="353"/>
      <c r="EF17" s="353"/>
      <c r="EG17" s="353"/>
      <c r="EH17" s="353"/>
      <c r="EI17" s="353"/>
      <c r="EJ17" s="353"/>
      <c r="EK17" s="353"/>
      <c r="EL17" s="353"/>
      <c r="EM17" s="353"/>
      <c r="EN17" s="353"/>
      <c r="EO17" s="353"/>
      <c r="EP17" s="353"/>
      <c r="EQ17" s="353"/>
      <c r="ER17" s="353"/>
      <c r="ES17" s="353"/>
      <c r="ET17" s="353"/>
      <c r="EU17" s="353"/>
      <c r="EV17" s="353"/>
      <c r="EW17" s="353"/>
      <c r="EX17" s="353"/>
      <c r="EY17" s="353"/>
      <c r="EZ17" s="353"/>
      <c r="FA17" s="353"/>
      <c r="FB17" s="353"/>
      <c r="FC17" s="353"/>
      <c r="FD17" s="353"/>
      <c r="FE17" s="353"/>
      <c r="FF17" s="353"/>
      <c r="FG17" s="353"/>
      <c r="FH17" s="353"/>
      <c r="FI17" s="353"/>
      <c r="FJ17" s="353"/>
      <c r="FK17" s="353"/>
      <c r="FL17" s="353"/>
      <c r="FM17" s="353"/>
      <c r="FN17" s="353"/>
      <c r="FO17" s="353"/>
      <c r="FP17" s="353"/>
      <c r="FQ17" s="353"/>
      <c r="FR17" s="353"/>
      <c r="FS17" s="353"/>
      <c r="FT17" s="353"/>
      <c r="FU17" s="353"/>
      <c r="FV17" s="353"/>
      <c r="FW17" s="353"/>
      <c r="FX17" s="353"/>
      <c r="FY17" s="353"/>
      <c r="FZ17" s="353"/>
      <c r="GA17" s="353"/>
      <c r="GB17" s="353"/>
      <c r="GC17" s="353"/>
      <c r="GD17" s="353"/>
      <c r="GE17" s="353"/>
      <c r="GF17" s="353"/>
      <c r="GG17" s="353"/>
      <c r="GH17" s="353"/>
      <c r="GI17" s="353"/>
      <c r="GJ17" s="353"/>
      <c r="GK17" s="353"/>
      <c r="GL17" s="353"/>
      <c r="GM17" s="353"/>
      <c r="GN17" s="353"/>
      <c r="GO17" s="353"/>
      <c r="GP17" s="353"/>
      <c r="GQ17" s="353"/>
      <c r="GR17" s="353"/>
      <c r="GS17" s="353"/>
      <c r="GT17" s="353"/>
      <c r="GU17" s="353"/>
      <c r="GV17" s="353"/>
      <c r="GW17" s="353"/>
      <c r="GX17" s="353"/>
      <c r="GY17" s="353"/>
      <c r="GZ17" s="353"/>
      <c r="HA17" s="353"/>
      <c r="HB17" s="353"/>
      <c r="HC17" s="353"/>
      <c r="HD17" s="353"/>
      <c r="HE17" s="353"/>
      <c r="HF17" s="353"/>
      <c r="HG17" s="353"/>
      <c r="HH17" s="353"/>
      <c r="HI17" s="353"/>
      <c r="HJ17" s="353"/>
      <c r="HK17" s="353"/>
      <c r="HL17" s="353"/>
      <c r="HM17" s="353"/>
      <c r="HN17" s="353"/>
      <c r="HO17" s="353"/>
      <c r="HP17" s="353"/>
      <c r="HQ17" s="353"/>
      <c r="HR17" s="353"/>
      <c r="HS17" s="353"/>
      <c r="HT17" s="353"/>
      <c r="HU17" s="353"/>
      <c r="HV17" s="353"/>
      <c r="HW17" s="353"/>
      <c r="HX17" s="353"/>
      <c r="HY17" s="353"/>
      <c r="HZ17" s="353"/>
      <c r="IA17" s="353"/>
      <c r="IB17" s="353"/>
      <c r="IC17" s="353"/>
      <c r="ID17" s="353"/>
      <c r="IE17" s="353"/>
      <c r="IF17" s="353"/>
      <c r="IG17" s="353"/>
      <c r="IH17" s="353"/>
      <c r="II17" s="353"/>
      <c r="IJ17" s="353"/>
      <c r="IK17" s="353"/>
      <c r="IL17" s="353"/>
      <c r="IM17" s="353"/>
      <c r="IN17" s="353"/>
      <c r="IO17" s="353"/>
      <c r="IP17" s="353"/>
      <c r="IQ17" s="353"/>
      <c r="IR17" s="353"/>
      <c r="IS17" s="353"/>
      <c r="IT17" s="353"/>
      <c r="IU17" s="353"/>
      <c r="IV17" s="353"/>
      <c r="IW17" s="353"/>
    </row>
    <row r="18" customFormat="false" ht="15.95" hidden="false" customHeight="true" outlineLevel="0" collapsed="false">
      <c r="A18" s="472" t="n">
        <v>11</v>
      </c>
      <c r="B18" s="473"/>
      <c r="C18" s="356"/>
      <c r="D18" s="357"/>
      <c r="E18" s="356"/>
      <c r="F18" s="357"/>
      <c r="G18" s="474"/>
      <c r="H18" s="475"/>
      <c r="I18" s="476" t="n">
        <f aca="false">I$7</f>
        <v>0</v>
      </c>
      <c r="J18" s="477" t="n">
        <f aca="false">J$7</f>
        <v>0</v>
      </c>
      <c r="K18" s="477" t="n">
        <f aca="false">K$7</f>
        <v>0</v>
      </c>
      <c r="L18" s="477" t="n">
        <f aca="false">L$7</f>
        <v>0</v>
      </c>
      <c r="M18" s="477" t="n">
        <f aca="false">M$7</f>
        <v>0</v>
      </c>
      <c r="N18" s="478" t="n">
        <f aca="false">N$7</f>
        <v>0</v>
      </c>
      <c r="O18" s="466" t="n">
        <f aca="false">SUM(I18:N18)*$K$2</f>
        <v>0</v>
      </c>
      <c r="P18" s="479"/>
      <c r="Q18" s="359"/>
      <c r="R18" s="469" t="n">
        <f aca="false">P18-O18</f>
        <v>0</v>
      </c>
      <c r="S18" s="470" t="n">
        <f aca="false">IF(ISNA(VLOOKUP(D18,$B$28:$W$178,12)*V38)=TRUE(),0,VLOOKUP(D18,$B$28:$W$178,12)*V38)</f>
        <v>0</v>
      </c>
      <c r="T18" s="480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3"/>
      <c r="AG18" s="353"/>
      <c r="AH18" s="353"/>
      <c r="AI18" s="353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3"/>
      <c r="AV18" s="353"/>
      <c r="AW18" s="353"/>
      <c r="AX18" s="353"/>
      <c r="AY18" s="353"/>
      <c r="AZ18" s="353"/>
      <c r="BA18" s="353"/>
      <c r="BB18" s="353"/>
      <c r="BC18" s="353"/>
      <c r="BD18" s="353"/>
      <c r="BE18" s="353"/>
      <c r="BF18" s="353"/>
      <c r="BG18" s="353"/>
      <c r="BH18" s="353"/>
      <c r="BI18" s="353"/>
      <c r="BJ18" s="353"/>
      <c r="BK18" s="353"/>
      <c r="BL18" s="353"/>
      <c r="BM18" s="353"/>
      <c r="BN18" s="353"/>
      <c r="BO18" s="353"/>
      <c r="BP18" s="353"/>
      <c r="BQ18" s="353"/>
      <c r="BR18" s="353"/>
      <c r="BS18" s="353"/>
      <c r="BT18" s="353"/>
      <c r="BU18" s="353"/>
      <c r="BV18" s="353"/>
      <c r="BW18" s="353"/>
      <c r="BX18" s="353"/>
      <c r="BY18" s="353"/>
      <c r="BZ18" s="353"/>
      <c r="CA18" s="353"/>
      <c r="CB18" s="353"/>
      <c r="CC18" s="353"/>
      <c r="CD18" s="353"/>
      <c r="CE18" s="353"/>
      <c r="CF18" s="353"/>
      <c r="CG18" s="353"/>
      <c r="CH18" s="353"/>
      <c r="CI18" s="353"/>
      <c r="CJ18" s="353"/>
      <c r="CK18" s="353"/>
      <c r="CL18" s="353"/>
      <c r="CM18" s="353"/>
      <c r="CN18" s="353"/>
      <c r="CO18" s="353"/>
      <c r="CP18" s="353"/>
      <c r="CQ18" s="353"/>
      <c r="CR18" s="353"/>
      <c r="CS18" s="353"/>
      <c r="CT18" s="353"/>
      <c r="CU18" s="353"/>
      <c r="CV18" s="353"/>
      <c r="CW18" s="353"/>
      <c r="CX18" s="353"/>
      <c r="CY18" s="353"/>
      <c r="CZ18" s="353"/>
      <c r="DA18" s="353"/>
      <c r="DB18" s="353"/>
      <c r="DC18" s="353"/>
      <c r="DD18" s="353"/>
      <c r="DE18" s="353"/>
      <c r="DF18" s="353"/>
      <c r="DG18" s="353"/>
      <c r="DH18" s="353"/>
      <c r="DI18" s="353"/>
      <c r="DJ18" s="353"/>
      <c r="DK18" s="353"/>
      <c r="DL18" s="353"/>
      <c r="DM18" s="353"/>
      <c r="DN18" s="353"/>
      <c r="DO18" s="353"/>
      <c r="DP18" s="353"/>
      <c r="DQ18" s="353"/>
      <c r="DR18" s="353"/>
      <c r="DS18" s="353"/>
      <c r="DT18" s="353"/>
      <c r="DU18" s="353"/>
      <c r="DV18" s="353"/>
      <c r="DW18" s="353"/>
      <c r="DX18" s="353"/>
      <c r="DY18" s="353"/>
      <c r="DZ18" s="353"/>
      <c r="EA18" s="353"/>
      <c r="EB18" s="353"/>
      <c r="EC18" s="353"/>
      <c r="ED18" s="353"/>
      <c r="EE18" s="353"/>
      <c r="EF18" s="353"/>
      <c r="EG18" s="353"/>
      <c r="EH18" s="353"/>
      <c r="EI18" s="353"/>
      <c r="EJ18" s="353"/>
      <c r="EK18" s="353"/>
      <c r="EL18" s="353"/>
      <c r="EM18" s="353"/>
      <c r="EN18" s="353"/>
      <c r="EO18" s="353"/>
      <c r="EP18" s="353"/>
      <c r="EQ18" s="353"/>
      <c r="ER18" s="353"/>
      <c r="ES18" s="353"/>
      <c r="ET18" s="353"/>
      <c r="EU18" s="353"/>
      <c r="EV18" s="353"/>
      <c r="EW18" s="353"/>
      <c r="EX18" s="353"/>
      <c r="EY18" s="353"/>
      <c r="EZ18" s="353"/>
      <c r="FA18" s="353"/>
      <c r="FB18" s="353"/>
      <c r="FC18" s="353"/>
      <c r="FD18" s="353"/>
      <c r="FE18" s="353"/>
      <c r="FF18" s="353"/>
      <c r="FG18" s="353"/>
      <c r="FH18" s="353"/>
      <c r="FI18" s="353"/>
      <c r="FJ18" s="353"/>
      <c r="FK18" s="353"/>
      <c r="FL18" s="353"/>
      <c r="FM18" s="353"/>
      <c r="FN18" s="353"/>
      <c r="FO18" s="353"/>
      <c r="FP18" s="353"/>
      <c r="FQ18" s="353"/>
      <c r="FR18" s="353"/>
      <c r="FS18" s="353"/>
      <c r="FT18" s="353"/>
      <c r="FU18" s="353"/>
      <c r="FV18" s="353"/>
      <c r="FW18" s="353"/>
      <c r="FX18" s="353"/>
      <c r="FY18" s="353"/>
      <c r="FZ18" s="353"/>
      <c r="GA18" s="353"/>
      <c r="GB18" s="353"/>
      <c r="GC18" s="353"/>
      <c r="GD18" s="353"/>
      <c r="GE18" s="353"/>
      <c r="GF18" s="353"/>
      <c r="GG18" s="353"/>
      <c r="GH18" s="353"/>
      <c r="GI18" s="353"/>
      <c r="GJ18" s="353"/>
      <c r="GK18" s="353"/>
      <c r="GL18" s="353"/>
      <c r="GM18" s="353"/>
      <c r="GN18" s="353"/>
      <c r="GO18" s="353"/>
      <c r="GP18" s="353"/>
      <c r="GQ18" s="353"/>
      <c r="GR18" s="353"/>
      <c r="GS18" s="353"/>
      <c r="GT18" s="353"/>
      <c r="GU18" s="353"/>
      <c r="GV18" s="353"/>
      <c r="GW18" s="353"/>
      <c r="GX18" s="353"/>
      <c r="GY18" s="353"/>
      <c r="GZ18" s="353"/>
      <c r="HA18" s="353"/>
      <c r="HB18" s="353"/>
      <c r="HC18" s="353"/>
      <c r="HD18" s="353"/>
      <c r="HE18" s="353"/>
      <c r="HF18" s="353"/>
      <c r="HG18" s="353"/>
      <c r="HH18" s="353"/>
      <c r="HI18" s="353"/>
      <c r="HJ18" s="353"/>
      <c r="HK18" s="353"/>
      <c r="HL18" s="353"/>
      <c r="HM18" s="353"/>
      <c r="HN18" s="353"/>
      <c r="HO18" s="353"/>
      <c r="HP18" s="353"/>
      <c r="HQ18" s="353"/>
      <c r="HR18" s="353"/>
      <c r="HS18" s="353"/>
      <c r="HT18" s="353"/>
      <c r="HU18" s="353"/>
      <c r="HV18" s="353"/>
      <c r="HW18" s="353"/>
      <c r="HX18" s="353"/>
      <c r="HY18" s="353"/>
      <c r="HZ18" s="353"/>
      <c r="IA18" s="353"/>
      <c r="IB18" s="353"/>
      <c r="IC18" s="353"/>
      <c r="ID18" s="353"/>
      <c r="IE18" s="353"/>
      <c r="IF18" s="353"/>
      <c r="IG18" s="353"/>
      <c r="IH18" s="353"/>
      <c r="II18" s="353"/>
      <c r="IJ18" s="353"/>
      <c r="IK18" s="353"/>
      <c r="IL18" s="353"/>
      <c r="IM18" s="353"/>
      <c r="IN18" s="353"/>
      <c r="IO18" s="353"/>
      <c r="IP18" s="353"/>
      <c r="IQ18" s="353"/>
      <c r="IR18" s="353"/>
      <c r="IS18" s="353"/>
      <c r="IT18" s="353"/>
      <c r="IU18" s="353"/>
      <c r="IV18" s="353"/>
      <c r="IW18" s="353"/>
    </row>
    <row r="19" customFormat="false" ht="15.95" hidden="false" customHeight="true" outlineLevel="0" collapsed="false">
      <c r="A19" s="472" t="n">
        <v>12</v>
      </c>
      <c r="B19" s="473"/>
      <c r="C19" s="356"/>
      <c r="D19" s="357"/>
      <c r="E19" s="356"/>
      <c r="F19" s="357"/>
      <c r="G19" s="474"/>
      <c r="H19" s="475"/>
      <c r="I19" s="476" t="n">
        <f aca="false">I$7</f>
        <v>0</v>
      </c>
      <c r="J19" s="477" t="n">
        <f aca="false">J$7</f>
        <v>0</v>
      </c>
      <c r="K19" s="477" t="n">
        <f aca="false">K$7</f>
        <v>0</v>
      </c>
      <c r="L19" s="477" t="n">
        <f aca="false">L$7</f>
        <v>0</v>
      </c>
      <c r="M19" s="477" t="n">
        <f aca="false">M$7</f>
        <v>0</v>
      </c>
      <c r="N19" s="478" t="n">
        <f aca="false">N$7</f>
        <v>0</v>
      </c>
      <c r="O19" s="466" t="n">
        <f aca="false">SUM(I19:N19)*$K$2</f>
        <v>0</v>
      </c>
      <c r="P19" s="479"/>
      <c r="Q19" s="359"/>
      <c r="R19" s="469" t="n">
        <f aca="false">P19-O19</f>
        <v>0</v>
      </c>
      <c r="S19" s="470" t="n">
        <f aca="false">IF(ISNA(VLOOKUP(D19,$B$28:$W$178,12)*V39)=TRUE(),0,VLOOKUP(D19,$B$28:$W$178,12)*V39)</f>
        <v>0</v>
      </c>
      <c r="T19" s="480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/>
      <c r="AX19" s="353"/>
      <c r="AY19" s="353"/>
      <c r="AZ19" s="353"/>
      <c r="BA19" s="353"/>
      <c r="BB19" s="353"/>
      <c r="BC19" s="353"/>
      <c r="BD19" s="353"/>
      <c r="BE19" s="353"/>
      <c r="BF19" s="353"/>
      <c r="BG19" s="353"/>
      <c r="BH19" s="353"/>
      <c r="BI19" s="353"/>
      <c r="BJ19" s="353"/>
      <c r="BK19" s="353"/>
      <c r="BL19" s="353"/>
      <c r="BM19" s="353"/>
      <c r="BN19" s="353"/>
      <c r="BO19" s="353"/>
      <c r="BP19" s="353"/>
      <c r="BQ19" s="353"/>
      <c r="BR19" s="353"/>
      <c r="BS19" s="353"/>
      <c r="BT19" s="353"/>
      <c r="BU19" s="353"/>
      <c r="BV19" s="353"/>
      <c r="BW19" s="353"/>
      <c r="BX19" s="353"/>
      <c r="BY19" s="353"/>
      <c r="BZ19" s="353"/>
      <c r="CA19" s="353"/>
      <c r="CB19" s="353"/>
      <c r="CC19" s="353"/>
      <c r="CD19" s="353"/>
      <c r="CE19" s="353"/>
      <c r="CF19" s="353"/>
      <c r="CG19" s="353"/>
      <c r="CH19" s="353"/>
      <c r="CI19" s="353"/>
      <c r="CJ19" s="353"/>
      <c r="CK19" s="353"/>
      <c r="CL19" s="353"/>
      <c r="CM19" s="353"/>
      <c r="CN19" s="353"/>
      <c r="CO19" s="353"/>
      <c r="CP19" s="353"/>
      <c r="CQ19" s="353"/>
      <c r="CR19" s="353"/>
      <c r="CS19" s="353"/>
      <c r="CT19" s="353"/>
      <c r="CU19" s="353"/>
      <c r="CV19" s="353"/>
      <c r="CW19" s="353"/>
      <c r="CX19" s="353"/>
      <c r="CY19" s="353"/>
      <c r="CZ19" s="353"/>
      <c r="DA19" s="353"/>
      <c r="DB19" s="353"/>
      <c r="DC19" s="353"/>
      <c r="DD19" s="353"/>
      <c r="DE19" s="353"/>
      <c r="DF19" s="353"/>
      <c r="DG19" s="353"/>
      <c r="DH19" s="353"/>
      <c r="DI19" s="353"/>
      <c r="DJ19" s="353"/>
      <c r="DK19" s="353"/>
      <c r="DL19" s="353"/>
      <c r="DM19" s="353"/>
      <c r="DN19" s="353"/>
      <c r="DO19" s="353"/>
      <c r="DP19" s="353"/>
      <c r="DQ19" s="353"/>
      <c r="DR19" s="353"/>
      <c r="DS19" s="353"/>
      <c r="DT19" s="353"/>
      <c r="DU19" s="353"/>
      <c r="DV19" s="353"/>
      <c r="DW19" s="353"/>
      <c r="DX19" s="353"/>
      <c r="DY19" s="353"/>
      <c r="DZ19" s="353"/>
      <c r="EA19" s="353"/>
      <c r="EB19" s="353"/>
      <c r="EC19" s="353"/>
      <c r="ED19" s="353"/>
      <c r="EE19" s="353"/>
      <c r="EF19" s="353"/>
      <c r="EG19" s="353"/>
      <c r="EH19" s="353"/>
      <c r="EI19" s="353"/>
      <c r="EJ19" s="353"/>
      <c r="EK19" s="353"/>
      <c r="EL19" s="353"/>
      <c r="EM19" s="353"/>
      <c r="EN19" s="353"/>
      <c r="EO19" s="353"/>
      <c r="EP19" s="353"/>
      <c r="EQ19" s="353"/>
      <c r="ER19" s="353"/>
      <c r="ES19" s="353"/>
      <c r="ET19" s="353"/>
      <c r="EU19" s="353"/>
      <c r="EV19" s="353"/>
      <c r="EW19" s="353"/>
      <c r="EX19" s="353"/>
      <c r="EY19" s="353"/>
      <c r="EZ19" s="353"/>
      <c r="FA19" s="353"/>
      <c r="FB19" s="353"/>
      <c r="FC19" s="353"/>
      <c r="FD19" s="353"/>
      <c r="FE19" s="353"/>
      <c r="FF19" s="353"/>
      <c r="FG19" s="353"/>
      <c r="FH19" s="353"/>
      <c r="FI19" s="353"/>
      <c r="FJ19" s="353"/>
      <c r="FK19" s="353"/>
      <c r="FL19" s="353"/>
      <c r="FM19" s="353"/>
      <c r="FN19" s="353"/>
      <c r="FO19" s="353"/>
      <c r="FP19" s="353"/>
      <c r="FQ19" s="353"/>
      <c r="FR19" s="353"/>
      <c r="FS19" s="353"/>
      <c r="FT19" s="353"/>
      <c r="FU19" s="353"/>
      <c r="FV19" s="353"/>
      <c r="FW19" s="353"/>
      <c r="FX19" s="353"/>
      <c r="FY19" s="353"/>
      <c r="FZ19" s="353"/>
      <c r="GA19" s="353"/>
      <c r="GB19" s="353"/>
      <c r="GC19" s="353"/>
      <c r="GD19" s="353"/>
      <c r="GE19" s="353"/>
      <c r="GF19" s="353"/>
      <c r="GG19" s="353"/>
      <c r="GH19" s="353"/>
      <c r="GI19" s="353"/>
      <c r="GJ19" s="353"/>
      <c r="GK19" s="353"/>
      <c r="GL19" s="353"/>
      <c r="GM19" s="353"/>
      <c r="GN19" s="353"/>
      <c r="GO19" s="353"/>
      <c r="GP19" s="353"/>
      <c r="GQ19" s="353"/>
      <c r="GR19" s="353"/>
      <c r="GS19" s="353"/>
      <c r="GT19" s="353"/>
      <c r="GU19" s="353"/>
      <c r="GV19" s="353"/>
      <c r="GW19" s="353"/>
      <c r="GX19" s="353"/>
      <c r="GY19" s="353"/>
      <c r="GZ19" s="353"/>
      <c r="HA19" s="353"/>
      <c r="HB19" s="353"/>
      <c r="HC19" s="353"/>
      <c r="HD19" s="353"/>
      <c r="HE19" s="353"/>
      <c r="HF19" s="353"/>
      <c r="HG19" s="353"/>
      <c r="HH19" s="353"/>
      <c r="HI19" s="353"/>
      <c r="HJ19" s="353"/>
      <c r="HK19" s="353"/>
      <c r="HL19" s="353"/>
      <c r="HM19" s="353"/>
      <c r="HN19" s="353"/>
      <c r="HO19" s="353"/>
      <c r="HP19" s="353"/>
      <c r="HQ19" s="353"/>
      <c r="HR19" s="353"/>
      <c r="HS19" s="353"/>
      <c r="HT19" s="353"/>
      <c r="HU19" s="353"/>
      <c r="HV19" s="353"/>
      <c r="HW19" s="353"/>
      <c r="HX19" s="353"/>
      <c r="HY19" s="353"/>
      <c r="HZ19" s="353"/>
      <c r="IA19" s="353"/>
      <c r="IB19" s="353"/>
      <c r="IC19" s="353"/>
      <c r="ID19" s="353"/>
      <c r="IE19" s="353"/>
      <c r="IF19" s="353"/>
      <c r="IG19" s="353"/>
      <c r="IH19" s="353"/>
      <c r="II19" s="353"/>
      <c r="IJ19" s="353"/>
      <c r="IK19" s="353"/>
      <c r="IL19" s="353"/>
      <c r="IM19" s="353"/>
      <c r="IN19" s="353"/>
      <c r="IO19" s="353"/>
      <c r="IP19" s="353"/>
      <c r="IQ19" s="353"/>
      <c r="IR19" s="353"/>
      <c r="IS19" s="353"/>
      <c r="IT19" s="353"/>
      <c r="IU19" s="353"/>
      <c r="IV19" s="353"/>
      <c r="IW19" s="353"/>
    </row>
    <row r="20" customFormat="false" ht="15.95" hidden="false" customHeight="true" outlineLevel="0" collapsed="false">
      <c r="A20" s="472" t="n">
        <v>13</v>
      </c>
      <c r="B20" s="473"/>
      <c r="C20" s="356"/>
      <c r="D20" s="357"/>
      <c r="E20" s="356"/>
      <c r="F20" s="357"/>
      <c r="G20" s="474"/>
      <c r="H20" s="475"/>
      <c r="I20" s="476" t="n">
        <f aca="false">I$7</f>
        <v>0</v>
      </c>
      <c r="J20" s="477" t="n">
        <f aca="false">J$7</f>
        <v>0</v>
      </c>
      <c r="K20" s="477" t="n">
        <f aca="false">K$7</f>
        <v>0</v>
      </c>
      <c r="L20" s="477" t="n">
        <f aca="false">L$7</f>
        <v>0</v>
      </c>
      <c r="M20" s="477" t="n">
        <f aca="false">M$7</f>
        <v>0</v>
      </c>
      <c r="N20" s="478" t="n">
        <f aca="false">N$7</f>
        <v>0</v>
      </c>
      <c r="O20" s="466" t="n">
        <f aca="false">SUM(I20:N20)*$K$2</f>
        <v>0</v>
      </c>
      <c r="P20" s="486"/>
      <c r="Q20" s="367"/>
      <c r="R20" s="469" t="n">
        <f aca="false">P20-O20</f>
        <v>0</v>
      </c>
      <c r="S20" s="470" t="n">
        <f aca="false">IF(ISNA(VLOOKUP(D20,$B$28:$W$178,12)*V40)=TRUE(),0,VLOOKUP(D20,$B$28:$W$178,12)*V40)</f>
        <v>0</v>
      </c>
      <c r="T20" s="480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</row>
    <row r="21" customFormat="false" ht="15.95" hidden="false" customHeight="true" outlineLevel="0" collapsed="false">
      <c r="A21" s="472" t="n">
        <v>14</v>
      </c>
      <c r="B21" s="473"/>
      <c r="C21" s="356"/>
      <c r="D21" s="357"/>
      <c r="E21" s="356"/>
      <c r="F21" s="357"/>
      <c r="G21" s="474"/>
      <c r="H21" s="475"/>
      <c r="I21" s="476" t="n">
        <f aca="false">I$7</f>
        <v>0</v>
      </c>
      <c r="J21" s="477" t="n">
        <f aca="false">J$7</f>
        <v>0</v>
      </c>
      <c r="K21" s="477" t="n">
        <f aca="false">K$7</f>
        <v>0</v>
      </c>
      <c r="L21" s="477" t="n">
        <f aca="false">L$7</f>
        <v>0</v>
      </c>
      <c r="M21" s="477" t="n">
        <f aca="false">M$7</f>
        <v>0</v>
      </c>
      <c r="N21" s="478" t="n">
        <f aca="false">N$7</f>
        <v>0</v>
      </c>
      <c r="O21" s="466" t="n">
        <f aca="false">SUM(I21:N21)*$K$2</f>
        <v>0</v>
      </c>
      <c r="P21" s="486"/>
      <c r="Q21" s="367"/>
      <c r="R21" s="469" t="n">
        <f aca="false">P21-O21</f>
        <v>0</v>
      </c>
      <c r="S21" s="470" t="n">
        <f aca="false">IF(ISNA(VLOOKUP(D21,$B$28:$W$178,12)*V41)=TRUE(),0,VLOOKUP(D21,$B$28:$W$178,12)*V41)</f>
        <v>0</v>
      </c>
      <c r="T21" s="480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</row>
    <row r="22" customFormat="false" ht="15.95" hidden="false" customHeight="true" outlineLevel="0" collapsed="false">
      <c r="A22" s="472" t="n">
        <v>15</v>
      </c>
      <c r="B22" s="487"/>
      <c r="C22" s="366"/>
      <c r="D22" s="367"/>
      <c r="E22" s="366"/>
      <c r="F22" s="367"/>
      <c r="G22" s="484"/>
      <c r="H22" s="488"/>
      <c r="I22" s="476" t="n">
        <f aca="false">I$7</f>
        <v>0</v>
      </c>
      <c r="J22" s="477" t="n">
        <f aca="false">J$7</f>
        <v>0</v>
      </c>
      <c r="K22" s="477" t="n">
        <f aca="false">K$7</f>
        <v>0</v>
      </c>
      <c r="L22" s="477" t="n">
        <f aca="false">L$7</f>
        <v>0</v>
      </c>
      <c r="M22" s="477" t="n">
        <f aca="false">M$7</f>
        <v>0</v>
      </c>
      <c r="N22" s="478" t="n">
        <f aca="false">N$7</f>
        <v>0</v>
      </c>
      <c r="O22" s="466" t="n">
        <f aca="false">SUM(I22:N22)*$K$2</f>
        <v>0</v>
      </c>
      <c r="P22" s="479"/>
      <c r="Q22" s="359"/>
      <c r="R22" s="469" t="n">
        <f aca="false">P22-O22</f>
        <v>0</v>
      </c>
      <c r="S22" s="470" t="n">
        <f aca="false">IF(ISNA(VLOOKUP(D22,$B$28:$W$178,12)*V42)=TRUE(),0,VLOOKUP(D22,$B$28:$W$178,12)*V42)</f>
        <v>0</v>
      </c>
      <c r="T22" s="480"/>
      <c r="U22" s="353"/>
      <c r="V22" s="353"/>
      <c r="W22" s="353"/>
      <c r="X22" s="353"/>
      <c r="Y22" s="353"/>
      <c r="Z22" s="353"/>
      <c r="AA22" s="353"/>
      <c r="AB22" s="353"/>
      <c r="AC22" s="353"/>
      <c r="AD22" s="353"/>
      <c r="AE22" s="353"/>
      <c r="AF22" s="353"/>
      <c r="AG22" s="353"/>
      <c r="AH22" s="353"/>
      <c r="AI22" s="353"/>
      <c r="AJ22" s="353"/>
      <c r="AK22" s="353"/>
      <c r="AL22" s="353"/>
      <c r="AM22" s="353"/>
      <c r="AN22" s="353"/>
      <c r="AO22" s="353"/>
      <c r="AP22" s="353"/>
      <c r="AQ22" s="353"/>
      <c r="AR22" s="353"/>
      <c r="AS22" s="353"/>
      <c r="AT22" s="353"/>
      <c r="AU22" s="353"/>
      <c r="AV22" s="353"/>
      <c r="AW22" s="353"/>
      <c r="AX22" s="353"/>
      <c r="AY22" s="353"/>
      <c r="AZ22" s="353"/>
      <c r="BA22" s="353"/>
      <c r="BB22" s="353"/>
      <c r="BC22" s="353"/>
      <c r="BD22" s="353"/>
      <c r="BE22" s="353"/>
      <c r="BF22" s="353"/>
      <c r="BG22" s="353"/>
      <c r="BH22" s="353"/>
      <c r="BI22" s="353"/>
      <c r="BJ22" s="353"/>
      <c r="BK22" s="353"/>
      <c r="BL22" s="353"/>
      <c r="BM22" s="353"/>
      <c r="BN22" s="353"/>
      <c r="BO22" s="353"/>
      <c r="BP22" s="353"/>
      <c r="BQ22" s="353"/>
      <c r="BR22" s="353"/>
      <c r="BS22" s="353"/>
      <c r="BT22" s="353"/>
      <c r="BU22" s="353"/>
      <c r="BV22" s="353"/>
      <c r="BW22" s="353"/>
      <c r="BX22" s="353"/>
      <c r="BY22" s="353"/>
      <c r="BZ22" s="353"/>
      <c r="CA22" s="353"/>
      <c r="CB22" s="353"/>
      <c r="CC22" s="353"/>
      <c r="CD22" s="353"/>
      <c r="CE22" s="353"/>
      <c r="CF22" s="353"/>
      <c r="CG22" s="353"/>
      <c r="CH22" s="353"/>
      <c r="CI22" s="353"/>
      <c r="CJ22" s="353"/>
      <c r="CK22" s="353"/>
      <c r="CL22" s="353"/>
      <c r="CM22" s="353"/>
      <c r="CN22" s="353"/>
      <c r="CO22" s="353"/>
      <c r="CP22" s="353"/>
      <c r="CQ22" s="353"/>
      <c r="CR22" s="353"/>
      <c r="CS22" s="353"/>
      <c r="CT22" s="353"/>
      <c r="CU22" s="353"/>
      <c r="CV22" s="353"/>
      <c r="CW22" s="353"/>
      <c r="CX22" s="353"/>
      <c r="CY22" s="353"/>
      <c r="CZ22" s="353"/>
      <c r="DA22" s="353"/>
      <c r="DB22" s="353"/>
      <c r="DC22" s="353"/>
      <c r="DD22" s="353"/>
      <c r="DE22" s="353"/>
      <c r="DF22" s="353"/>
      <c r="DG22" s="353"/>
      <c r="DH22" s="353"/>
      <c r="DI22" s="353"/>
      <c r="DJ22" s="353"/>
      <c r="DK22" s="353"/>
      <c r="DL22" s="353"/>
      <c r="DM22" s="353"/>
      <c r="DN22" s="353"/>
      <c r="DO22" s="353"/>
      <c r="DP22" s="353"/>
      <c r="DQ22" s="353"/>
      <c r="DR22" s="353"/>
      <c r="DS22" s="353"/>
      <c r="DT22" s="353"/>
      <c r="DU22" s="353"/>
      <c r="DV22" s="353"/>
      <c r="DW22" s="353"/>
      <c r="DX22" s="353"/>
      <c r="DY22" s="353"/>
      <c r="DZ22" s="353"/>
      <c r="EA22" s="353"/>
      <c r="EB22" s="353"/>
      <c r="EC22" s="353"/>
      <c r="ED22" s="353"/>
      <c r="EE22" s="353"/>
      <c r="EF22" s="353"/>
      <c r="EG22" s="353"/>
      <c r="EH22" s="353"/>
      <c r="EI22" s="353"/>
      <c r="EJ22" s="353"/>
      <c r="EK22" s="353"/>
      <c r="EL22" s="353"/>
      <c r="EM22" s="353"/>
      <c r="EN22" s="353"/>
      <c r="EO22" s="353"/>
      <c r="EP22" s="353"/>
      <c r="EQ22" s="353"/>
      <c r="ER22" s="353"/>
      <c r="ES22" s="353"/>
      <c r="ET22" s="353"/>
      <c r="EU22" s="353"/>
      <c r="EV22" s="353"/>
      <c r="EW22" s="353"/>
      <c r="EX22" s="353"/>
      <c r="EY22" s="353"/>
      <c r="EZ22" s="353"/>
      <c r="FA22" s="353"/>
      <c r="FB22" s="353"/>
      <c r="FC22" s="353"/>
      <c r="FD22" s="353"/>
      <c r="FE22" s="353"/>
      <c r="FF22" s="353"/>
      <c r="FG22" s="353"/>
      <c r="FH22" s="353"/>
      <c r="FI22" s="353"/>
      <c r="FJ22" s="353"/>
      <c r="FK22" s="353"/>
      <c r="FL22" s="353"/>
      <c r="FM22" s="353"/>
      <c r="FN22" s="353"/>
      <c r="FO22" s="353"/>
      <c r="FP22" s="353"/>
      <c r="FQ22" s="353"/>
      <c r="FR22" s="353"/>
      <c r="FS22" s="353"/>
      <c r="FT22" s="353"/>
      <c r="FU22" s="353"/>
      <c r="FV22" s="353"/>
      <c r="FW22" s="353"/>
      <c r="FX22" s="353"/>
      <c r="FY22" s="353"/>
      <c r="FZ22" s="353"/>
      <c r="GA22" s="353"/>
      <c r="GB22" s="353"/>
      <c r="GC22" s="353"/>
      <c r="GD22" s="353"/>
      <c r="GE22" s="353"/>
      <c r="GF22" s="353"/>
      <c r="GG22" s="353"/>
      <c r="GH22" s="353"/>
      <c r="GI22" s="353"/>
      <c r="GJ22" s="353"/>
      <c r="GK22" s="353"/>
      <c r="GL22" s="353"/>
      <c r="GM22" s="353"/>
      <c r="GN22" s="353"/>
      <c r="GO22" s="353"/>
      <c r="GP22" s="353"/>
      <c r="GQ22" s="353"/>
      <c r="GR22" s="353"/>
      <c r="GS22" s="353"/>
      <c r="GT22" s="353"/>
      <c r="GU22" s="353"/>
      <c r="GV22" s="353"/>
      <c r="GW22" s="353"/>
      <c r="GX22" s="353"/>
      <c r="GY22" s="353"/>
      <c r="GZ22" s="353"/>
      <c r="HA22" s="353"/>
      <c r="HB22" s="353"/>
      <c r="HC22" s="353"/>
      <c r="HD22" s="353"/>
      <c r="HE22" s="353"/>
      <c r="HF22" s="353"/>
      <c r="HG22" s="353"/>
      <c r="HH22" s="353"/>
      <c r="HI22" s="353"/>
      <c r="HJ22" s="353"/>
      <c r="HK22" s="353"/>
      <c r="HL22" s="353"/>
      <c r="HM22" s="353"/>
      <c r="HN22" s="353"/>
      <c r="HO22" s="353"/>
      <c r="HP22" s="353"/>
      <c r="HQ22" s="353"/>
      <c r="HR22" s="353"/>
      <c r="HS22" s="353"/>
      <c r="HT22" s="353"/>
      <c r="HU22" s="353"/>
      <c r="HV22" s="353"/>
      <c r="HW22" s="353"/>
      <c r="HX22" s="353"/>
      <c r="HY22" s="353"/>
      <c r="HZ22" s="353"/>
      <c r="IA22" s="353"/>
      <c r="IB22" s="353"/>
      <c r="IC22" s="353"/>
      <c r="ID22" s="353"/>
      <c r="IE22" s="353"/>
      <c r="IF22" s="353"/>
      <c r="IG22" s="353"/>
      <c r="IH22" s="353"/>
      <c r="II22" s="353"/>
      <c r="IJ22" s="353"/>
      <c r="IK22" s="353"/>
      <c r="IL22" s="353"/>
      <c r="IM22" s="353"/>
      <c r="IN22" s="353"/>
      <c r="IO22" s="353"/>
      <c r="IP22" s="353"/>
      <c r="IQ22" s="353"/>
      <c r="IR22" s="353"/>
      <c r="IS22" s="353"/>
      <c r="IT22" s="353"/>
      <c r="IU22" s="353"/>
      <c r="IV22" s="353"/>
      <c r="IW22" s="353"/>
    </row>
    <row r="23" customFormat="false" ht="15.95" hidden="false" customHeight="true" outlineLevel="0" collapsed="false">
      <c r="A23" s="489" t="n">
        <v>16</v>
      </c>
      <c r="B23" s="490"/>
      <c r="C23" s="491"/>
      <c r="D23" s="492"/>
      <c r="E23" s="491"/>
      <c r="F23" s="492"/>
      <c r="G23" s="493"/>
      <c r="H23" s="494"/>
      <c r="I23" s="495" t="n">
        <f aca="false">I$7</f>
        <v>0</v>
      </c>
      <c r="J23" s="496" t="n">
        <f aca="false">J$7</f>
        <v>0</v>
      </c>
      <c r="K23" s="496" t="n">
        <f aca="false">K$7</f>
        <v>0</v>
      </c>
      <c r="L23" s="496" t="n">
        <f aca="false">L$7</f>
        <v>0</v>
      </c>
      <c r="M23" s="496" t="n">
        <f aca="false">M$7</f>
        <v>0</v>
      </c>
      <c r="N23" s="497" t="n">
        <f aca="false">N$7</f>
        <v>0</v>
      </c>
      <c r="O23" s="498" t="n">
        <f aca="false">SUM(I23:N23)*$K$2</f>
        <v>0</v>
      </c>
      <c r="P23" s="499"/>
      <c r="Q23" s="500"/>
      <c r="R23" s="501" t="n">
        <f aca="false">P23-O23</f>
        <v>0</v>
      </c>
      <c r="S23" s="502" t="n">
        <f aca="false">IF(ISNA(VLOOKUP(D23,$B$28:$W$178,12)*V43)=TRUE(),0,VLOOKUP(D23,$B$28:$W$178,12)*V43)</f>
        <v>0</v>
      </c>
      <c r="T23" s="503"/>
      <c r="U23" s="353"/>
      <c r="V23" s="353"/>
      <c r="W23" s="353"/>
      <c r="X23" s="353"/>
      <c r="Y23" s="353"/>
      <c r="Z23" s="353"/>
      <c r="AA23" s="353"/>
      <c r="AB23" s="353"/>
      <c r="AC23" s="353"/>
      <c r="AD23" s="353"/>
      <c r="AE23" s="353"/>
      <c r="AF23" s="353"/>
      <c r="AG23" s="353"/>
      <c r="AH23" s="353"/>
      <c r="AI23" s="353"/>
      <c r="AJ23" s="353"/>
      <c r="AK23" s="353"/>
      <c r="AL23" s="353"/>
      <c r="AM23" s="353"/>
      <c r="AN23" s="353"/>
      <c r="AO23" s="353"/>
      <c r="AP23" s="363"/>
      <c r="AQ23" s="363"/>
      <c r="AR23" s="363"/>
      <c r="AS23" s="363"/>
      <c r="AT23" s="363"/>
      <c r="AU23" s="353"/>
      <c r="AV23" s="353"/>
      <c r="AW23" s="353"/>
      <c r="AX23" s="353"/>
      <c r="AY23" s="353"/>
      <c r="AZ23" s="363"/>
      <c r="BA23" s="363"/>
      <c r="BB23" s="363"/>
      <c r="BC23" s="363"/>
      <c r="BD23" s="363"/>
      <c r="BE23" s="363"/>
      <c r="BF23" s="363"/>
      <c r="BG23" s="363"/>
      <c r="BH23" s="363"/>
      <c r="BI23" s="363"/>
      <c r="BJ23" s="363"/>
      <c r="BK23" s="363"/>
      <c r="BL23" s="363"/>
      <c r="BM23" s="363"/>
      <c r="BN23" s="363"/>
      <c r="BO23" s="363"/>
      <c r="BP23" s="363"/>
      <c r="BQ23" s="363"/>
      <c r="BR23" s="363"/>
      <c r="BS23" s="363"/>
      <c r="BT23" s="363"/>
      <c r="BU23" s="363"/>
      <c r="BV23" s="363"/>
      <c r="BW23" s="363"/>
      <c r="BX23" s="363"/>
      <c r="BY23" s="363"/>
      <c r="BZ23" s="363"/>
      <c r="CA23" s="363"/>
      <c r="CB23" s="363"/>
      <c r="CC23" s="363"/>
      <c r="CD23" s="363"/>
      <c r="CE23" s="363"/>
      <c r="CF23" s="363"/>
      <c r="CG23" s="363"/>
      <c r="CH23" s="363"/>
      <c r="CI23" s="363"/>
      <c r="CJ23" s="363"/>
      <c r="CK23" s="363"/>
      <c r="CL23" s="363"/>
      <c r="CM23" s="363"/>
      <c r="CN23" s="363"/>
      <c r="CO23" s="363"/>
      <c r="CP23" s="363"/>
      <c r="CQ23" s="363"/>
      <c r="CR23" s="363"/>
      <c r="CS23" s="363"/>
      <c r="CT23" s="363"/>
      <c r="CU23" s="363"/>
      <c r="CV23" s="363"/>
      <c r="CW23" s="363"/>
      <c r="CX23" s="363"/>
      <c r="CY23" s="363"/>
      <c r="CZ23" s="353"/>
      <c r="DA23" s="353"/>
      <c r="DB23" s="353"/>
      <c r="DC23" s="353"/>
      <c r="DD23" s="353"/>
      <c r="DE23" s="353"/>
      <c r="DF23" s="353"/>
      <c r="DG23" s="353"/>
      <c r="DH23" s="353"/>
      <c r="DI23" s="353"/>
      <c r="DJ23" s="353"/>
      <c r="DK23" s="353"/>
      <c r="DL23" s="353"/>
      <c r="DM23" s="353"/>
      <c r="DN23" s="353"/>
      <c r="DO23" s="353"/>
      <c r="DP23" s="353"/>
      <c r="DQ23" s="353"/>
      <c r="DR23" s="353"/>
      <c r="DS23" s="353"/>
      <c r="DT23" s="353"/>
      <c r="DU23" s="353"/>
      <c r="DV23" s="353"/>
      <c r="DW23" s="353"/>
      <c r="DX23" s="353"/>
      <c r="DY23" s="353"/>
      <c r="DZ23" s="353"/>
      <c r="EA23" s="353"/>
      <c r="EB23" s="353"/>
      <c r="EC23" s="353"/>
      <c r="ED23" s="353"/>
      <c r="EE23" s="353"/>
      <c r="EF23" s="353"/>
      <c r="EG23" s="353"/>
      <c r="EH23" s="353"/>
      <c r="EI23" s="353"/>
      <c r="EJ23" s="353"/>
      <c r="EK23" s="353"/>
      <c r="EL23" s="353"/>
      <c r="EM23" s="353"/>
      <c r="EN23" s="353"/>
      <c r="EO23" s="353"/>
      <c r="EP23" s="353"/>
      <c r="EQ23" s="353"/>
      <c r="ER23" s="353"/>
      <c r="ES23" s="353"/>
      <c r="ET23" s="353"/>
      <c r="EU23" s="353"/>
      <c r="EV23" s="353"/>
      <c r="EW23" s="353"/>
      <c r="EX23" s="353"/>
      <c r="EY23" s="353"/>
      <c r="EZ23" s="353"/>
      <c r="FA23" s="353"/>
      <c r="FB23" s="353"/>
      <c r="FC23" s="353"/>
      <c r="FD23" s="353"/>
      <c r="FE23" s="353"/>
      <c r="FF23" s="353"/>
      <c r="FG23" s="353"/>
      <c r="FH23" s="353"/>
      <c r="FI23" s="353"/>
      <c r="FJ23" s="353"/>
      <c r="FK23" s="353"/>
      <c r="FL23" s="353"/>
      <c r="FM23" s="353"/>
      <c r="FN23" s="353"/>
      <c r="FO23" s="353"/>
      <c r="FP23" s="353"/>
      <c r="FQ23" s="353"/>
      <c r="FR23" s="353"/>
      <c r="FS23" s="353"/>
      <c r="FT23" s="353"/>
      <c r="FU23" s="353"/>
      <c r="FV23" s="353"/>
      <c r="FW23" s="353"/>
      <c r="FX23" s="353"/>
      <c r="FY23" s="353"/>
      <c r="FZ23" s="353"/>
      <c r="GA23" s="353"/>
      <c r="GB23" s="353"/>
      <c r="GC23" s="353"/>
      <c r="GD23" s="353"/>
      <c r="GE23" s="353"/>
      <c r="GF23" s="353"/>
      <c r="GG23" s="353"/>
      <c r="GH23" s="353"/>
      <c r="GI23" s="353"/>
      <c r="GJ23" s="353"/>
      <c r="GK23" s="353"/>
      <c r="GL23" s="353"/>
      <c r="GM23" s="353"/>
      <c r="GN23" s="353"/>
      <c r="GO23" s="353"/>
      <c r="GP23" s="353"/>
      <c r="GQ23" s="353"/>
      <c r="GR23" s="353"/>
      <c r="GS23" s="353"/>
      <c r="GT23" s="353"/>
      <c r="GU23" s="353"/>
      <c r="GV23" s="353"/>
      <c r="GW23" s="353"/>
      <c r="GX23" s="353"/>
      <c r="GY23" s="353"/>
      <c r="GZ23" s="353"/>
      <c r="HA23" s="353"/>
      <c r="HB23" s="353"/>
      <c r="HC23" s="353"/>
      <c r="HD23" s="353"/>
      <c r="HE23" s="353"/>
      <c r="HF23" s="353"/>
      <c r="HG23" s="353"/>
      <c r="HH23" s="353"/>
      <c r="HI23" s="353"/>
      <c r="HJ23" s="353"/>
      <c r="HK23" s="353"/>
      <c r="HL23" s="353"/>
      <c r="HM23" s="353"/>
      <c r="HN23" s="353"/>
      <c r="HO23" s="353"/>
      <c r="HP23" s="353"/>
      <c r="HQ23" s="353"/>
      <c r="HR23" s="353"/>
      <c r="HS23" s="353"/>
      <c r="HT23" s="353"/>
      <c r="HU23" s="353"/>
      <c r="HV23" s="353"/>
      <c r="HW23" s="353"/>
      <c r="HX23" s="353"/>
      <c r="HY23" s="353"/>
      <c r="HZ23" s="353"/>
      <c r="IA23" s="353"/>
      <c r="IB23" s="353"/>
      <c r="IC23" s="353"/>
      <c r="ID23" s="353"/>
      <c r="IE23" s="353"/>
      <c r="IF23" s="353"/>
      <c r="IG23" s="353"/>
      <c r="IH23" s="353"/>
      <c r="II23" s="353"/>
      <c r="IJ23" s="353"/>
      <c r="IK23" s="353"/>
      <c r="IL23" s="353"/>
      <c r="IM23" s="353"/>
      <c r="IN23" s="353"/>
      <c r="IO23" s="353"/>
      <c r="IP23" s="353"/>
      <c r="IQ23" s="353"/>
      <c r="IR23" s="353"/>
      <c r="IS23" s="353"/>
      <c r="IT23" s="353"/>
      <c r="IU23" s="353"/>
      <c r="IV23" s="353"/>
      <c r="IW23" s="353"/>
    </row>
    <row r="24" customFormat="false" ht="12.75" hidden="false" customHeight="true" outlineLevel="0" collapsed="false">
      <c r="A24" s="383"/>
      <c r="B24" s="384"/>
      <c r="C24" s="384"/>
      <c r="D24" s="384"/>
      <c r="E24" s="384"/>
      <c r="F24" s="383"/>
      <c r="G24" s="383"/>
      <c r="H24" s="384"/>
      <c r="I24" s="392"/>
      <c r="J24" s="393"/>
      <c r="K24" s="393"/>
      <c r="L24" s="393"/>
      <c r="M24" s="393"/>
      <c r="N24" s="393"/>
      <c r="O24" s="393"/>
      <c r="P24" s="504" t="n">
        <f aca="false">SUM(P8:P23)</f>
        <v>0</v>
      </c>
      <c r="Q24" s="393"/>
      <c r="R24" s="393"/>
      <c r="S24" s="393"/>
      <c r="T24" s="385"/>
      <c r="U24" s="393"/>
      <c r="V24" s="393"/>
      <c r="W24" s="393"/>
      <c r="X24" s="393"/>
      <c r="Y24" s="393"/>
      <c r="Z24" s="393"/>
      <c r="AA24" s="393"/>
      <c r="AB24" s="393"/>
      <c r="AC24" s="393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  <c r="AR24" s="393"/>
      <c r="AS24" s="393"/>
      <c r="AT24" s="393"/>
      <c r="AU24" s="393"/>
      <c r="AV24" s="393"/>
      <c r="AW24" s="393"/>
      <c r="AX24" s="393"/>
      <c r="AY24" s="393"/>
      <c r="AZ24" s="393"/>
      <c r="BA24" s="393"/>
      <c r="BB24" s="393"/>
      <c r="BC24" s="393"/>
      <c r="BD24" s="393"/>
      <c r="BE24" s="393"/>
      <c r="BF24" s="393"/>
      <c r="BG24" s="393"/>
      <c r="BH24" s="393"/>
      <c r="BI24" s="393"/>
      <c r="BJ24" s="393"/>
      <c r="BK24" s="393"/>
      <c r="BL24" s="393"/>
      <c r="BM24" s="393"/>
      <c r="BN24" s="393"/>
      <c r="BO24" s="393"/>
      <c r="BP24" s="393"/>
      <c r="BQ24" s="393"/>
      <c r="BR24" s="393"/>
      <c r="BS24" s="393"/>
      <c r="BT24" s="393"/>
      <c r="BU24" s="393"/>
      <c r="BV24" s="393"/>
      <c r="BW24" s="393"/>
      <c r="BX24" s="393"/>
      <c r="BY24" s="393"/>
      <c r="BZ24" s="393"/>
      <c r="CA24" s="393"/>
      <c r="CB24" s="393"/>
      <c r="CC24" s="393"/>
      <c r="CD24" s="393"/>
      <c r="CE24" s="393"/>
      <c r="CF24" s="393"/>
      <c r="CG24" s="393"/>
      <c r="CH24" s="393"/>
      <c r="CI24" s="393"/>
      <c r="CJ24" s="393"/>
      <c r="CK24" s="393"/>
      <c r="CL24" s="393"/>
      <c r="CM24" s="393"/>
      <c r="CN24" s="393"/>
      <c r="CO24" s="393"/>
      <c r="CP24" s="393"/>
      <c r="CQ24" s="393"/>
      <c r="CR24" s="393"/>
      <c r="CS24" s="393"/>
      <c r="CT24" s="393"/>
      <c r="CU24" s="393"/>
      <c r="CV24" s="393"/>
      <c r="CW24" s="393"/>
      <c r="CX24" s="393"/>
      <c r="CY24" s="393"/>
      <c r="CZ24" s="393"/>
      <c r="DA24" s="393"/>
      <c r="DB24" s="393"/>
      <c r="DC24" s="393"/>
      <c r="DD24" s="393"/>
      <c r="DE24" s="393"/>
      <c r="DF24" s="393"/>
      <c r="DG24" s="393"/>
      <c r="DH24" s="393"/>
      <c r="DI24" s="393"/>
      <c r="DJ24" s="393"/>
      <c r="DK24" s="393"/>
      <c r="DL24" s="393"/>
      <c r="DM24" s="393"/>
      <c r="DN24" s="393"/>
      <c r="DO24" s="393"/>
      <c r="DP24" s="393"/>
      <c r="DQ24" s="393"/>
      <c r="DR24" s="393"/>
      <c r="DS24" s="393"/>
      <c r="DT24" s="393"/>
      <c r="DU24" s="393"/>
      <c r="DV24" s="393"/>
      <c r="DW24" s="393"/>
      <c r="DX24" s="393"/>
      <c r="DY24" s="393"/>
      <c r="DZ24" s="393"/>
      <c r="EA24" s="393"/>
      <c r="EB24" s="393"/>
      <c r="EC24" s="393"/>
      <c r="ED24" s="393"/>
      <c r="EE24" s="393"/>
      <c r="EF24" s="393"/>
      <c r="EG24" s="393"/>
      <c r="EH24" s="393"/>
      <c r="EI24" s="393"/>
      <c r="EJ24" s="393"/>
      <c r="EK24" s="393"/>
      <c r="EL24" s="393"/>
      <c r="EM24" s="393"/>
      <c r="EN24" s="393"/>
      <c r="EO24" s="393"/>
      <c r="EP24" s="393"/>
      <c r="EQ24" s="393"/>
      <c r="ER24" s="393"/>
      <c r="ES24" s="393"/>
      <c r="ET24" s="393"/>
      <c r="EU24" s="393"/>
      <c r="EV24" s="393"/>
      <c r="EW24" s="393"/>
      <c r="EX24" s="393"/>
      <c r="EY24" s="393"/>
      <c r="EZ24" s="393"/>
      <c r="FA24" s="393"/>
      <c r="FB24" s="393"/>
      <c r="FC24" s="393"/>
      <c r="FD24" s="393"/>
      <c r="FE24" s="393"/>
      <c r="FF24" s="393"/>
      <c r="FG24" s="393"/>
      <c r="FH24" s="393"/>
      <c r="FI24" s="393"/>
      <c r="FJ24" s="393"/>
      <c r="FK24" s="393"/>
      <c r="FL24" s="393"/>
      <c r="FM24" s="393"/>
      <c r="FN24" s="393"/>
      <c r="FO24" s="393"/>
      <c r="FP24" s="393"/>
      <c r="FQ24" s="393"/>
      <c r="FR24" s="393"/>
      <c r="FS24" s="393"/>
      <c r="FT24" s="393"/>
      <c r="FU24" s="393"/>
      <c r="FV24" s="393"/>
      <c r="FW24" s="393"/>
      <c r="FX24" s="393"/>
      <c r="FY24" s="393"/>
      <c r="FZ24" s="393"/>
      <c r="GA24" s="393"/>
      <c r="GB24" s="393"/>
      <c r="GC24" s="393"/>
      <c r="GD24" s="393"/>
      <c r="GE24" s="393"/>
      <c r="GF24" s="393"/>
      <c r="GG24" s="393"/>
      <c r="GH24" s="393"/>
      <c r="GI24" s="393"/>
      <c r="GJ24" s="393"/>
      <c r="GK24" s="393"/>
      <c r="GL24" s="393"/>
      <c r="GM24" s="393"/>
      <c r="GN24" s="393"/>
      <c r="GO24" s="393"/>
      <c r="GP24" s="393"/>
      <c r="GQ24" s="393"/>
      <c r="GR24" s="393"/>
      <c r="GS24" s="393"/>
      <c r="GT24" s="393"/>
      <c r="GU24" s="393"/>
      <c r="GV24" s="393"/>
      <c r="GW24" s="393"/>
      <c r="GX24" s="393"/>
      <c r="GY24" s="393"/>
      <c r="GZ24" s="393"/>
      <c r="HA24" s="393"/>
      <c r="HB24" s="393"/>
      <c r="HC24" s="393"/>
      <c r="HD24" s="393"/>
      <c r="HE24" s="393"/>
      <c r="HF24" s="393"/>
      <c r="HG24" s="393"/>
      <c r="HH24" s="393"/>
      <c r="HI24" s="393"/>
      <c r="HJ24" s="393"/>
      <c r="HK24" s="393"/>
      <c r="HL24" s="393"/>
      <c r="HM24" s="393"/>
      <c r="HN24" s="393"/>
      <c r="HO24" s="393"/>
      <c r="HP24" s="393"/>
      <c r="HQ24" s="393"/>
      <c r="HR24" s="393"/>
      <c r="HS24" s="393"/>
      <c r="HT24" s="393"/>
      <c r="HU24" s="393"/>
      <c r="HV24" s="393"/>
      <c r="HW24" s="393"/>
      <c r="HX24" s="393"/>
      <c r="HY24" s="393"/>
      <c r="HZ24" s="393"/>
      <c r="IA24" s="393"/>
      <c r="IB24" s="393"/>
      <c r="IC24" s="393"/>
      <c r="ID24" s="393"/>
      <c r="IE24" s="393"/>
      <c r="IF24" s="393"/>
      <c r="IG24" s="393"/>
      <c r="IH24" s="393"/>
      <c r="II24" s="393"/>
      <c r="IJ24" s="393"/>
      <c r="IK24" s="393"/>
      <c r="IL24" s="393"/>
      <c r="IM24" s="393"/>
      <c r="IN24" s="393"/>
      <c r="IO24" s="393"/>
      <c r="IP24" s="393"/>
      <c r="IQ24" s="393"/>
      <c r="IR24" s="393"/>
      <c r="IS24" s="393"/>
      <c r="IT24" s="393"/>
      <c r="IU24" s="393"/>
      <c r="IV24" s="393"/>
      <c r="IW24" s="393"/>
    </row>
    <row r="25" customFormat="false" ht="12.75" hidden="false" customHeight="true" outlineLevel="0" collapsed="false"/>
    <row r="26" customFormat="false" ht="20.25" hidden="false" customHeight="false" outlineLevel="0" collapsed="false">
      <c r="A26" s="505" t="s">
        <v>197</v>
      </c>
    </row>
    <row r="27" customFormat="false" ht="13.5" hidden="false" customHeight="false" outlineLevel="0" collapsed="false">
      <c r="A27" s="506"/>
      <c r="B27" s="507" t="s">
        <v>198</v>
      </c>
      <c r="C27" s="507" t="s">
        <v>199</v>
      </c>
      <c r="D27" s="507"/>
      <c r="E27" s="507"/>
      <c r="F27" s="507" t="s">
        <v>200</v>
      </c>
      <c r="G27" s="507" t="s">
        <v>201</v>
      </c>
      <c r="H27" s="508" t="s">
        <v>111</v>
      </c>
      <c r="I27" s="508"/>
      <c r="J27" s="508"/>
      <c r="K27" s="509"/>
      <c r="V27" s="510" t="s">
        <v>202</v>
      </c>
    </row>
    <row r="28" customFormat="false" ht="13.5" hidden="false" customHeight="false" outlineLevel="0" collapsed="false">
      <c r="A28" s="511" t="n">
        <v>1</v>
      </c>
      <c r="B28" s="512"/>
      <c r="C28" s="513"/>
      <c r="D28" s="513"/>
      <c r="E28" s="513"/>
      <c r="F28" s="514"/>
      <c r="G28" s="512"/>
      <c r="H28" s="515"/>
      <c r="I28" s="515"/>
      <c r="J28" s="515"/>
      <c r="K28" s="516"/>
      <c r="V28" s="517" t="n">
        <f aca="false">IF(G28="ne",1,0)</f>
        <v>0</v>
      </c>
      <c r="W28" s="518" t="n">
        <f aca="false">A28</f>
        <v>1</v>
      </c>
      <c r="Y28" s="519" t="s">
        <v>203</v>
      </c>
    </row>
    <row r="29" customFormat="false" ht="12.75" hidden="false" customHeight="false" outlineLevel="0" collapsed="false">
      <c r="A29" s="520" t="n">
        <v>2</v>
      </c>
      <c r="B29" s="512"/>
      <c r="C29" s="521"/>
      <c r="D29" s="521"/>
      <c r="E29" s="521"/>
      <c r="F29" s="522"/>
      <c r="G29" s="522"/>
      <c r="H29" s="523"/>
      <c r="I29" s="523"/>
      <c r="J29" s="523"/>
      <c r="K29" s="524"/>
      <c r="V29" s="517" t="n">
        <f aca="false">IF(G29="ne",1,0)</f>
        <v>0</v>
      </c>
      <c r="W29" s="518" t="n">
        <f aca="false">A29</f>
        <v>2</v>
      </c>
      <c r="Y29" s="519" t="s">
        <v>204</v>
      </c>
    </row>
    <row r="30" customFormat="false" ht="12.75" hidden="false" customHeight="false" outlineLevel="0" collapsed="false">
      <c r="A30" s="520" t="n">
        <v>3</v>
      </c>
      <c r="B30" s="512"/>
      <c r="C30" s="521"/>
      <c r="D30" s="521"/>
      <c r="E30" s="521"/>
      <c r="F30" s="522"/>
      <c r="G30" s="522"/>
      <c r="H30" s="523"/>
      <c r="I30" s="523"/>
      <c r="J30" s="523"/>
      <c r="K30" s="524"/>
      <c r="V30" s="517" t="n">
        <f aca="false">IF(G30="ne",1,0)</f>
        <v>0</v>
      </c>
      <c r="W30" s="518" t="n">
        <f aca="false">A30</f>
        <v>3</v>
      </c>
    </row>
    <row r="31" customFormat="false" ht="12.75" hidden="false" customHeight="false" outlineLevel="0" collapsed="false">
      <c r="A31" s="520" t="n">
        <v>4</v>
      </c>
      <c r="B31" s="512"/>
      <c r="C31" s="521"/>
      <c r="D31" s="521"/>
      <c r="E31" s="521"/>
      <c r="F31" s="522"/>
      <c r="G31" s="522"/>
      <c r="H31" s="523"/>
      <c r="I31" s="523"/>
      <c r="J31" s="523"/>
      <c r="K31" s="524"/>
      <c r="V31" s="517" t="n">
        <f aca="false">IF(G31="ne",1,0)</f>
        <v>0</v>
      </c>
      <c r="W31" s="518" t="n">
        <f aca="false">A31</f>
        <v>4</v>
      </c>
    </row>
    <row r="32" customFormat="false" ht="12.75" hidden="false" customHeight="false" outlineLevel="0" collapsed="false">
      <c r="A32" s="520" t="n">
        <v>5</v>
      </c>
      <c r="B32" s="512"/>
      <c r="C32" s="521"/>
      <c r="D32" s="521"/>
      <c r="E32" s="521"/>
      <c r="F32" s="522"/>
      <c r="G32" s="522"/>
      <c r="H32" s="523"/>
      <c r="I32" s="523"/>
      <c r="J32" s="523"/>
      <c r="K32" s="524"/>
      <c r="V32" s="517" t="n">
        <f aca="false">IF(G32="ne",1,0)</f>
        <v>0</v>
      </c>
      <c r="W32" s="518" t="n">
        <f aca="false">A32</f>
        <v>5</v>
      </c>
    </row>
    <row r="33" customFormat="false" ht="12.75" hidden="false" customHeight="false" outlineLevel="0" collapsed="false">
      <c r="A33" s="520" t="n">
        <v>6</v>
      </c>
      <c r="B33" s="512"/>
      <c r="C33" s="521"/>
      <c r="D33" s="521"/>
      <c r="E33" s="521"/>
      <c r="F33" s="522"/>
      <c r="G33" s="522"/>
      <c r="H33" s="523"/>
      <c r="I33" s="523"/>
      <c r="J33" s="523"/>
      <c r="K33" s="524"/>
      <c r="V33" s="517" t="n">
        <f aca="false">IF(G33="ne",1,0)</f>
        <v>0</v>
      </c>
      <c r="W33" s="518" t="n">
        <f aca="false">A33</f>
        <v>6</v>
      </c>
    </row>
    <row r="34" customFormat="false" ht="12.75" hidden="false" customHeight="false" outlineLevel="0" collapsed="false">
      <c r="A34" s="520" t="n">
        <v>7</v>
      </c>
      <c r="B34" s="512"/>
      <c r="C34" s="521"/>
      <c r="D34" s="521"/>
      <c r="E34" s="521"/>
      <c r="F34" s="522"/>
      <c r="G34" s="522"/>
      <c r="H34" s="523"/>
      <c r="I34" s="523"/>
      <c r="J34" s="523"/>
      <c r="K34" s="524"/>
      <c r="V34" s="517" t="n">
        <f aca="false">IF(G34="ne",1,0)</f>
        <v>0</v>
      </c>
      <c r="W34" s="518" t="n">
        <f aca="false">A34</f>
        <v>7</v>
      </c>
    </row>
    <row r="35" customFormat="false" ht="12.75" hidden="false" customHeight="false" outlineLevel="0" collapsed="false">
      <c r="A35" s="520" t="n">
        <v>8</v>
      </c>
      <c r="B35" s="512"/>
      <c r="C35" s="521"/>
      <c r="D35" s="521"/>
      <c r="E35" s="521"/>
      <c r="F35" s="522"/>
      <c r="G35" s="522"/>
      <c r="H35" s="523"/>
      <c r="I35" s="523"/>
      <c r="J35" s="523"/>
      <c r="K35" s="524"/>
      <c r="V35" s="517" t="n">
        <f aca="false">IF(G35="ne",1,0)</f>
        <v>0</v>
      </c>
      <c r="W35" s="518" t="n">
        <f aca="false">A35</f>
        <v>8</v>
      </c>
    </row>
    <row r="36" customFormat="false" ht="12.75" hidden="false" customHeight="false" outlineLevel="0" collapsed="false">
      <c r="A36" s="520" t="n">
        <v>9</v>
      </c>
      <c r="B36" s="512"/>
      <c r="C36" s="521"/>
      <c r="D36" s="521"/>
      <c r="E36" s="521"/>
      <c r="F36" s="522"/>
      <c r="G36" s="522"/>
      <c r="H36" s="523"/>
      <c r="I36" s="523"/>
      <c r="J36" s="523"/>
      <c r="K36" s="524"/>
      <c r="V36" s="517" t="n">
        <f aca="false">IF(G36="ne",1,0)</f>
        <v>0</v>
      </c>
      <c r="W36" s="518" t="n">
        <f aca="false">A36</f>
        <v>9</v>
      </c>
    </row>
    <row r="37" customFormat="false" ht="12.75" hidden="false" customHeight="false" outlineLevel="0" collapsed="false">
      <c r="A37" s="520" t="n">
        <v>10</v>
      </c>
      <c r="B37" s="512"/>
      <c r="C37" s="521"/>
      <c r="D37" s="521"/>
      <c r="E37" s="521"/>
      <c r="F37" s="522"/>
      <c r="G37" s="522"/>
      <c r="H37" s="523"/>
      <c r="I37" s="523"/>
      <c r="J37" s="523"/>
      <c r="K37" s="524"/>
      <c r="V37" s="517" t="n">
        <f aca="false">IF(G37="ne",1,0)</f>
        <v>0</v>
      </c>
      <c r="W37" s="518" t="n">
        <f aca="false">A37</f>
        <v>10</v>
      </c>
    </row>
    <row r="38" customFormat="false" ht="12.75" hidden="false" customHeight="false" outlineLevel="0" collapsed="false">
      <c r="A38" s="520" t="n">
        <v>11</v>
      </c>
      <c r="B38" s="512"/>
      <c r="C38" s="521"/>
      <c r="D38" s="521"/>
      <c r="E38" s="521"/>
      <c r="F38" s="522"/>
      <c r="G38" s="522"/>
      <c r="H38" s="523"/>
      <c r="I38" s="523"/>
      <c r="J38" s="523"/>
      <c r="K38" s="524"/>
      <c r="V38" s="517" t="n">
        <f aca="false">IF(G38="ne",1,0)</f>
        <v>0</v>
      </c>
      <c r="W38" s="518" t="n">
        <f aca="false">A38</f>
        <v>11</v>
      </c>
    </row>
    <row r="39" customFormat="false" ht="12.75" hidden="false" customHeight="false" outlineLevel="0" collapsed="false">
      <c r="A39" s="520" t="n">
        <v>12</v>
      </c>
      <c r="B39" s="512"/>
      <c r="C39" s="521"/>
      <c r="D39" s="521"/>
      <c r="E39" s="521"/>
      <c r="F39" s="522"/>
      <c r="G39" s="522"/>
      <c r="H39" s="523"/>
      <c r="I39" s="523"/>
      <c r="J39" s="523"/>
      <c r="K39" s="524"/>
      <c r="V39" s="517" t="n">
        <f aca="false">IF(G39="ne",1,0)</f>
        <v>0</v>
      </c>
      <c r="W39" s="518" t="n">
        <f aca="false">A39</f>
        <v>12</v>
      </c>
    </row>
    <row r="40" customFormat="false" ht="12.75" hidden="false" customHeight="false" outlineLevel="0" collapsed="false">
      <c r="A40" s="520" t="n">
        <v>13</v>
      </c>
      <c r="B40" s="512"/>
      <c r="C40" s="521"/>
      <c r="D40" s="521"/>
      <c r="E40" s="521"/>
      <c r="F40" s="522"/>
      <c r="G40" s="522"/>
      <c r="H40" s="523"/>
      <c r="I40" s="523"/>
      <c r="J40" s="523"/>
      <c r="K40" s="524"/>
      <c r="V40" s="517" t="n">
        <f aca="false">IF(G40="ne",1,0)</f>
        <v>0</v>
      </c>
      <c r="W40" s="518" t="n">
        <f aca="false">A40</f>
        <v>13</v>
      </c>
    </row>
    <row r="41" customFormat="false" ht="12.75" hidden="false" customHeight="false" outlineLevel="0" collapsed="false">
      <c r="A41" s="520" t="n">
        <v>14</v>
      </c>
      <c r="B41" s="512"/>
      <c r="C41" s="521"/>
      <c r="D41" s="521"/>
      <c r="E41" s="521"/>
      <c r="F41" s="522"/>
      <c r="G41" s="522"/>
      <c r="H41" s="523"/>
      <c r="I41" s="523"/>
      <c r="J41" s="523"/>
      <c r="K41" s="524"/>
      <c r="V41" s="517" t="n">
        <f aca="false">IF(G41="ne",1,0)</f>
        <v>0</v>
      </c>
      <c r="W41" s="518" t="n">
        <f aca="false">A41</f>
        <v>14</v>
      </c>
    </row>
    <row r="42" customFormat="false" ht="12.75" hidden="false" customHeight="false" outlineLevel="0" collapsed="false">
      <c r="A42" s="520" t="n">
        <v>15</v>
      </c>
      <c r="B42" s="512"/>
      <c r="C42" s="521"/>
      <c r="D42" s="521"/>
      <c r="E42" s="521"/>
      <c r="F42" s="522"/>
      <c r="G42" s="522"/>
      <c r="H42" s="523"/>
      <c r="I42" s="523"/>
      <c r="J42" s="523"/>
      <c r="K42" s="524"/>
      <c r="V42" s="517" t="n">
        <f aca="false">IF(G42="ne",1,0)</f>
        <v>0</v>
      </c>
      <c r="W42" s="518" t="n">
        <f aca="false">A42</f>
        <v>15</v>
      </c>
    </row>
    <row r="43" customFormat="false" ht="12.75" hidden="false" customHeight="false" outlineLevel="0" collapsed="false">
      <c r="A43" s="520" t="n">
        <v>16</v>
      </c>
      <c r="B43" s="512"/>
      <c r="C43" s="521"/>
      <c r="D43" s="521"/>
      <c r="E43" s="521"/>
      <c r="F43" s="522"/>
      <c r="G43" s="522"/>
      <c r="H43" s="523"/>
      <c r="I43" s="523"/>
      <c r="J43" s="523"/>
      <c r="K43" s="524"/>
      <c r="V43" s="517" t="n">
        <f aca="false">IF(G43="ne",1,0)</f>
        <v>0</v>
      </c>
      <c r="W43" s="518" t="n">
        <f aca="false">A43</f>
        <v>16</v>
      </c>
    </row>
    <row r="44" customFormat="false" ht="12.75" hidden="false" customHeight="false" outlineLevel="0" collapsed="false">
      <c r="A44" s="520" t="n">
        <v>17</v>
      </c>
      <c r="B44" s="512"/>
      <c r="C44" s="521"/>
      <c r="D44" s="521"/>
      <c r="E44" s="521"/>
      <c r="F44" s="522"/>
      <c r="G44" s="522"/>
      <c r="H44" s="523"/>
      <c r="I44" s="523"/>
      <c r="J44" s="523"/>
      <c r="K44" s="524"/>
      <c r="V44" s="517" t="n">
        <f aca="false">IF(G44="ne",1,0)</f>
        <v>0</v>
      </c>
      <c r="W44" s="518" t="n">
        <f aca="false">A44</f>
        <v>17</v>
      </c>
    </row>
    <row r="45" customFormat="false" ht="12.75" hidden="false" customHeight="false" outlineLevel="0" collapsed="false">
      <c r="A45" s="520" t="n">
        <v>18</v>
      </c>
      <c r="B45" s="512"/>
      <c r="C45" s="521"/>
      <c r="D45" s="521"/>
      <c r="E45" s="521"/>
      <c r="F45" s="522"/>
      <c r="G45" s="522"/>
      <c r="H45" s="523"/>
      <c r="I45" s="523"/>
      <c r="J45" s="523"/>
      <c r="K45" s="524"/>
      <c r="V45" s="517" t="n">
        <f aca="false">IF(G45="ne",1,0)</f>
        <v>0</v>
      </c>
      <c r="W45" s="518" t="n">
        <f aca="false">A45</f>
        <v>18</v>
      </c>
    </row>
    <row r="46" customFormat="false" ht="12.75" hidden="false" customHeight="false" outlineLevel="0" collapsed="false">
      <c r="A46" s="520" t="n">
        <v>19</v>
      </c>
      <c r="B46" s="512"/>
      <c r="C46" s="521"/>
      <c r="D46" s="521"/>
      <c r="E46" s="521"/>
      <c r="F46" s="522"/>
      <c r="G46" s="522"/>
      <c r="H46" s="523"/>
      <c r="I46" s="523"/>
      <c r="J46" s="523"/>
      <c r="K46" s="524"/>
      <c r="V46" s="517" t="n">
        <f aca="false">IF(G46="ne",1,0)</f>
        <v>0</v>
      </c>
      <c r="W46" s="518" t="n">
        <f aca="false">A46</f>
        <v>19</v>
      </c>
    </row>
    <row r="47" customFormat="false" ht="12.75" hidden="false" customHeight="false" outlineLevel="0" collapsed="false">
      <c r="A47" s="520" t="n">
        <v>20</v>
      </c>
      <c r="B47" s="512"/>
      <c r="C47" s="521"/>
      <c r="D47" s="521"/>
      <c r="E47" s="521"/>
      <c r="F47" s="522"/>
      <c r="G47" s="522"/>
      <c r="H47" s="523"/>
      <c r="I47" s="523"/>
      <c r="J47" s="523"/>
      <c r="K47" s="524"/>
      <c r="V47" s="517" t="n">
        <f aca="false">IF(G47="ne",1,0)</f>
        <v>0</v>
      </c>
      <c r="W47" s="518" t="n">
        <f aca="false">A47</f>
        <v>20</v>
      </c>
    </row>
    <row r="48" customFormat="false" ht="12.75" hidden="false" customHeight="false" outlineLevel="0" collapsed="false">
      <c r="A48" s="520" t="n">
        <v>21</v>
      </c>
      <c r="B48" s="512"/>
      <c r="C48" s="521"/>
      <c r="D48" s="521"/>
      <c r="E48" s="521"/>
      <c r="F48" s="522"/>
      <c r="G48" s="522"/>
      <c r="H48" s="523"/>
      <c r="I48" s="523"/>
      <c r="J48" s="523"/>
      <c r="K48" s="524"/>
      <c r="V48" s="517" t="n">
        <f aca="false">IF(G48="ne",1,0)</f>
        <v>0</v>
      </c>
      <c r="W48" s="518" t="n">
        <f aca="false">A48</f>
        <v>21</v>
      </c>
    </row>
    <row r="49" customFormat="false" ht="12.75" hidden="false" customHeight="false" outlineLevel="0" collapsed="false">
      <c r="A49" s="520" t="n">
        <v>22</v>
      </c>
      <c r="B49" s="512"/>
      <c r="C49" s="521"/>
      <c r="D49" s="521"/>
      <c r="E49" s="521"/>
      <c r="F49" s="522"/>
      <c r="G49" s="522"/>
      <c r="H49" s="523"/>
      <c r="I49" s="523"/>
      <c r="J49" s="523"/>
      <c r="K49" s="524"/>
      <c r="V49" s="517" t="n">
        <f aca="false">IF(G49="ne",1,0)</f>
        <v>0</v>
      </c>
      <c r="W49" s="518" t="n">
        <f aca="false">A49</f>
        <v>22</v>
      </c>
    </row>
    <row r="50" customFormat="false" ht="12.75" hidden="false" customHeight="false" outlineLevel="0" collapsed="false">
      <c r="A50" s="520" t="n">
        <v>23</v>
      </c>
      <c r="B50" s="512"/>
      <c r="C50" s="521"/>
      <c r="D50" s="521"/>
      <c r="E50" s="521"/>
      <c r="F50" s="522"/>
      <c r="G50" s="522"/>
      <c r="H50" s="523"/>
      <c r="I50" s="523"/>
      <c r="J50" s="523"/>
      <c r="K50" s="524"/>
      <c r="V50" s="517" t="n">
        <f aca="false">IF(G50="ne",1,0)</f>
        <v>0</v>
      </c>
      <c r="W50" s="518" t="n">
        <f aca="false">A50</f>
        <v>23</v>
      </c>
    </row>
    <row r="51" customFormat="false" ht="12.75" hidden="false" customHeight="false" outlineLevel="0" collapsed="false">
      <c r="A51" s="520" t="n">
        <v>24</v>
      </c>
      <c r="B51" s="512"/>
      <c r="C51" s="521"/>
      <c r="D51" s="521"/>
      <c r="E51" s="521"/>
      <c r="F51" s="522"/>
      <c r="G51" s="522"/>
      <c r="H51" s="523"/>
      <c r="I51" s="523"/>
      <c r="J51" s="523"/>
      <c r="K51" s="524"/>
      <c r="V51" s="517" t="n">
        <f aca="false">IF(G51="ne",1,0)</f>
        <v>0</v>
      </c>
      <c r="W51" s="518" t="n">
        <f aca="false">A51</f>
        <v>24</v>
      </c>
    </row>
    <row r="52" customFormat="false" ht="12.75" hidden="false" customHeight="false" outlineLevel="0" collapsed="false">
      <c r="A52" s="520" t="n">
        <v>25</v>
      </c>
      <c r="B52" s="512"/>
      <c r="C52" s="521"/>
      <c r="D52" s="521"/>
      <c r="E52" s="521"/>
      <c r="F52" s="522"/>
      <c r="G52" s="522"/>
      <c r="H52" s="523"/>
      <c r="I52" s="523"/>
      <c r="J52" s="523"/>
      <c r="K52" s="524"/>
      <c r="V52" s="517" t="n">
        <f aca="false">IF(G52="ne",1,0)</f>
        <v>0</v>
      </c>
      <c r="W52" s="518" t="n">
        <f aca="false">A52</f>
        <v>25</v>
      </c>
    </row>
    <row r="53" customFormat="false" ht="12.75" hidden="false" customHeight="false" outlineLevel="0" collapsed="false">
      <c r="A53" s="520" t="n">
        <v>26</v>
      </c>
      <c r="B53" s="512"/>
      <c r="C53" s="521"/>
      <c r="D53" s="521"/>
      <c r="E53" s="521"/>
      <c r="F53" s="522"/>
      <c r="G53" s="522"/>
      <c r="H53" s="523"/>
      <c r="I53" s="523"/>
      <c r="J53" s="523"/>
      <c r="K53" s="524"/>
      <c r="V53" s="517" t="n">
        <f aca="false">IF(G53="ne",1,0)</f>
        <v>0</v>
      </c>
      <c r="W53" s="518" t="n">
        <f aca="false">A53</f>
        <v>26</v>
      </c>
    </row>
    <row r="54" customFormat="false" ht="12.75" hidden="false" customHeight="false" outlineLevel="0" collapsed="false">
      <c r="A54" s="520" t="n">
        <v>27</v>
      </c>
      <c r="B54" s="512"/>
      <c r="C54" s="521"/>
      <c r="D54" s="521"/>
      <c r="E54" s="521"/>
      <c r="F54" s="522"/>
      <c r="G54" s="522"/>
      <c r="H54" s="523"/>
      <c r="I54" s="523"/>
      <c r="J54" s="523"/>
      <c r="K54" s="524"/>
      <c r="V54" s="517" t="n">
        <f aca="false">IF(G54="ne",1,0)</f>
        <v>0</v>
      </c>
      <c r="W54" s="518" t="n">
        <f aca="false">A54</f>
        <v>27</v>
      </c>
    </row>
    <row r="55" customFormat="false" ht="12.75" hidden="false" customHeight="false" outlineLevel="0" collapsed="false">
      <c r="A55" s="520" t="n">
        <v>28</v>
      </c>
      <c r="B55" s="512"/>
      <c r="C55" s="521"/>
      <c r="D55" s="521"/>
      <c r="E55" s="521"/>
      <c r="F55" s="522"/>
      <c r="G55" s="522"/>
      <c r="H55" s="523"/>
      <c r="I55" s="523"/>
      <c r="J55" s="523"/>
      <c r="K55" s="524"/>
      <c r="V55" s="517" t="n">
        <f aca="false">IF(G55="ne",1,0)</f>
        <v>0</v>
      </c>
      <c r="W55" s="518" t="n">
        <f aca="false">A55</f>
        <v>28</v>
      </c>
    </row>
    <row r="56" customFormat="false" ht="12.75" hidden="false" customHeight="false" outlineLevel="0" collapsed="false">
      <c r="A56" s="520" t="n">
        <v>29</v>
      </c>
      <c r="B56" s="512"/>
      <c r="C56" s="521"/>
      <c r="D56" s="521"/>
      <c r="E56" s="521"/>
      <c r="F56" s="522"/>
      <c r="G56" s="522"/>
      <c r="H56" s="523"/>
      <c r="I56" s="523"/>
      <c r="J56" s="523"/>
      <c r="K56" s="524"/>
      <c r="V56" s="517" t="n">
        <f aca="false">IF(G56="ne",1,0)</f>
        <v>0</v>
      </c>
      <c r="W56" s="518" t="n">
        <f aca="false">A56</f>
        <v>29</v>
      </c>
    </row>
    <row r="57" customFormat="false" ht="12.75" hidden="false" customHeight="false" outlineLevel="0" collapsed="false">
      <c r="A57" s="520" t="n">
        <v>30</v>
      </c>
      <c r="B57" s="512"/>
      <c r="C57" s="521"/>
      <c r="D57" s="521"/>
      <c r="E57" s="521"/>
      <c r="F57" s="522"/>
      <c r="G57" s="522"/>
      <c r="H57" s="523"/>
      <c r="I57" s="523"/>
      <c r="J57" s="523"/>
      <c r="K57" s="524"/>
      <c r="V57" s="517" t="n">
        <f aca="false">IF(G57="ne",1,0)</f>
        <v>0</v>
      </c>
      <c r="W57" s="518" t="n">
        <f aca="false">A57</f>
        <v>30</v>
      </c>
    </row>
    <row r="58" customFormat="false" ht="12.75" hidden="false" customHeight="false" outlineLevel="0" collapsed="false">
      <c r="A58" s="520" t="n">
        <v>31</v>
      </c>
      <c r="B58" s="512"/>
      <c r="C58" s="521"/>
      <c r="D58" s="521"/>
      <c r="E58" s="521"/>
      <c r="F58" s="522"/>
      <c r="G58" s="522"/>
      <c r="H58" s="523"/>
      <c r="I58" s="523"/>
      <c r="J58" s="523"/>
      <c r="K58" s="524"/>
      <c r="V58" s="517" t="n">
        <f aca="false">IF(G58="ne",1,0)</f>
        <v>0</v>
      </c>
      <c r="W58" s="518" t="n">
        <f aca="false">A58</f>
        <v>31</v>
      </c>
    </row>
    <row r="59" customFormat="false" ht="12.75" hidden="false" customHeight="false" outlineLevel="0" collapsed="false">
      <c r="A59" s="520" t="n">
        <v>32</v>
      </c>
      <c r="B59" s="512"/>
      <c r="C59" s="521"/>
      <c r="D59" s="521"/>
      <c r="E59" s="521"/>
      <c r="F59" s="522"/>
      <c r="G59" s="522"/>
      <c r="H59" s="523"/>
      <c r="I59" s="523"/>
      <c r="J59" s="523"/>
      <c r="K59" s="524"/>
      <c r="V59" s="517" t="n">
        <f aca="false">IF(G59="ne",1,0)</f>
        <v>0</v>
      </c>
      <c r="W59" s="518" t="n">
        <f aca="false">A59</f>
        <v>32</v>
      </c>
    </row>
    <row r="60" customFormat="false" ht="12.75" hidden="false" customHeight="false" outlineLevel="0" collapsed="false">
      <c r="A60" s="520" t="n">
        <v>33</v>
      </c>
      <c r="B60" s="512"/>
      <c r="C60" s="521"/>
      <c r="D60" s="521"/>
      <c r="E60" s="521"/>
      <c r="F60" s="522"/>
      <c r="G60" s="522"/>
      <c r="H60" s="523"/>
      <c r="I60" s="523"/>
      <c r="J60" s="523"/>
      <c r="K60" s="524"/>
      <c r="V60" s="517" t="n">
        <f aca="false">IF(G60="ne",1,0)</f>
        <v>0</v>
      </c>
      <c r="W60" s="518" t="n">
        <f aca="false">A60</f>
        <v>33</v>
      </c>
    </row>
    <row r="61" customFormat="false" ht="12.75" hidden="false" customHeight="false" outlineLevel="0" collapsed="false">
      <c r="A61" s="520" t="n">
        <v>34</v>
      </c>
      <c r="B61" s="512"/>
      <c r="C61" s="521"/>
      <c r="D61" s="521"/>
      <c r="E61" s="521"/>
      <c r="F61" s="522"/>
      <c r="G61" s="522"/>
      <c r="H61" s="523"/>
      <c r="I61" s="523"/>
      <c r="J61" s="523"/>
      <c r="K61" s="524"/>
      <c r="V61" s="517" t="n">
        <f aca="false">IF(G61="ne",1,0)</f>
        <v>0</v>
      </c>
      <c r="W61" s="518" t="n">
        <f aca="false">A61</f>
        <v>34</v>
      </c>
    </row>
    <row r="62" customFormat="false" ht="12.75" hidden="false" customHeight="false" outlineLevel="0" collapsed="false">
      <c r="A62" s="520" t="n">
        <v>35</v>
      </c>
      <c r="B62" s="512"/>
      <c r="C62" s="521"/>
      <c r="D62" s="521"/>
      <c r="E62" s="521"/>
      <c r="F62" s="522"/>
      <c r="G62" s="522"/>
      <c r="H62" s="523"/>
      <c r="I62" s="523"/>
      <c r="J62" s="523"/>
      <c r="K62" s="524"/>
      <c r="V62" s="517" t="n">
        <f aca="false">IF(G62="ne",1,0)</f>
        <v>0</v>
      </c>
      <c r="W62" s="518" t="n">
        <f aca="false">A62</f>
        <v>35</v>
      </c>
    </row>
    <row r="63" customFormat="false" ht="12.75" hidden="false" customHeight="false" outlineLevel="0" collapsed="false">
      <c r="A63" s="520" t="n">
        <v>36</v>
      </c>
      <c r="B63" s="512"/>
      <c r="C63" s="521"/>
      <c r="D63" s="521"/>
      <c r="E63" s="521"/>
      <c r="F63" s="522"/>
      <c r="G63" s="522"/>
      <c r="H63" s="523"/>
      <c r="I63" s="523"/>
      <c r="J63" s="523"/>
      <c r="K63" s="524"/>
      <c r="V63" s="517" t="n">
        <f aca="false">IF(G63="ne",1,0)</f>
        <v>0</v>
      </c>
      <c r="W63" s="518" t="n">
        <f aca="false">A63</f>
        <v>36</v>
      </c>
    </row>
    <row r="64" customFormat="false" ht="12.75" hidden="false" customHeight="false" outlineLevel="0" collapsed="false">
      <c r="A64" s="520" t="n">
        <v>37</v>
      </c>
      <c r="B64" s="512"/>
      <c r="C64" s="521"/>
      <c r="D64" s="521"/>
      <c r="E64" s="521"/>
      <c r="F64" s="522"/>
      <c r="G64" s="522"/>
      <c r="H64" s="523"/>
      <c r="I64" s="523"/>
      <c r="J64" s="523"/>
      <c r="K64" s="524"/>
      <c r="V64" s="517" t="n">
        <f aca="false">IF(G64="ne",1,0)</f>
        <v>0</v>
      </c>
      <c r="W64" s="518" t="n">
        <f aca="false">A64</f>
        <v>37</v>
      </c>
    </row>
    <row r="65" customFormat="false" ht="12.75" hidden="false" customHeight="false" outlineLevel="0" collapsed="false">
      <c r="A65" s="520" t="n">
        <v>38</v>
      </c>
      <c r="B65" s="512"/>
      <c r="C65" s="521"/>
      <c r="D65" s="521"/>
      <c r="E65" s="521"/>
      <c r="F65" s="522"/>
      <c r="G65" s="522"/>
      <c r="H65" s="523"/>
      <c r="I65" s="523"/>
      <c r="J65" s="523"/>
      <c r="K65" s="524"/>
      <c r="V65" s="517" t="n">
        <f aca="false">IF(G65="ne",1,0)</f>
        <v>0</v>
      </c>
      <c r="W65" s="518" t="n">
        <f aca="false">A65</f>
        <v>38</v>
      </c>
    </row>
    <row r="66" customFormat="false" ht="12.75" hidden="false" customHeight="false" outlineLevel="0" collapsed="false">
      <c r="A66" s="520" t="n">
        <v>39</v>
      </c>
      <c r="B66" s="512"/>
      <c r="C66" s="521"/>
      <c r="D66" s="521"/>
      <c r="E66" s="521"/>
      <c r="F66" s="522"/>
      <c r="G66" s="522"/>
      <c r="H66" s="523"/>
      <c r="I66" s="523"/>
      <c r="J66" s="523"/>
      <c r="K66" s="524"/>
      <c r="V66" s="517" t="n">
        <f aca="false">IF(G66="ne",1,0)</f>
        <v>0</v>
      </c>
      <c r="W66" s="518" t="n">
        <f aca="false">A66</f>
        <v>39</v>
      </c>
    </row>
    <row r="67" customFormat="false" ht="12.75" hidden="false" customHeight="false" outlineLevel="0" collapsed="false">
      <c r="A67" s="520" t="n">
        <v>40</v>
      </c>
      <c r="B67" s="512"/>
      <c r="C67" s="521"/>
      <c r="D67" s="521"/>
      <c r="E67" s="521"/>
      <c r="F67" s="522"/>
      <c r="G67" s="522"/>
      <c r="H67" s="523"/>
      <c r="I67" s="523"/>
      <c r="J67" s="523"/>
      <c r="K67" s="524"/>
      <c r="V67" s="517" t="n">
        <f aca="false">IF(G67="ne",1,0)</f>
        <v>0</v>
      </c>
      <c r="W67" s="518" t="n">
        <f aca="false">A67</f>
        <v>40</v>
      </c>
    </row>
    <row r="68" customFormat="false" ht="12.75" hidden="false" customHeight="false" outlineLevel="0" collapsed="false">
      <c r="A68" s="520" t="n">
        <v>41</v>
      </c>
      <c r="B68" s="512"/>
      <c r="C68" s="521"/>
      <c r="D68" s="521"/>
      <c r="E68" s="521"/>
      <c r="F68" s="522"/>
      <c r="G68" s="522"/>
      <c r="H68" s="523"/>
      <c r="I68" s="523"/>
      <c r="J68" s="523"/>
      <c r="K68" s="524"/>
      <c r="V68" s="517" t="n">
        <f aca="false">IF(G68="ne",1,0)</f>
        <v>0</v>
      </c>
      <c r="W68" s="518" t="n">
        <f aca="false">A68</f>
        <v>41</v>
      </c>
    </row>
    <row r="69" customFormat="false" ht="12.75" hidden="false" customHeight="false" outlineLevel="0" collapsed="false">
      <c r="A69" s="520" t="n">
        <v>42</v>
      </c>
      <c r="B69" s="512"/>
      <c r="C69" s="521"/>
      <c r="D69" s="521"/>
      <c r="E69" s="521"/>
      <c r="F69" s="522"/>
      <c r="G69" s="522"/>
      <c r="H69" s="523"/>
      <c r="I69" s="523"/>
      <c r="J69" s="523"/>
      <c r="K69" s="524"/>
      <c r="V69" s="517" t="n">
        <f aca="false">IF(G69="ne",1,0)</f>
        <v>0</v>
      </c>
      <c r="W69" s="518" t="n">
        <f aca="false">A69</f>
        <v>42</v>
      </c>
    </row>
    <row r="70" customFormat="false" ht="12.75" hidden="false" customHeight="false" outlineLevel="0" collapsed="false">
      <c r="A70" s="520" t="n">
        <v>43</v>
      </c>
      <c r="B70" s="512"/>
      <c r="C70" s="521"/>
      <c r="D70" s="521"/>
      <c r="E70" s="521"/>
      <c r="F70" s="522"/>
      <c r="G70" s="522"/>
      <c r="H70" s="523"/>
      <c r="I70" s="523"/>
      <c r="J70" s="523"/>
      <c r="K70" s="524"/>
      <c r="V70" s="517" t="n">
        <f aca="false">IF(G70="ne",1,0)</f>
        <v>0</v>
      </c>
      <c r="W70" s="518" t="n">
        <f aca="false">A70</f>
        <v>43</v>
      </c>
    </row>
    <row r="71" customFormat="false" ht="12.75" hidden="false" customHeight="false" outlineLevel="0" collapsed="false">
      <c r="A71" s="520" t="n">
        <v>44</v>
      </c>
      <c r="B71" s="512"/>
      <c r="C71" s="521"/>
      <c r="D71" s="521"/>
      <c r="E71" s="521"/>
      <c r="F71" s="522"/>
      <c r="G71" s="522"/>
      <c r="H71" s="523"/>
      <c r="I71" s="523"/>
      <c r="J71" s="523"/>
      <c r="K71" s="524"/>
      <c r="V71" s="517" t="n">
        <f aca="false">IF(G71="ne",1,0)</f>
        <v>0</v>
      </c>
      <c r="W71" s="518" t="n">
        <f aca="false">A71</f>
        <v>44</v>
      </c>
    </row>
    <row r="72" customFormat="false" ht="12.75" hidden="false" customHeight="false" outlineLevel="0" collapsed="false">
      <c r="A72" s="520" t="n">
        <v>45</v>
      </c>
      <c r="B72" s="512"/>
      <c r="C72" s="521"/>
      <c r="D72" s="521"/>
      <c r="E72" s="521"/>
      <c r="F72" s="522"/>
      <c r="G72" s="522"/>
      <c r="H72" s="523"/>
      <c r="I72" s="523"/>
      <c r="J72" s="523"/>
      <c r="K72" s="524"/>
      <c r="V72" s="517" t="n">
        <f aca="false">IF(G72="ne",1,0)</f>
        <v>0</v>
      </c>
      <c r="W72" s="518" t="n">
        <f aca="false">A72</f>
        <v>45</v>
      </c>
    </row>
    <row r="73" customFormat="false" ht="12.75" hidden="false" customHeight="false" outlineLevel="0" collapsed="false">
      <c r="A73" s="520" t="n">
        <v>46</v>
      </c>
      <c r="B73" s="512"/>
      <c r="C73" s="521"/>
      <c r="D73" s="521"/>
      <c r="E73" s="521"/>
      <c r="F73" s="522"/>
      <c r="G73" s="522"/>
      <c r="H73" s="523"/>
      <c r="I73" s="523"/>
      <c r="J73" s="523"/>
      <c r="K73" s="524"/>
      <c r="V73" s="517" t="n">
        <f aca="false">IF(G73="ne",1,0)</f>
        <v>0</v>
      </c>
      <c r="W73" s="518" t="n">
        <f aca="false">A73</f>
        <v>46</v>
      </c>
    </row>
    <row r="74" customFormat="false" ht="12.75" hidden="false" customHeight="false" outlineLevel="0" collapsed="false">
      <c r="A74" s="520" t="n">
        <v>47</v>
      </c>
      <c r="B74" s="512"/>
      <c r="C74" s="521"/>
      <c r="D74" s="521"/>
      <c r="E74" s="521"/>
      <c r="F74" s="522"/>
      <c r="G74" s="522"/>
      <c r="H74" s="523"/>
      <c r="I74" s="523"/>
      <c r="J74" s="523"/>
      <c r="K74" s="524"/>
      <c r="V74" s="517" t="n">
        <f aca="false">IF(G74="ne",1,0)</f>
        <v>0</v>
      </c>
      <c r="W74" s="518" t="n">
        <f aca="false">A74</f>
        <v>47</v>
      </c>
    </row>
    <row r="75" customFormat="false" ht="12.75" hidden="false" customHeight="false" outlineLevel="0" collapsed="false">
      <c r="A75" s="520" t="n">
        <v>48</v>
      </c>
      <c r="B75" s="512"/>
      <c r="C75" s="521"/>
      <c r="D75" s="521"/>
      <c r="E75" s="521"/>
      <c r="F75" s="522"/>
      <c r="G75" s="522"/>
      <c r="H75" s="523"/>
      <c r="I75" s="523"/>
      <c r="J75" s="523"/>
      <c r="K75" s="524"/>
      <c r="V75" s="517" t="n">
        <f aca="false">IF(G75="ne",1,0)</f>
        <v>0</v>
      </c>
      <c r="W75" s="518" t="n">
        <f aca="false">A75</f>
        <v>48</v>
      </c>
    </row>
    <row r="76" customFormat="false" ht="12.75" hidden="false" customHeight="false" outlineLevel="0" collapsed="false">
      <c r="A76" s="520" t="n">
        <v>49</v>
      </c>
      <c r="B76" s="512"/>
      <c r="C76" s="521"/>
      <c r="D76" s="521"/>
      <c r="E76" s="521"/>
      <c r="F76" s="522"/>
      <c r="G76" s="522"/>
      <c r="H76" s="523"/>
      <c r="I76" s="523"/>
      <c r="J76" s="523"/>
      <c r="K76" s="524"/>
      <c r="V76" s="517" t="n">
        <f aca="false">IF(G76="ne",1,0)</f>
        <v>0</v>
      </c>
      <c r="W76" s="518" t="n">
        <f aca="false">A76</f>
        <v>49</v>
      </c>
    </row>
    <row r="77" customFormat="false" ht="12.75" hidden="false" customHeight="false" outlineLevel="0" collapsed="false">
      <c r="A77" s="520" t="n">
        <v>50</v>
      </c>
      <c r="B77" s="512"/>
      <c r="C77" s="521"/>
      <c r="D77" s="521"/>
      <c r="E77" s="521"/>
      <c r="F77" s="522"/>
      <c r="G77" s="522"/>
      <c r="H77" s="523"/>
      <c r="I77" s="523"/>
      <c r="J77" s="523"/>
      <c r="K77" s="524"/>
      <c r="V77" s="517" t="n">
        <f aca="false">IF(G77="ne",1,0)</f>
        <v>0</v>
      </c>
      <c r="W77" s="518" t="n">
        <f aca="false">A77</f>
        <v>50</v>
      </c>
    </row>
    <row r="78" customFormat="false" ht="12.75" hidden="false" customHeight="false" outlineLevel="0" collapsed="false">
      <c r="A78" s="520" t="n">
        <v>51</v>
      </c>
      <c r="B78" s="512"/>
      <c r="C78" s="521"/>
      <c r="D78" s="521"/>
      <c r="E78" s="521"/>
      <c r="F78" s="522"/>
      <c r="G78" s="522"/>
      <c r="H78" s="523"/>
      <c r="I78" s="523"/>
      <c r="J78" s="523"/>
      <c r="K78" s="524"/>
      <c r="V78" s="517" t="n">
        <f aca="false">IF(G78="ne",1,0)</f>
        <v>0</v>
      </c>
      <c r="W78" s="518" t="n">
        <f aca="false">A78</f>
        <v>51</v>
      </c>
    </row>
    <row r="79" customFormat="false" ht="12.75" hidden="false" customHeight="false" outlineLevel="0" collapsed="false">
      <c r="A79" s="520" t="n">
        <v>52</v>
      </c>
      <c r="B79" s="512"/>
      <c r="C79" s="521"/>
      <c r="D79" s="521"/>
      <c r="E79" s="521"/>
      <c r="F79" s="522"/>
      <c r="G79" s="522"/>
      <c r="H79" s="523"/>
      <c r="I79" s="523"/>
      <c r="J79" s="523"/>
      <c r="K79" s="524"/>
      <c r="V79" s="517" t="n">
        <f aca="false">IF(G79="ne",1,0)</f>
        <v>0</v>
      </c>
      <c r="W79" s="518" t="n">
        <f aca="false">A79</f>
        <v>52</v>
      </c>
    </row>
    <row r="80" customFormat="false" ht="12.75" hidden="false" customHeight="false" outlineLevel="0" collapsed="false">
      <c r="A80" s="520" t="n">
        <v>53</v>
      </c>
      <c r="B80" s="512"/>
      <c r="C80" s="521"/>
      <c r="D80" s="521"/>
      <c r="E80" s="521"/>
      <c r="F80" s="522"/>
      <c r="G80" s="522"/>
      <c r="H80" s="523"/>
      <c r="I80" s="523"/>
      <c r="J80" s="523"/>
      <c r="K80" s="524"/>
      <c r="V80" s="517" t="n">
        <f aca="false">IF(G80="ne",1,0)</f>
        <v>0</v>
      </c>
      <c r="W80" s="518" t="n">
        <f aca="false">A80</f>
        <v>53</v>
      </c>
    </row>
    <row r="81" customFormat="false" ht="12.75" hidden="false" customHeight="false" outlineLevel="0" collapsed="false">
      <c r="A81" s="520" t="n">
        <v>54</v>
      </c>
      <c r="B81" s="512"/>
      <c r="C81" s="521"/>
      <c r="D81" s="521"/>
      <c r="E81" s="521"/>
      <c r="F81" s="522"/>
      <c r="G81" s="522"/>
      <c r="H81" s="523"/>
      <c r="I81" s="523"/>
      <c r="J81" s="523"/>
      <c r="K81" s="524"/>
      <c r="V81" s="517" t="n">
        <f aca="false">IF(G81="ne",1,0)</f>
        <v>0</v>
      </c>
      <c r="W81" s="518" t="n">
        <f aca="false">A81</f>
        <v>54</v>
      </c>
    </row>
    <row r="82" customFormat="false" ht="12.75" hidden="false" customHeight="false" outlineLevel="0" collapsed="false">
      <c r="A82" s="520" t="n">
        <v>55</v>
      </c>
      <c r="B82" s="512"/>
      <c r="C82" s="521"/>
      <c r="D82" s="521"/>
      <c r="E82" s="521"/>
      <c r="F82" s="522"/>
      <c r="G82" s="522"/>
      <c r="H82" s="523"/>
      <c r="I82" s="523"/>
      <c r="J82" s="523"/>
      <c r="K82" s="524"/>
      <c r="V82" s="517" t="n">
        <f aca="false">IF(G82="ne",1,0)</f>
        <v>0</v>
      </c>
      <c r="W82" s="518" t="n">
        <f aca="false">A82</f>
        <v>55</v>
      </c>
    </row>
    <row r="83" customFormat="false" ht="12.75" hidden="false" customHeight="false" outlineLevel="0" collapsed="false">
      <c r="A83" s="520" t="n">
        <v>56</v>
      </c>
      <c r="B83" s="512"/>
      <c r="C83" s="521"/>
      <c r="D83" s="521"/>
      <c r="E83" s="521"/>
      <c r="F83" s="522"/>
      <c r="G83" s="522"/>
      <c r="H83" s="523"/>
      <c r="I83" s="523"/>
      <c r="J83" s="523"/>
      <c r="K83" s="524"/>
      <c r="V83" s="517" t="n">
        <f aca="false">IF(G83="ne",1,0)</f>
        <v>0</v>
      </c>
      <c r="W83" s="518" t="n">
        <f aca="false">A83</f>
        <v>56</v>
      </c>
    </row>
    <row r="84" customFormat="false" ht="12.75" hidden="false" customHeight="false" outlineLevel="0" collapsed="false">
      <c r="A84" s="520" t="n">
        <v>57</v>
      </c>
      <c r="B84" s="512"/>
      <c r="C84" s="521"/>
      <c r="D84" s="521"/>
      <c r="E84" s="521"/>
      <c r="F84" s="522"/>
      <c r="G84" s="522"/>
      <c r="H84" s="523"/>
      <c r="I84" s="523"/>
      <c r="J84" s="523"/>
      <c r="K84" s="524"/>
      <c r="V84" s="517" t="n">
        <f aca="false">IF(G84="ne",1,0)</f>
        <v>0</v>
      </c>
      <c r="W84" s="518" t="n">
        <f aca="false">A84</f>
        <v>57</v>
      </c>
    </row>
    <row r="85" customFormat="false" ht="12.75" hidden="false" customHeight="false" outlineLevel="0" collapsed="false">
      <c r="A85" s="520" t="n">
        <v>58</v>
      </c>
      <c r="B85" s="512"/>
      <c r="C85" s="521"/>
      <c r="D85" s="521"/>
      <c r="E85" s="521"/>
      <c r="F85" s="522"/>
      <c r="G85" s="522"/>
      <c r="H85" s="523"/>
      <c r="I85" s="523"/>
      <c r="J85" s="523"/>
      <c r="K85" s="524"/>
      <c r="V85" s="517" t="n">
        <f aca="false">IF(G85="ne",1,0)</f>
        <v>0</v>
      </c>
      <c r="W85" s="518" t="n">
        <f aca="false">A85</f>
        <v>58</v>
      </c>
    </row>
    <row r="86" customFormat="false" ht="12.75" hidden="false" customHeight="false" outlineLevel="0" collapsed="false">
      <c r="A86" s="520" t="n">
        <v>59</v>
      </c>
      <c r="B86" s="512"/>
      <c r="C86" s="521"/>
      <c r="D86" s="521"/>
      <c r="E86" s="521"/>
      <c r="F86" s="522"/>
      <c r="G86" s="522"/>
      <c r="H86" s="523"/>
      <c r="I86" s="523"/>
      <c r="J86" s="523"/>
      <c r="K86" s="524"/>
      <c r="V86" s="517" t="n">
        <f aca="false">IF(G86="ne",1,0)</f>
        <v>0</v>
      </c>
      <c r="W86" s="518" t="n">
        <f aca="false">A86</f>
        <v>59</v>
      </c>
    </row>
    <row r="87" customFormat="false" ht="12.75" hidden="false" customHeight="false" outlineLevel="0" collapsed="false">
      <c r="A87" s="520" t="n">
        <v>60</v>
      </c>
      <c r="B87" s="512"/>
      <c r="C87" s="521"/>
      <c r="D87" s="521"/>
      <c r="E87" s="521"/>
      <c r="F87" s="522"/>
      <c r="G87" s="522"/>
      <c r="H87" s="523"/>
      <c r="I87" s="523"/>
      <c r="J87" s="523"/>
      <c r="K87" s="524"/>
      <c r="V87" s="517" t="n">
        <f aca="false">IF(G87="ne",1,0)</f>
        <v>0</v>
      </c>
      <c r="W87" s="518" t="n">
        <f aca="false">A87</f>
        <v>60</v>
      </c>
    </row>
    <row r="88" customFormat="false" ht="12.75" hidden="false" customHeight="false" outlineLevel="0" collapsed="false">
      <c r="A88" s="520" t="n">
        <v>61</v>
      </c>
      <c r="B88" s="512"/>
      <c r="C88" s="521"/>
      <c r="D88" s="521"/>
      <c r="E88" s="521"/>
      <c r="F88" s="522"/>
      <c r="G88" s="522"/>
      <c r="H88" s="523"/>
      <c r="I88" s="523"/>
      <c r="J88" s="523"/>
      <c r="K88" s="524"/>
      <c r="V88" s="517" t="n">
        <f aca="false">IF(G88="ne",1,0)</f>
        <v>0</v>
      </c>
      <c r="W88" s="518" t="n">
        <f aca="false">A88</f>
        <v>61</v>
      </c>
    </row>
    <row r="89" customFormat="false" ht="12.75" hidden="false" customHeight="false" outlineLevel="0" collapsed="false">
      <c r="A89" s="520" t="n">
        <v>62</v>
      </c>
      <c r="B89" s="512"/>
      <c r="C89" s="521"/>
      <c r="D89" s="521"/>
      <c r="E89" s="521"/>
      <c r="F89" s="522"/>
      <c r="G89" s="522"/>
      <c r="H89" s="523"/>
      <c r="I89" s="523"/>
      <c r="J89" s="523"/>
      <c r="K89" s="524"/>
      <c r="V89" s="517" t="n">
        <f aca="false">IF(G89="ne",1,0)</f>
        <v>0</v>
      </c>
      <c r="W89" s="518" t="n">
        <f aca="false">A89</f>
        <v>62</v>
      </c>
    </row>
    <row r="90" customFormat="false" ht="12.75" hidden="false" customHeight="false" outlineLevel="0" collapsed="false">
      <c r="A90" s="520" t="n">
        <v>63</v>
      </c>
      <c r="B90" s="512"/>
      <c r="C90" s="521"/>
      <c r="D90" s="521"/>
      <c r="E90" s="521"/>
      <c r="F90" s="522"/>
      <c r="G90" s="522"/>
      <c r="H90" s="523"/>
      <c r="I90" s="523"/>
      <c r="J90" s="523"/>
      <c r="K90" s="524"/>
      <c r="V90" s="517" t="n">
        <f aca="false">IF(G90="ne",1,0)</f>
        <v>0</v>
      </c>
      <c r="W90" s="518" t="n">
        <f aca="false">A90</f>
        <v>63</v>
      </c>
    </row>
    <row r="91" customFormat="false" ht="12.75" hidden="false" customHeight="false" outlineLevel="0" collapsed="false">
      <c r="A91" s="520" t="n">
        <v>64</v>
      </c>
      <c r="B91" s="512"/>
      <c r="C91" s="521"/>
      <c r="D91" s="521"/>
      <c r="E91" s="521"/>
      <c r="F91" s="522"/>
      <c r="G91" s="522"/>
      <c r="H91" s="523"/>
      <c r="I91" s="523"/>
      <c r="J91" s="523"/>
      <c r="K91" s="524"/>
      <c r="V91" s="517" t="n">
        <f aca="false">IF(G91="ne",1,0)</f>
        <v>0</v>
      </c>
      <c r="W91" s="518" t="n">
        <f aca="false">A91</f>
        <v>64</v>
      </c>
    </row>
    <row r="92" customFormat="false" ht="12.75" hidden="false" customHeight="false" outlineLevel="0" collapsed="false">
      <c r="A92" s="520" t="n">
        <v>65</v>
      </c>
      <c r="B92" s="512"/>
      <c r="C92" s="521"/>
      <c r="D92" s="521"/>
      <c r="E92" s="521"/>
      <c r="F92" s="522"/>
      <c r="G92" s="522"/>
      <c r="H92" s="523"/>
      <c r="I92" s="523"/>
      <c r="J92" s="523"/>
      <c r="K92" s="524"/>
      <c r="V92" s="517" t="n">
        <f aca="false">IF(G92="ne",1,0)</f>
        <v>0</v>
      </c>
      <c r="W92" s="518" t="n">
        <f aca="false">A92</f>
        <v>65</v>
      </c>
    </row>
    <row r="93" customFormat="false" ht="12.75" hidden="false" customHeight="false" outlineLevel="0" collapsed="false">
      <c r="A93" s="520" t="n">
        <v>66</v>
      </c>
      <c r="B93" s="512"/>
      <c r="C93" s="521"/>
      <c r="D93" s="521"/>
      <c r="E93" s="521"/>
      <c r="F93" s="522"/>
      <c r="G93" s="522"/>
      <c r="H93" s="523"/>
      <c r="I93" s="523"/>
      <c r="J93" s="523"/>
      <c r="K93" s="524"/>
      <c r="V93" s="517" t="n">
        <f aca="false">IF(G93="ne",1,0)</f>
        <v>0</v>
      </c>
      <c r="W93" s="518" t="n">
        <f aca="false">A93</f>
        <v>66</v>
      </c>
    </row>
    <row r="94" customFormat="false" ht="12.75" hidden="false" customHeight="false" outlineLevel="0" collapsed="false">
      <c r="A94" s="520" t="n">
        <v>67</v>
      </c>
      <c r="B94" s="512"/>
      <c r="C94" s="521"/>
      <c r="D94" s="521"/>
      <c r="E94" s="521"/>
      <c r="F94" s="522"/>
      <c r="G94" s="522"/>
      <c r="H94" s="523"/>
      <c r="I94" s="523"/>
      <c r="J94" s="523"/>
      <c r="K94" s="524"/>
      <c r="V94" s="517" t="n">
        <f aca="false">IF(G94="ne",1,0)</f>
        <v>0</v>
      </c>
      <c r="W94" s="518" t="n">
        <f aca="false">A94</f>
        <v>67</v>
      </c>
    </row>
    <row r="95" customFormat="false" ht="12.75" hidden="false" customHeight="false" outlineLevel="0" collapsed="false">
      <c r="A95" s="520" t="n">
        <v>68</v>
      </c>
      <c r="B95" s="512"/>
      <c r="C95" s="521"/>
      <c r="D95" s="521"/>
      <c r="E95" s="521"/>
      <c r="F95" s="522"/>
      <c r="G95" s="522"/>
      <c r="H95" s="523"/>
      <c r="I95" s="523"/>
      <c r="J95" s="523"/>
      <c r="K95" s="524"/>
      <c r="V95" s="517" t="n">
        <f aca="false">IF(G95="ne",1,0)</f>
        <v>0</v>
      </c>
      <c r="W95" s="518" t="n">
        <f aca="false">A95</f>
        <v>68</v>
      </c>
    </row>
    <row r="96" customFormat="false" ht="12.75" hidden="false" customHeight="false" outlineLevel="0" collapsed="false">
      <c r="A96" s="520" t="n">
        <v>69</v>
      </c>
      <c r="B96" s="512"/>
      <c r="C96" s="521"/>
      <c r="D96" s="521"/>
      <c r="E96" s="521"/>
      <c r="F96" s="522"/>
      <c r="G96" s="522"/>
      <c r="H96" s="523"/>
      <c r="I96" s="523"/>
      <c r="J96" s="523"/>
      <c r="K96" s="524"/>
      <c r="V96" s="517" t="n">
        <f aca="false">IF(G96="ne",1,0)</f>
        <v>0</v>
      </c>
      <c r="W96" s="518" t="n">
        <f aca="false">A96</f>
        <v>69</v>
      </c>
    </row>
    <row r="97" customFormat="false" ht="12.75" hidden="false" customHeight="false" outlineLevel="0" collapsed="false">
      <c r="A97" s="520" t="n">
        <v>70</v>
      </c>
      <c r="B97" s="512"/>
      <c r="C97" s="521"/>
      <c r="D97" s="521"/>
      <c r="E97" s="521"/>
      <c r="F97" s="522"/>
      <c r="G97" s="522"/>
      <c r="H97" s="523"/>
      <c r="I97" s="523"/>
      <c r="J97" s="523"/>
      <c r="K97" s="524"/>
      <c r="V97" s="517" t="n">
        <f aca="false">IF(G97="ne",1,0)</f>
        <v>0</v>
      </c>
      <c r="W97" s="518" t="n">
        <f aca="false">A97</f>
        <v>70</v>
      </c>
    </row>
    <row r="98" customFormat="false" ht="12.75" hidden="false" customHeight="false" outlineLevel="0" collapsed="false">
      <c r="A98" s="520" t="n">
        <v>71</v>
      </c>
      <c r="B98" s="512"/>
      <c r="C98" s="521"/>
      <c r="D98" s="521"/>
      <c r="E98" s="521"/>
      <c r="F98" s="522"/>
      <c r="G98" s="522"/>
      <c r="H98" s="523"/>
      <c r="I98" s="523"/>
      <c r="J98" s="523"/>
      <c r="K98" s="524"/>
      <c r="V98" s="517" t="n">
        <f aca="false">IF(G98="ne",1,0)</f>
        <v>0</v>
      </c>
      <c r="W98" s="518" t="n">
        <f aca="false">A98</f>
        <v>71</v>
      </c>
    </row>
    <row r="99" customFormat="false" ht="12.75" hidden="false" customHeight="false" outlineLevel="0" collapsed="false">
      <c r="A99" s="520" t="n">
        <v>72</v>
      </c>
      <c r="B99" s="512"/>
      <c r="C99" s="521"/>
      <c r="D99" s="521"/>
      <c r="E99" s="521"/>
      <c r="F99" s="522"/>
      <c r="G99" s="522"/>
      <c r="H99" s="523"/>
      <c r="I99" s="523"/>
      <c r="J99" s="523"/>
      <c r="K99" s="524"/>
      <c r="V99" s="517" t="n">
        <f aca="false">IF(G99="ne",1,0)</f>
        <v>0</v>
      </c>
      <c r="W99" s="518" t="n">
        <f aca="false">A99</f>
        <v>72</v>
      </c>
    </row>
    <row r="100" customFormat="false" ht="12.75" hidden="false" customHeight="false" outlineLevel="0" collapsed="false">
      <c r="A100" s="520" t="n">
        <v>73</v>
      </c>
      <c r="B100" s="512"/>
      <c r="C100" s="521"/>
      <c r="D100" s="521"/>
      <c r="E100" s="521"/>
      <c r="F100" s="522"/>
      <c r="G100" s="522"/>
      <c r="H100" s="523"/>
      <c r="I100" s="523"/>
      <c r="J100" s="523"/>
      <c r="K100" s="524"/>
      <c r="V100" s="517" t="n">
        <f aca="false">IF(G100="ne",1,0)</f>
        <v>0</v>
      </c>
      <c r="W100" s="518" t="n">
        <f aca="false">A100</f>
        <v>73</v>
      </c>
    </row>
    <row r="101" customFormat="false" ht="12.75" hidden="false" customHeight="false" outlineLevel="0" collapsed="false">
      <c r="A101" s="520" t="n">
        <v>74</v>
      </c>
      <c r="B101" s="512"/>
      <c r="C101" s="521"/>
      <c r="D101" s="521"/>
      <c r="E101" s="521"/>
      <c r="F101" s="522"/>
      <c r="G101" s="522"/>
      <c r="H101" s="523"/>
      <c r="I101" s="523"/>
      <c r="J101" s="523"/>
      <c r="K101" s="524"/>
      <c r="V101" s="517" t="n">
        <f aca="false">IF(G101="ne",1,0)</f>
        <v>0</v>
      </c>
      <c r="W101" s="518" t="n">
        <f aca="false">A101</f>
        <v>74</v>
      </c>
    </row>
    <row r="102" customFormat="false" ht="12.75" hidden="false" customHeight="false" outlineLevel="0" collapsed="false">
      <c r="A102" s="520" t="n">
        <v>75</v>
      </c>
      <c r="B102" s="512"/>
      <c r="C102" s="521"/>
      <c r="D102" s="521"/>
      <c r="E102" s="521"/>
      <c r="F102" s="522"/>
      <c r="G102" s="522"/>
      <c r="H102" s="523"/>
      <c r="I102" s="523"/>
      <c r="J102" s="523"/>
      <c r="K102" s="524"/>
      <c r="V102" s="517" t="n">
        <f aca="false">IF(G102="ne",1,0)</f>
        <v>0</v>
      </c>
      <c r="W102" s="518" t="n">
        <f aca="false">A102</f>
        <v>75</v>
      </c>
    </row>
    <row r="103" customFormat="false" ht="12.75" hidden="false" customHeight="false" outlineLevel="0" collapsed="false">
      <c r="A103" s="520" t="n">
        <v>76</v>
      </c>
      <c r="B103" s="512"/>
      <c r="C103" s="521"/>
      <c r="D103" s="521"/>
      <c r="E103" s="521"/>
      <c r="F103" s="522"/>
      <c r="G103" s="522"/>
      <c r="H103" s="523"/>
      <c r="I103" s="523"/>
      <c r="J103" s="523"/>
      <c r="K103" s="524"/>
      <c r="V103" s="517" t="n">
        <f aca="false">IF(G103="ne",1,0)</f>
        <v>0</v>
      </c>
      <c r="W103" s="518" t="n">
        <f aca="false">A103</f>
        <v>76</v>
      </c>
    </row>
    <row r="104" customFormat="false" ht="12.75" hidden="false" customHeight="false" outlineLevel="0" collapsed="false">
      <c r="A104" s="520" t="n">
        <v>77</v>
      </c>
      <c r="B104" s="512"/>
      <c r="C104" s="521"/>
      <c r="D104" s="521"/>
      <c r="E104" s="521"/>
      <c r="F104" s="522"/>
      <c r="G104" s="522"/>
      <c r="H104" s="523"/>
      <c r="I104" s="523"/>
      <c r="J104" s="523"/>
      <c r="K104" s="524"/>
      <c r="V104" s="517" t="n">
        <f aca="false">IF(G104="ne",1,0)</f>
        <v>0</v>
      </c>
      <c r="W104" s="518" t="n">
        <f aca="false">A104</f>
        <v>77</v>
      </c>
    </row>
    <row r="105" customFormat="false" ht="12.75" hidden="false" customHeight="false" outlineLevel="0" collapsed="false">
      <c r="A105" s="520" t="n">
        <v>78</v>
      </c>
      <c r="B105" s="512"/>
      <c r="C105" s="521"/>
      <c r="D105" s="521"/>
      <c r="E105" s="521"/>
      <c r="F105" s="522"/>
      <c r="G105" s="522"/>
      <c r="H105" s="523"/>
      <c r="I105" s="523"/>
      <c r="J105" s="523"/>
      <c r="K105" s="524"/>
      <c r="V105" s="517" t="n">
        <f aca="false">IF(G105="ne",1,0)</f>
        <v>0</v>
      </c>
      <c r="W105" s="518" t="n">
        <f aca="false">A105</f>
        <v>78</v>
      </c>
    </row>
    <row r="106" customFormat="false" ht="12.75" hidden="false" customHeight="false" outlineLevel="0" collapsed="false">
      <c r="A106" s="520" t="n">
        <v>79</v>
      </c>
      <c r="B106" s="512"/>
      <c r="C106" s="521"/>
      <c r="D106" s="521"/>
      <c r="E106" s="521"/>
      <c r="F106" s="522"/>
      <c r="G106" s="522"/>
      <c r="H106" s="523"/>
      <c r="I106" s="523"/>
      <c r="J106" s="523"/>
      <c r="K106" s="524"/>
      <c r="V106" s="517" t="n">
        <f aca="false">IF(G106="ne",1,0)</f>
        <v>0</v>
      </c>
      <c r="W106" s="518" t="n">
        <f aca="false">A106</f>
        <v>79</v>
      </c>
    </row>
    <row r="107" customFormat="false" ht="12.75" hidden="false" customHeight="false" outlineLevel="0" collapsed="false">
      <c r="A107" s="520" t="n">
        <v>80</v>
      </c>
      <c r="B107" s="512"/>
      <c r="C107" s="521"/>
      <c r="D107" s="521"/>
      <c r="E107" s="521"/>
      <c r="F107" s="522"/>
      <c r="G107" s="522"/>
      <c r="H107" s="523"/>
      <c r="I107" s="523"/>
      <c r="J107" s="523"/>
      <c r="K107" s="524"/>
      <c r="V107" s="517" t="n">
        <f aca="false">IF(G107="ne",1,0)</f>
        <v>0</v>
      </c>
      <c r="W107" s="518" t="n">
        <f aca="false">A107</f>
        <v>80</v>
      </c>
    </row>
    <row r="108" customFormat="false" ht="12.75" hidden="false" customHeight="false" outlineLevel="0" collapsed="false">
      <c r="A108" s="520" t="n">
        <v>81</v>
      </c>
      <c r="B108" s="512"/>
      <c r="C108" s="521"/>
      <c r="D108" s="521"/>
      <c r="E108" s="521"/>
      <c r="F108" s="522"/>
      <c r="G108" s="522"/>
      <c r="H108" s="523"/>
      <c r="I108" s="523"/>
      <c r="J108" s="523"/>
      <c r="K108" s="524"/>
      <c r="V108" s="517" t="n">
        <f aca="false">IF(G108="ne",1,0)</f>
        <v>0</v>
      </c>
      <c r="W108" s="518" t="n">
        <f aca="false">A108</f>
        <v>81</v>
      </c>
    </row>
    <row r="109" customFormat="false" ht="12.75" hidden="false" customHeight="false" outlineLevel="0" collapsed="false">
      <c r="A109" s="520" t="n">
        <v>82</v>
      </c>
      <c r="B109" s="512"/>
      <c r="C109" s="521"/>
      <c r="D109" s="521"/>
      <c r="E109" s="521"/>
      <c r="F109" s="522"/>
      <c r="G109" s="522"/>
      <c r="H109" s="523"/>
      <c r="I109" s="523"/>
      <c r="J109" s="523"/>
      <c r="K109" s="524"/>
      <c r="V109" s="517" t="n">
        <f aca="false">IF(G109="ne",1,0)</f>
        <v>0</v>
      </c>
      <c r="W109" s="518" t="n">
        <f aca="false">A109</f>
        <v>82</v>
      </c>
    </row>
    <row r="110" customFormat="false" ht="12.75" hidden="false" customHeight="false" outlineLevel="0" collapsed="false">
      <c r="A110" s="520" t="n">
        <v>83</v>
      </c>
      <c r="B110" s="512"/>
      <c r="C110" s="521"/>
      <c r="D110" s="521"/>
      <c r="E110" s="521"/>
      <c r="F110" s="522"/>
      <c r="G110" s="522"/>
      <c r="H110" s="523"/>
      <c r="I110" s="523"/>
      <c r="J110" s="523"/>
      <c r="K110" s="524"/>
      <c r="V110" s="517" t="n">
        <f aca="false">IF(G110="ne",1,0)</f>
        <v>0</v>
      </c>
      <c r="W110" s="518" t="n">
        <f aca="false">A110</f>
        <v>83</v>
      </c>
    </row>
    <row r="111" customFormat="false" ht="12.75" hidden="false" customHeight="false" outlineLevel="0" collapsed="false">
      <c r="A111" s="520" t="n">
        <v>84</v>
      </c>
      <c r="B111" s="512"/>
      <c r="C111" s="521"/>
      <c r="D111" s="521"/>
      <c r="E111" s="521"/>
      <c r="F111" s="522"/>
      <c r="G111" s="522"/>
      <c r="H111" s="523"/>
      <c r="I111" s="523"/>
      <c r="J111" s="523"/>
      <c r="K111" s="524"/>
      <c r="V111" s="517" t="n">
        <f aca="false">IF(G111="ne",1,0)</f>
        <v>0</v>
      </c>
      <c r="W111" s="518" t="n">
        <f aca="false">A111</f>
        <v>84</v>
      </c>
    </row>
    <row r="112" customFormat="false" ht="12.75" hidden="false" customHeight="false" outlineLevel="0" collapsed="false">
      <c r="A112" s="520" t="n">
        <v>85</v>
      </c>
      <c r="B112" s="512"/>
      <c r="C112" s="521"/>
      <c r="D112" s="521"/>
      <c r="E112" s="521"/>
      <c r="F112" s="522"/>
      <c r="G112" s="522"/>
      <c r="H112" s="523"/>
      <c r="I112" s="523"/>
      <c r="J112" s="523"/>
      <c r="K112" s="524"/>
      <c r="V112" s="517" t="n">
        <f aca="false">IF(G112="ne",1,0)</f>
        <v>0</v>
      </c>
      <c r="W112" s="518" t="n">
        <f aca="false">A112</f>
        <v>85</v>
      </c>
    </row>
    <row r="113" customFormat="false" ht="12.75" hidden="false" customHeight="false" outlineLevel="0" collapsed="false">
      <c r="A113" s="520" t="n">
        <v>86</v>
      </c>
      <c r="B113" s="512"/>
      <c r="C113" s="521"/>
      <c r="D113" s="521"/>
      <c r="E113" s="521"/>
      <c r="F113" s="522"/>
      <c r="G113" s="522"/>
      <c r="H113" s="523"/>
      <c r="I113" s="523"/>
      <c r="J113" s="523"/>
      <c r="K113" s="524"/>
      <c r="V113" s="517" t="n">
        <f aca="false">IF(G113="ne",1,0)</f>
        <v>0</v>
      </c>
      <c r="W113" s="518" t="n">
        <f aca="false">A113</f>
        <v>86</v>
      </c>
    </row>
    <row r="114" customFormat="false" ht="12.75" hidden="false" customHeight="false" outlineLevel="0" collapsed="false">
      <c r="A114" s="520" t="n">
        <v>87</v>
      </c>
      <c r="B114" s="512"/>
      <c r="C114" s="521"/>
      <c r="D114" s="521"/>
      <c r="E114" s="521"/>
      <c r="F114" s="522"/>
      <c r="G114" s="522"/>
      <c r="H114" s="523"/>
      <c r="I114" s="523"/>
      <c r="J114" s="523"/>
      <c r="K114" s="524"/>
      <c r="V114" s="517" t="n">
        <f aca="false">IF(G114="ne",1,0)</f>
        <v>0</v>
      </c>
      <c r="W114" s="518" t="n">
        <f aca="false">A114</f>
        <v>87</v>
      </c>
    </row>
    <row r="115" customFormat="false" ht="12.75" hidden="false" customHeight="false" outlineLevel="0" collapsed="false">
      <c r="A115" s="520" t="n">
        <v>88</v>
      </c>
      <c r="B115" s="512"/>
      <c r="C115" s="521"/>
      <c r="D115" s="521"/>
      <c r="E115" s="521"/>
      <c r="F115" s="522"/>
      <c r="G115" s="522"/>
      <c r="H115" s="523"/>
      <c r="I115" s="523"/>
      <c r="J115" s="523"/>
      <c r="K115" s="524"/>
      <c r="V115" s="517" t="n">
        <f aca="false">IF(G115="ne",1,0)</f>
        <v>0</v>
      </c>
      <c r="W115" s="518" t="n">
        <f aca="false">A115</f>
        <v>88</v>
      </c>
    </row>
    <row r="116" customFormat="false" ht="12.75" hidden="false" customHeight="false" outlineLevel="0" collapsed="false">
      <c r="A116" s="520" t="n">
        <v>89</v>
      </c>
      <c r="B116" s="512"/>
      <c r="C116" s="521"/>
      <c r="D116" s="521"/>
      <c r="E116" s="521"/>
      <c r="F116" s="522"/>
      <c r="G116" s="522"/>
      <c r="H116" s="523"/>
      <c r="I116" s="523"/>
      <c r="J116" s="523"/>
      <c r="K116" s="524"/>
      <c r="V116" s="517" t="n">
        <f aca="false">IF(G116="ne",1,0)</f>
        <v>0</v>
      </c>
      <c r="W116" s="518" t="n">
        <f aca="false">A116</f>
        <v>89</v>
      </c>
    </row>
    <row r="117" customFormat="false" ht="12.75" hidden="false" customHeight="false" outlineLevel="0" collapsed="false">
      <c r="A117" s="520" t="n">
        <v>90</v>
      </c>
      <c r="B117" s="512"/>
      <c r="C117" s="521"/>
      <c r="D117" s="521"/>
      <c r="E117" s="521"/>
      <c r="F117" s="522"/>
      <c r="G117" s="522"/>
      <c r="H117" s="523"/>
      <c r="I117" s="523"/>
      <c r="J117" s="523"/>
      <c r="K117" s="524"/>
      <c r="V117" s="517" t="n">
        <f aca="false">IF(G117="ne",1,0)</f>
        <v>0</v>
      </c>
      <c r="W117" s="518" t="n">
        <f aca="false">A117</f>
        <v>90</v>
      </c>
    </row>
    <row r="118" customFormat="false" ht="12.75" hidden="false" customHeight="false" outlineLevel="0" collapsed="false">
      <c r="A118" s="520" t="n">
        <v>91</v>
      </c>
      <c r="B118" s="512"/>
      <c r="C118" s="521"/>
      <c r="D118" s="521"/>
      <c r="E118" s="521"/>
      <c r="F118" s="522"/>
      <c r="G118" s="522"/>
      <c r="H118" s="523"/>
      <c r="I118" s="523"/>
      <c r="J118" s="523"/>
      <c r="K118" s="524"/>
      <c r="V118" s="517" t="n">
        <f aca="false">IF(G118="ne",1,0)</f>
        <v>0</v>
      </c>
      <c r="W118" s="518" t="n">
        <f aca="false">A118</f>
        <v>91</v>
      </c>
    </row>
    <row r="119" customFormat="false" ht="12.75" hidden="false" customHeight="false" outlineLevel="0" collapsed="false">
      <c r="A119" s="520" t="n">
        <v>92</v>
      </c>
      <c r="B119" s="512"/>
      <c r="C119" s="521"/>
      <c r="D119" s="521"/>
      <c r="E119" s="521"/>
      <c r="F119" s="522"/>
      <c r="G119" s="522"/>
      <c r="H119" s="523"/>
      <c r="I119" s="523"/>
      <c r="J119" s="523"/>
      <c r="K119" s="524"/>
      <c r="V119" s="517" t="n">
        <f aca="false">IF(G119="ne",1,0)</f>
        <v>0</v>
      </c>
      <c r="W119" s="518" t="n">
        <f aca="false">A119</f>
        <v>92</v>
      </c>
    </row>
    <row r="120" customFormat="false" ht="13.5" hidden="false" customHeight="false" outlineLevel="0" collapsed="false">
      <c r="A120" s="525" t="n">
        <v>93</v>
      </c>
      <c r="B120" s="526"/>
      <c r="C120" s="527"/>
      <c r="D120" s="527"/>
      <c r="E120" s="527"/>
      <c r="F120" s="526"/>
      <c r="G120" s="526"/>
      <c r="H120" s="528"/>
      <c r="I120" s="528"/>
      <c r="J120" s="528"/>
      <c r="K120" s="529"/>
      <c r="V120" s="517" t="n">
        <f aca="false">IF(G120="ne",1,0)</f>
        <v>0</v>
      </c>
      <c r="W120" s="518" t="n">
        <f aca="false">A120</f>
        <v>93</v>
      </c>
    </row>
  </sheetData>
  <autoFilter ref="B27:W120"/>
  <mergeCells count="206">
    <mergeCell ref="B4:H4"/>
    <mergeCell ref="I4:N4"/>
    <mergeCell ref="O4:R4"/>
    <mergeCell ref="S4:T4"/>
    <mergeCell ref="A5:A7"/>
    <mergeCell ref="B5:B7"/>
    <mergeCell ref="C5:C7"/>
    <mergeCell ref="D5:D7"/>
    <mergeCell ref="E5:E7"/>
    <mergeCell ref="F5:F7"/>
    <mergeCell ref="G5:G7"/>
    <mergeCell ref="H5:H7"/>
    <mergeCell ref="O5:O7"/>
    <mergeCell ref="P5:P7"/>
    <mergeCell ref="Q5:Q7"/>
    <mergeCell ref="R5:R7"/>
    <mergeCell ref="S5:S7"/>
    <mergeCell ref="T5:T7"/>
    <mergeCell ref="C27:E27"/>
    <mergeCell ref="H27:J27"/>
    <mergeCell ref="C28:E28"/>
    <mergeCell ref="H28:J28"/>
    <mergeCell ref="C29:E29"/>
    <mergeCell ref="H29:J29"/>
    <mergeCell ref="C30:E30"/>
    <mergeCell ref="H30:J30"/>
    <mergeCell ref="C31:E31"/>
    <mergeCell ref="H31:J31"/>
    <mergeCell ref="C32:E32"/>
    <mergeCell ref="H32:J32"/>
    <mergeCell ref="C33:E33"/>
    <mergeCell ref="H33:J33"/>
    <mergeCell ref="C34:E34"/>
    <mergeCell ref="H34:J34"/>
    <mergeCell ref="C35:E35"/>
    <mergeCell ref="H35:J35"/>
    <mergeCell ref="C36:E36"/>
    <mergeCell ref="H36:J36"/>
    <mergeCell ref="C37:E37"/>
    <mergeCell ref="H37:J37"/>
    <mergeCell ref="C38:E38"/>
    <mergeCell ref="H38:J38"/>
    <mergeCell ref="C39:E39"/>
    <mergeCell ref="H39:J39"/>
    <mergeCell ref="C40:E40"/>
    <mergeCell ref="H40:J40"/>
    <mergeCell ref="C41:E41"/>
    <mergeCell ref="H41:J41"/>
    <mergeCell ref="C42:E42"/>
    <mergeCell ref="H42:J42"/>
    <mergeCell ref="C43:E43"/>
    <mergeCell ref="H43:J43"/>
    <mergeCell ref="C44:E44"/>
    <mergeCell ref="H44:J44"/>
    <mergeCell ref="C45:E45"/>
    <mergeCell ref="H45:J45"/>
    <mergeCell ref="C46:E46"/>
    <mergeCell ref="H46:J46"/>
    <mergeCell ref="C47:E47"/>
    <mergeCell ref="H47:J47"/>
    <mergeCell ref="C48:E48"/>
    <mergeCell ref="H48:J48"/>
    <mergeCell ref="C49:E49"/>
    <mergeCell ref="H49:J49"/>
    <mergeCell ref="C50:E50"/>
    <mergeCell ref="H50:J50"/>
    <mergeCell ref="C51:E51"/>
    <mergeCell ref="H51:J51"/>
    <mergeCell ref="C52:E52"/>
    <mergeCell ref="H52:J52"/>
    <mergeCell ref="C53:E53"/>
    <mergeCell ref="H53:J53"/>
    <mergeCell ref="C54:E54"/>
    <mergeCell ref="H54:J54"/>
    <mergeCell ref="C55:E55"/>
    <mergeCell ref="H55:J55"/>
    <mergeCell ref="C56:E56"/>
    <mergeCell ref="H56:J56"/>
    <mergeCell ref="C57:E57"/>
    <mergeCell ref="H57:J57"/>
    <mergeCell ref="C58:E58"/>
    <mergeCell ref="H58:J58"/>
    <mergeCell ref="C59:E59"/>
    <mergeCell ref="H59:J59"/>
    <mergeCell ref="C60:E60"/>
    <mergeCell ref="H60:J60"/>
    <mergeCell ref="C61:E61"/>
    <mergeCell ref="H61:J61"/>
    <mergeCell ref="C62:E62"/>
    <mergeCell ref="H62:J62"/>
    <mergeCell ref="C63:E63"/>
    <mergeCell ref="H63:J63"/>
    <mergeCell ref="C64:E64"/>
    <mergeCell ref="H64:J64"/>
    <mergeCell ref="C65:E65"/>
    <mergeCell ref="H65:J65"/>
    <mergeCell ref="C66:E66"/>
    <mergeCell ref="H66:J66"/>
    <mergeCell ref="C67:E67"/>
    <mergeCell ref="H67:J67"/>
    <mergeCell ref="C68:E68"/>
    <mergeCell ref="H68:J68"/>
    <mergeCell ref="C69:E69"/>
    <mergeCell ref="H69:J69"/>
    <mergeCell ref="C70:E70"/>
    <mergeCell ref="H70:J70"/>
    <mergeCell ref="C71:E71"/>
    <mergeCell ref="H71:J71"/>
    <mergeCell ref="C72:E72"/>
    <mergeCell ref="H72:J72"/>
    <mergeCell ref="C73:E73"/>
    <mergeCell ref="H73:J73"/>
    <mergeCell ref="C74:E74"/>
    <mergeCell ref="H74:J74"/>
    <mergeCell ref="C75:E75"/>
    <mergeCell ref="H75:J75"/>
    <mergeCell ref="C76:E76"/>
    <mergeCell ref="H76:J76"/>
    <mergeCell ref="C77:E77"/>
    <mergeCell ref="H77:J77"/>
    <mergeCell ref="C78:E78"/>
    <mergeCell ref="H78:J78"/>
    <mergeCell ref="C79:E79"/>
    <mergeCell ref="H79:J79"/>
    <mergeCell ref="C80:E80"/>
    <mergeCell ref="H80:J80"/>
    <mergeCell ref="C81:E81"/>
    <mergeCell ref="H81:J81"/>
    <mergeCell ref="C82:E82"/>
    <mergeCell ref="H82:J82"/>
    <mergeCell ref="C83:E83"/>
    <mergeCell ref="H83:J83"/>
    <mergeCell ref="C84:E84"/>
    <mergeCell ref="H84:J84"/>
    <mergeCell ref="C85:E85"/>
    <mergeCell ref="H85:J85"/>
    <mergeCell ref="C86:E86"/>
    <mergeCell ref="H86:J86"/>
    <mergeCell ref="C87:E87"/>
    <mergeCell ref="H87:J87"/>
    <mergeCell ref="C88:E88"/>
    <mergeCell ref="H88:J88"/>
    <mergeCell ref="C89:E89"/>
    <mergeCell ref="H89:J89"/>
    <mergeCell ref="C90:E90"/>
    <mergeCell ref="H90:J90"/>
    <mergeCell ref="C91:E91"/>
    <mergeCell ref="H91:J91"/>
    <mergeCell ref="C92:E92"/>
    <mergeCell ref="H92:J92"/>
    <mergeCell ref="C93:E93"/>
    <mergeCell ref="H93:J93"/>
    <mergeCell ref="C94:E94"/>
    <mergeCell ref="H94:J94"/>
    <mergeCell ref="C95:E95"/>
    <mergeCell ref="H95:J95"/>
    <mergeCell ref="C96:E96"/>
    <mergeCell ref="H96:J96"/>
    <mergeCell ref="C97:E97"/>
    <mergeCell ref="H97:J97"/>
    <mergeCell ref="C98:E98"/>
    <mergeCell ref="H98:J98"/>
    <mergeCell ref="C99:E99"/>
    <mergeCell ref="H99:J99"/>
    <mergeCell ref="C100:E100"/>
    <mergeCell ref="H100:J100"/>
    <mergeCell ref="C101:E101"/>
    <mergeCell ref="H101:J101"/>
    <mergeCell ref="C102:E102"/>
    <mergeCell ref="H102:J102"/>
    <mergeCell ref="C103:E103"/>
    <mergeCell ref="H103:J103"/>
    <mergeCell ref="C104:E104"/>
    <mergeCell ref="H104:J104"/>
    <mergeCell ref="C105:E105"/>
    <mergeCell ref="H105:J105"/>
    <mergeCell ref="C106:E106"/>
    <mergeCell ref="H106:J106"/>
    <mergeCell ref="C107:E107"/>
    <mergeCell ref="H107:J107"/>
    <mergeCell ref="C108:E108"/>
    <mergeCell ref="H108:J108"/>
    <mergeCell ref="C109:E109"/>
    <mergeCell ref="H109:J109"/>
    <mergeCell ref="C110:E110"/>
    <mergeCell ref="H110:J110"/>
    <mergeCell ref="C111:E111"/>
    <mergeCell ref="H111:J111"/>
    <mergeCell ref="C112:E112"/>
    <mergeCell ref="H112:J112"/>
    <mergeCell ref="C113:E113"/>
    <mergeCell ref="H113:J113"/>
    <mergeCell ref="C114:E114"/>
    <mergeCell ref="H114:J114"/>
    <mergeCell ref="C115:E115"/>
    <mergeCell ref="H115:J115"/>
    <mergeCell ref="C116:E116"/>
    <mergeCell ref="H116:J116"/>
    <mergeCell ref="C117:E117"/>
    <mergeCell ref="H117:J117"/>
    <mergeCell ref="C118:E118"/>
    <mergeCell ref="H118:J118"/>
    <mergeCell ref="C119:E119"/>
    <mergeCell ref="H119:J119"/>
    <mergeCell ref="C120:E120"/>
    <mergeCell ref="H120:J120"/>
  </mergeCells>
  <conditionalFormatting sqref="C2">
    <cfRule type="cellIs" priority="2" operator="equal" aboveAverage="0" equalAverage="0" bottom="0" percent="0" rank="0" text="" dxfId="15">
      <formula>0</formula>
    </cfRule>
  </conditionalFormatting>
  <conditionalFormatting sqref="G28:G120">
    <cfRule type="cellIs" priority="3" operator="equal" aboveAverage="0" equalAverage="0" bottom="0" percent="0" rank="0" text="" dxfId="16">
      <formula>"ano"</formula>
    </cfRule>
    <cfRule type="cellIs" priority="4" operator="equal" aboveAverage="0" equalAverage="0" bottom="0" percent="0" rank="0" text="" dxfId="17">
      <formula>"ne"</formula>
    </cfRule>
  </conditionalFormatting>
  <conditionalFormatting sqref="S8:S23">
    <cfRule type="cellIs" priority="5" operator="greaterThan" aboveAverage="0" equalAverage="0" bottom="0" percent="0" rank="0" text="" dxfId="18">
      <formula>0</formula>
    </cfRule>
  </conditionalFormatting>
  <dataValidations count="2">
    <dataValidation allowBlank="true" errorStyle="stop" operator="between" showDropDown="false" showErrorMessage="true" showInputMessage="false" sqref="B28:B120" type="list">
      <formula1>$D$8:$D$23</formula1>
      <formula2>0</formula2>
    </dataValidation>
    <dataValidation allowBlank="true" errorStyle="stop" operator="between" showDropDown="false" showErrorMessage="true" showInputMessage="false" sqref="G28:G120" type="list">
      <formula1>$Y$28:$Y$29</formula1>
      <formula2>0</formula2>
    </dataValidation>
  </dataValidations>
  <printOptions headings="false" gridLines="false" gridLinesSet="true" horizontalCentered="false" verticalCentered="false"/>
  <pageMargins left="0.472222222222222" right="0.39375" top="0.669444444444445" bottom="0.551388888888889" header="0.511811023622047" footer="0.39375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&amp;R&amp;F - &amp;A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9696"/>
    <pageSetUpPr fitToPage="false"/>
  </sheetPr>
  <dimension ref="A1:IW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H24" activeCellId="0" sqref="H24"/>
    </sheetView>
  </sheetViews>
  <sheetFormatPr defaultColWidth="8.84765625" defaultRowHeight="12.75" customHeight="true" zeroHeight="false" outlineLevelRow="0" outlineLevelCol="0"/>
  <cols>
    <col collapsed="false" customWidth="true" hidden="false" outlineLevel="0" max="1" min="1" style="530" width="6.99"/>
    <col collapsed="false" customWidth="true" hidden="false" outlineLevel="0" max="2" min="2" style="530" width="13.7"/>
    <col collapsed="false" customWidth="true" hidden="false" outlineLevel="0" max="3" min="3" style="530" width="41.85"/>
    <col collapsed="false" customWidth="true" hidden="false" outlineLevel="0" max="4" min="4" style="530" width="13.56"/>
    <col collapsed="false" customWidth="true" hidden="false" outlineLevel="0" max="5" min="5" style="530" width="13.41"/>
    <col collapsed="false" customWidth="false" hidden="false" outlineLevel="0" max="7" min="6" style="530" width="8.85"/>
    <col collapsed="false" customWidth="true" hidden="false" outlineLevel="0" max="8" min="8" style="530" width="16.99"/>
    <col collapsed="false" customWidth="true" hidden="false" outlineLevel="0" max="9" min="9" style="530" width="12.7"/>
    <col collapsed="false" customWidth="false" hidden="false" outlineLevel="0" max="257" min="10" style="530" width="8.85"/>
  </cols>
  <sheetData>
    <row r="1" customFormat="false" ht="25.5" hidden="false" customHeight="true" outlineLevel="0" collapsed="false">
      <c r="A1" s="531" t="s">
        <v>205</v>
      </c>
      <c r="B1" s="531"/>
      <c r="C1" s="531"/>
      <c r="D1" s="532"/>
      <c r="E1" s="533" t="s">
        <v>206</v>
      </c>
      <c r="F1" s="532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4"/>
      <c r="AA1" s="534"/>
      <c r="AB1" s="534"/>
      <c r="AC1" s="534"/>
      <c r="AD1" s="534"/>
      <c r="AE1" s="534"/>
      <c r="AF1" s="534"/>
      <c r="AG1" s="534"/>
      <c r="AH1" s="534"/>
      <c r="AI1" s="534"/>
      <c r="AJ1" s="534"/>
      <c r="AK1" s="534"/>
      <c r="AL1" s="534"/>
      <c r="AM1" s="534"/>
      <c r="AN1" s="534"/>
      <c r="AO1" s="534"/>
      <c r="AP1" s="534"/>
      <c r="AQ1" s="534"/>
      <c r="AR1" s="534"/>
      <c r="AS1" s="534"/>
      <c r="AT1" s="534"/>
      <c r="AU1" s="534"/>
      <c r="AV1" s="534"/>
      <c r="AW1" s="534"/>
      <c r="AX1" s="534"/>
      <c r="AY1" s="534"/>
      <c r="AZ1" s="534"/>
      <c r="BA1" s="534"/>
      <c r="BB1" s="534"/>
      <c r="BC1" s="534"/>
      <c r="BD1" s="534"/>
      <c r="BE1" s="534"/>
      <c r="BF1" s="534"/>
      <c r="BG1" s="534"/>
      <c r="BH1" s="534"/>
      <c r="BI1" s="534"/>
      <c r="BJ1" s="534"/>
      <c r="BK1" s="534"/>
      <c r="BL1" s="534"/>
      <c r="BM1" s="534"/>
      <c r="BN1" s="534"/>
      <c r="BO1" s="534"/>
      <c r="BP1" s="534"/>
      <c r="BQ1" s="534"/>
      <c r="BR1" s="534"/>
      <c r="BS1" s="534"/>
      <c r="BT1" s="534"/>
      <c r="BU1" s="534"/>
      <c r="BV1" s="534"/>
      <c r="BW1" s="534"/>
      <c r="BX1" s="534"/>
      <c r="BY1" s="534"/>
      <c r="BZ1" s="534"/>
      <c r="CA1" s="534"/>
      <c r="CB1" s="534"/>
      <c r="CC1" s="534"/>
      <c r="CD1" s="534"/>
      <c r="CE1" s="534"/>
      <c r="CF1" s="534"/>
      <c r="CG1" s="534"/>
      <c r="CH1" s="534"/>
      <c r="CI1" s="534"/>
      <c r="CJ1" s="534"/>
      <c r="CK1" s="534"/>
      <c r="CL1" s="534"/>
      <c r="CM1" s="534"/>
      <c r="CN1" s="534"/>
      <c r="CO1" s="534"/>
      <c r="CP1" s="534"/>
      <c r="CQ1" s="534"/>
      <c r="CR1" s="534"/>
      <c r="CS1" s="534"/>
      <c r="CT1" s="534"/>
      <c r="CU1" s="534"/>
      <c r="CV1" s="534"/>
      <c r="CW1" s="534"/>
      <c r="CX1" s="534"/>
      <c r="CY1" s="534"/>
      <c r="CZ1" s="534"/>
      <c r="DA1" s="534"/>
      <c r="DB1" s="534"/>
      <c r="DC1" s="534"/>
      <c r="DD1" s="534"/>
      <c r="DE1" s="534"/>
      <c r="DF1" s="534"/>
      <c r="DG1" s="534"/>
      <c r="DH1" s="534"/>
      <c r="DI1" s="534"/>
      <c r="DJ1" s="534"/>
      <c r="DK1" s="534"/>
      <c r="DL1" s="534"/>
      <c r="DM1" s="534"/>
      <c r="DN1" s="534"/>
      <c r="DO1" s="534"/>
      <c r="DP1" s="534"/>
      <c r="DQ1" s="534"/>
      <c r="DR1" s="534"/>
      <c r="DS1" s="534"/>
      <c r="DT1" s="534"/>
      <c r="DU1" s="534"/>
      <c r="DV1" s="534"/>
      <c r="DW1" s="534"/>
      <c r="DX1" s="534"/>
      <c r="DY1" s="534"/>
      <c r="DZ1" s="534"/>
      <c r="EA1" s="534"/>
      <c r="EB1" s="534"/>
      <c r="EC1" s="534"/>
      <c r="ED1" s="534"/>
      <c r="EE1" s="534"/>
      <c r="EF1" s="534"/>
      <c r="EG1" s="534"/>
      <c r="EH1" s="534"/>
      <c r="EI1" s="534"/>
      <c r="EJ1" s="534"/>
      <c r="EK1" s="534"/>
      <c r="EL1" s="534"/>
      <c r="EM1" s="534"/>
      <c r="EN1" s="534"/>
      <c r="EO1" s="534"/>
      <c r="EP1" s="534"/>
      <c r="EQ1" s="534"/>
      <c r="ER1" s="534"/>
      <c r="ES1" s="534"/>
      <c r="ET1" s="534"/>
      <c r="EU1" s="534"/>
      <c r="EV1" s="534"/>
      <c r="EW1" s="534"/>
      <c r="EX1" s="534"/>
      <c r="EY1" s="534"/>
      <c r="EZ1" s="534"/>
      <c r="FA1" s="534"/>
      <c r="FB1" s="534"/>
      <c r="FC1" s="534"/>
      <c r="FD1" s="534"/>
      <c r="FE1" s="534"/>
      <c r="FF1" s="534"/>
      <c r="FG1" s="534"/>
      <c r="FH1" s="534"/>
      <c r="FI1" s="534"/>
      <c r="FJ1" s="534"/>
      <c r="FK1" s="534"/>
      <c r="FL1" s="534"/>
      <c r="FM1" s="534"/>
      <c r="FN1" s="534"/>
      <c r="FO1" s="534"/>
      <c r="FP1" s="534"/>
      <c r="FQ1" s="534"/>
      <c r="FR1" s="534"/>
      <c r="FS1" s="534"/>
      <c r="FT1" s="534"/>
      <c r="FU1" s="534"/>
      <c r="FV1" s="534"/>
      <c r="FW1" s="534"/>
      <c r="FX1" s="534"/>
      <c r="FY1" s="534"/>
      <c r="FZ1" s="534"/>
      <c r="GA1" s="534"/>
      <c r="GB1" s="534"/>
      <c r="GC1" s="534"/>
      <c r="GD1" s="534"/>
      <c r="GE1" s="534"/>
      <c r="GF1" s="534"/>
      <c r="GG1" s="534"/>
      <c r="GH1" s="534"/>
      <c r="GI1" s="534"/>
      <c r="GJ1" s="534"/>
      <c r="GK1" s="534"/>
      <c r="GL1" s="534"/>
      <c r="GM1" s="534"/>
      <c r="GN1" s="534"/>
      <c r="GO1" s="534"/>
      <c r="GP1" s="534"/>
      <c r="GQ1" s="534"/>
      <c r="GR1" s="534"/>
      <c r="GS1" s="534"/>
      <c r="GT1" s="534"/>
      <c r="GU1" s="534"/>
      <c r="GV1" s="534"/>
      <c r="GW1" s="534"/>
      <c r="GX1" s="534"/>
      <c r="GY1" s="534"/>
      <c r="GZ1" s="534"/>
      <c r="HA1" s="534"/>
      <c r="HB1" s="534"/>
      <c r="HC1" s="534"/>
      <c r="HD1" s="534"/>
      <c r="HE1" s="534"/>
      <c r="HF1" s="534"/>
      <c r="HG1" s="534"/>
      <c r="HH1" s="534"/>
      <c r="HI1" s="534"/>
      <c r="HJ1" s="534"/>
      <c r="HK1" s="534"/>
      <c r="HL1" s="534"/>
      <c r="HM1" s="534"/>
      <c r="HN1" s="534"/>
      <c r="HO1" s="534"/>
      <c r="HP1" s="534"/>
      <c r="HQ1" s="534"/>
      <c r="HR1" s="534"/>
      <c r="HS1" s="534"/>
      <c r="HT1" s="534"/>
      <c r="HU1" s="534"/>
      <c r="HV1" s="534"/>
      <c r="HW1" s="534"/>
      <c r="HX1" s="534"/>
      <c r="HY1" s="534"/>
      <c r="HZ1" s="534"/>
      <c r="IA1" s="534"/>
      <c r="IB1" s="534"/>
      <c r="IC1" s="534"/>
      <c r="ID1" s="534"/>
      <c r="IE1" s="534"/>
      <c r="IF1" s="534"/>
      <c r="IG1" s="534"/>
      <c r="IH1" s="534"/>
      <c r="II1" s="534"/>
      <c r="IJ1" s="534"/>
      <c r="IK1" s="534"/>
      <c r="IL1" s="534"/>
      <c r="IM1" s="534"/>
      <c r="IN1" s="534"/>
      <c r="IO1" s="534"/>
      <c r="IP1" s="534"/>
      <c r="IQ1" s="534"/>
      <c r="IR1" s="534"/>
      <c r="IS1" s="534"/>
      <c r="IT1" s="534"/>
      <c r="IU1" s="534"/>
      <c r="IV1" s="534"/>
      <c r="IW1" s="534"/>
    </row>
    <row r="2" customFormat="false" ht="18" hidden="false" customHeight="false" outlineLevel="0" collapsed="false">
      <c r="A2" s="535" t="s">
        <v>207</v>
      </c>
      <c r="B2" s="535"/>
      <c r="C2" s="535"/>
      <c r="D2" s="535"/>
      <c r="E2" s="535"/>
      <c r="F2" s="536"/>
      <c r="G2" s="537"/>
      <c r="H2" s="538" t="s">
        <v>208</v>
      </c>
      <c r="I2" s="538" t="n">
        <f aca="false">'Přehled akce'!L42</f>
        <v>0</v>
      </c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7"/>
      <c r="AL2" s="537"/>
      <c r="AM2" s="537"/>
      <c r="AN2" s="537"/>
      <c r="AO2" s="537"/>
      <c r="AP2" s="537"/>
      <c r="AQ2" s="537"/>
      <c r="AR2" s="537"/>
      <c r="AS2" s="537"/>
      <c r="AT2" s="537"/>
      <c r="AU2" s="537"/>
      <c r="AV2" s="537"/>
      <c r="AW2" s="537"/>
      <c r="AX2" s="537"/>
      <c r="AY2" s="537"/>
      <c r="AZ2" s="537"/>
      <c r="BA2" s="537"/>
      <c r="BB2" s="537"/>
      <c r="BC2" s="537"/>
      <c r="BD2" s="537"/>
      <c r="BE2" s="537"/>
      <c r="BF2" s="537"/>
      <c r="BG2" s="537"/>
      <c r="BH2" s="537"/>
      <c r="BI2" s="537"/>
      <c r="BJ2" s="537"/>
      <c r="BK2" s="537"/>
      <c r="BL2" s="537"/>
      <c r="BM2" s="537"/>
      <c r="BN2" s="537"/>
      <c r="BO2" s="537"/>
      <c r="BP2" s="537"/>
      <c r="BQ2" s="537"/>
      <c r="BR2" s="537"/>
      <c r="BS2" s="537"/>
      <c r="BT2" s="537"/>
      <c r="BU2" s="537"/>
      <c r="BV2" s="537"/>
      <c r="BW2" s="537"/>
      <c r="BX2" s="537"/>
      <c r="BY2" s="537"/>
      <c r="BZ2" s="537"/>
      <c r="CA2" s="537"/>
      <c r="CB2" s="537"/>
      <c r="CC2" s="537"/>
      <c r="CD2" s="537"/>
      <c r="CE2" s="537"/>
      <c r="CF2" s="537"/>
      <c r="CG2" s="537"/>
      <c r="CH2" s="537"/>
      <c r="CI2" s="537"/>
      <c r="CJ2" s="537"/>
      <c r="CK2" s="537"/>
      <c r="CL2" s="537"/>
      <c r="CM2" s="537"/>
      <c r="CN2" s="537"/>
      <c r="CO2" s="537"/>
      <c r="CP2" s="537"/>
      <c r="CQ2" s="537"/>
      <c r="CR2" s="537"/>
      <c r="CS2" s="537"/>
      <c r="CT2" s="537"/>
      <c r="CU2" s="537"/>
      <c r="CV2" s="537"/>
      <c r="CW2" s="537"/>
      <c r="CX2" s="537"/>
      <c r="CY2" s="537"/>
      <c r="CZ2" s="537"/>
      <c r="DA2" s="537"/>
      <c r="DB2" s="537"/>
      <c r="DC2" s="537"/>
      <c r="DD2" s="537"/>
      <c r="DE2" s="537"/>
      <c r="DF2" s="537"/>
      <c r="DG2" s="537"/>
      <c r="DH2" s="537"/>
      <c r="DI2" s="537"/>
      <c r="DJ2" s="537"/>
      <c r="DK2" s="537"/>
      <c r="DL2" s="537"/>
      <c r="DM2" s="537"/>
      <c r="DN2" s="537"/>
      <c r="DO2" s="537"/>
      <c r="DP2" s="537"/>
      <c r="DQ2" s="537"/>
      <c r="DR2" s="537"/>
      <c r="DS2" s="537"/>
      <c r="DT2" s="537"/>
      <c r="DU2" s="537"/>
      <c r="DV2" s="537"/>
      <c r="DW2" s="537"/>
      <c r="DX2" s="537"/>
      <c r="DY2" s="537"/>
      <c r="DZ2" s="537"/>
      <c r="EA2" s="537"/>
      <c r="EB2" s="537"/>
      <c r="EC2" s="537"/>
      <c r="ED2" s="537"/>
      <c r="EE2" s="537"/>
      <c r="EF2" s="537"/>
      <c r="EG2" s="537"/>
      <c r="EH2" s="537"/>
      <c r="EI2" s="537"/>
      <c r="EJ2" s="537"/>
      <c r="EK2" s="537"/>
      <c r="EL2" s="537"/>
      <c r="EM2" s="537"/>
      <c r="EN2" s="537"/>
      <c r="EO2" s="537"/>
      <c r="EP2" s="537"/>
      <c r="EQ2" s="537"/>
      <c r="ER2" s="537"/>
      <c r="ES2" s="537"/>
      <c r="ET2" s="537"/>
      <c r="EU2" s="537"/>
      <c r="EV2" s="537"/>
      <c r="EW2" s="537"/>
      <c r="EX2" s="537"/>
      <c r="EY2" s="537"/>
      <c r="EZ2" s="537"/>
      <c r="FA2" s="537"/>
      <c r="FB2" s="537"/>
      <c r="FC2" s="537"/>
      <c r="FD2" s="537"/>
      <c r="FE2" s="537"/>
      <c r="FF2" s="537"/>
      <c r="FG2" s="537"/>
      <c r="FH2" s="537"/>
      <c r="FI2" s="537"/>
      <c r="FJ2" s="537"/>
      <c r="FK2" s="537"/>
      <c r="FL2" s="537"/>
      <c r="FM2" s="537"/>
      <c r="FN2" s="537"/>
      <c r="FO2" s="537"/>
      <c r="FP2" s="537"/>
      <c r="FQ2" s="537"/>
      <c r="FR2" s="537"/>
      <c r="FS2" s="537"/>
      <c r="FT2" s="537"/>
      <c r="FU2" s="537"/>
      <c r="FV2" s="537"/>
      <c r="FW2" s="537"/>
      <c r="FX2" s="537"/>
      <c r="FY2" s="537"/>
      <c r="FZ2" s="537"/>
      <c r="GA2" s="537"/>
      <c r="GB2" s="537"/>
      <c r="GC2" s="537"/>
      <c r="GD2" s="537"/>
      <c r="GE2" s="537"/>
      <c r="GF2" s="537"/>
      <c r="GG2" s="537"/>
      <c r="GH2" s="537"/>
      <c r="GI2" s="537"/>
      <c r="GJ2" s="537"/>
      <c r="GK2" s="537"/>
      <c r="GL2" s="537"/>
      <c r="GM2" s="537"/>
      <c r="GN2" s="537"/>
      <c r="GO2" s="537"/>
      <c r="GP2" s="537"/>
      <c r="GQ2" s="537"/>
      <c r="GR2" s="537"/>
      <c r="GS2" s="537"/>
      <c r="GT2" s="537"/>
      <c r="GU2" s="537"/>
      <c r="GV2" s="537"/>
      <c r="GW2" s="537"/>
      <c r="GX2" s="537"/>
      <c r="GY2" s="537"/>
      <c r="GZ2" s="537"/>
      <c r="HA2" s="537"/>
      <c r="HB2" s="537"/>
      <c r="HC2" s="537"/>
      <c r="HD2" s="537"/>
      <c r="HE2" s="537"/>
      <c r="HF2" s="537"/>
      <c r="HG2" s="537"/>
      <c r="HH2" s="537"/>
      <c r="HI2" s="537"/>
      <c r="HJ2" s="537"/>
      <c r="HK2" s="537"/>
      <c r="HL2" s="537"/>
      <c r="HM2" s="537"/>
      <c r="HN2" s="537"/>
      <c r="HO2" s="537"/>
      <c r="HP2" s="537"/>
      <c r="HQ2" s="537"/>
      <c r="HR2" s="537"/>
      <c r="HS2" s="537"/>
      <c r="HT2" s="537"/>
      <c r="HU2" s="537"/>
      <c r="HV2" s="537"/>
      <c r="HW2" s="537"/>
      <c r="HX2" s="537"/>
      <c r="HY2" s="537"/>
      <c r="HZ2" s="537"/>
      <c r="IA2" s="537"/>
      <c r="IB2" s="537"/>
      <c r="IC2" s="537"/>
      <c r="ID2" s="537"/>
      <c r="IE2" s="537"/>
      <c r="IF2" s="537"/>
      <c r="IG2" s="537"/>
      <c r="IH2" s="537"/>
      <c r="II2" s="537"/>
      <c r="IJ2" s="537"/>
      <c r="IK2" s="537"/>
      <c r="IL2" s="537"/>
      <c r="IM2" s="537"/>
      <c r="IN2" s="537"/>
      <c r="IO2" s="537"/>
      <c r="IP2" s="537"/>
      <c r="IQ2" s="537"/>
      <c r="IR2" s="537"/>
      <c r="IS2" s="537"/>
      <c r="IT2" s="537"/>
      <c r="IU2" s="537"/>
      <c r="IV2" s="537"/>
      <c r="IW2" s="537"/>
    </row>
    <row r="3" customFormat="false" ht="15.75" hidden="false" customHeight="false" outlineLevel="0" collapsed="false">
      <c r="A3" s="539" t="s">
        <v>209</v>
      </c>
      <c r="B3" s="539"/>
      <c r="C3" s="539"/>
      <c r="D3" s="539"/>
      <c r="E3" s="539"/>
      <c r="F3" s="532"/>
      <c r="G3" s="534"/>
      <c r="H3" s="538" t="s">
        <v>193</v>
      </c>
      <c r="I3" s="538" t="n">
        <f aca="false">E250</f>
        <v>0</v>
      </c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4"/>
      <c r="AB3" s="534"/>
      <c r="AC3" s="534"/>
      <c r="AD3" s="534"/>
      <c r="AE3" s="534"/>
      <c r="AF3" s="534"/>
      <c r="AG3" s="534"/>
      <c r="AH3" s="534"/>
      <c r="AI3" s="534"/>
      <c r="AJ3" s="534"/>
      <c r="AK3" s="534"/>
      <c r="AL3" s="534"/>
      <c r="AM3" s="534"/>
      <c r="AN3" s="534"/>
      <c r="AO3" s="534"/>
      <c r="AP3" s="534"/>
      <c r="AQ3" s="534"/>
      <c r="AR3" s="534"/>
      <c r="AS3" s="534"/>
      <c r="AT3" s="534"/>
      <c r="AU3" s="534"/>
      <c r="AV3" s="534"/>
      <c r="AW3" s="534"/>
      <c r="AX3" s="534"/>
      <c r="AY3" s="534"/>
      <c r="AZ3" s="534"/>
      <c r="BA3" s="534"/>
      <c r="BB3" s="534"/>
      <c r="BC3" s="534"/>
      <c r="BD3" s="534"/>
      <c r="BE3" s="534"/>
      <c r="BF3" s="534"/>
      <c r="BG3" s="534"/>
      <c r="BH3" s="534"/>
      <c r="BI3" s="534"/>
      <c r="BJ3" s="534"/>
      <c r="BK3" s="534"/>
      <c r="BL3" s="534"/>
      <c r="BM3" s="534"/>
      <c r="BN3" s="534"/>
      <c r="BO3" s="534"/>
      <c r="BP3" s="534"/>
      <c r="BQ3" s="534"/>
      <c r="BR3" s="534"/>
      <c r="BS3" s="534"/>
      <c r="BT3" s="534"/>
      <c r="BU3" s="534"/>
      <c r="BV3" s="534"/>
      <c r="BW3" s="534"/>
      <c r="BX3" s="534"/>
      <c r="BY3" s="534"/>
      <c r="BZ3" s="534"/>
      <c r="CA3" s="534"/>
      <c r="CB3" s="534"/>
      <c r="CC3" s="534"/>
      <c r="CD3" s="534"/>
      <c r="CE3" s="534"/>
      <c r="CF3" s="534"/>
      <c r="CG3" s="534"/>
      <c r="CH3" s="534"/>
      <c r="CI3" s="534"/>
      <c r="CJ3" s="534"/>
      <c r="CK3" s="534"/>
      <c r="CL3" s="534"/>
      <c r="CM3" s="534"/>
      <c r="CN3" s="534"/>
      <c r="CO3" s="534"/>
      <c r="CP3" s="534"/>
      <c r="CQ3" s="534"/>
      <c r="CR3" s="534"/>
      <c r="CS3" s="534"/>
      <c r="CT3" s="534"/>
      <c r="CU3" s="534"/>
      <c r="CV3" s="534"/>
      <c r="CW3" s="534"/>
      <c r="CX3" s="534"/>
      <c r="CY3" s="534"/>
      <c r="CZ3" s="534"/>
      <c r="DA3" s="534"/>
      <c r="DB3" s="534"/>
      <c r="DC3" s="534"/>
      <c r="DD3" s="534"/>
      <c r="DE3" s="534"/>
      <c r="DF3" s="534"/>
      <c r="DG3" s="534"/>
      <c r="DH3" s="534"/>
      <c r="DI3" s="534"/>
      <c r="DJ3" s="534"/>
      <c r="DK3" s="534"/>
      <c r="DL3" s="534"/>
      <c r="DM3" s="534"/>
      <c r="DN3" s="534"/>
      <c r="DO3" s="534"/>
      <c r="DP3" s="534"/>
      <c r="DQ3" s="534"/>
      <c r="DR3" s="534"/>
      <c r="DS3" s="534"/>
      <c r="DT3" s="534"/>
      <c r="DU3" s="534"/>
      <c r="DV3" s="534"/>
      <c r="DW3" s="534"/>
      <c r="DX3" s="534"/>
      <c r="DY3" s="534"/>
      <c r="DZ3" s="534"/>
      <c r="EA3" s="534"/>
      <c r="EB3" s="534"/>
      <c r="EC3" s="534"/>
      <c r="ED3" s="534"/>
      <c r="EE3" s="534"/>
      <c r="EF3" s="534"/>
      <c r="EG3" s="534"/>
      <c r="EH3" s="534"/>
      <c r="EI3" s="534"/>
      <c r="EJ3" s="534"/>
      <c r="EK3" s="534"/>
      <c r="EL3" s="534"/>
      <c r="EM3" s="534"/>
      <c r="EN3" s="534"/>
      <c r="EO3" s="534"/>
      <c r="EP3" s="534"/>
      <c r="EQ3" s="534"/>
      <c r="ER3" s="534"/>
      <c r="ES3" s="534"/>
      <c r="ET3" s="534"/>
      <c r="EU3" s="534"/>
      <c r="EV3" s="534"/>
      <c r="EW3" s="534"/>
      <c r="EX3" s="534"/>
      <c r="EY3" s="534"/>
      <c r="EZ3" s="534"/>
      <c r="FA3" s="534"/>
      <c r="FB3" s="534"/>
      <c r="FC3" s="534"/>
      <c r="FD3" s="534"/>
      <c r="FE3" s="534"/>
      <c r="FF3" s="534"/>
      <c r="FG3" s="534"/>
      <c r="FH3" s="534"/>
      <c r="FI3" s="534"/>
      <c r="FJ3" s="534"/>
      <c r="FK3" s="534"/>
      <c r="FL3" s="534"/>
      <c r="FM3" s="534"/>
      <c r="FN3" s="534"/>
      <c r="FO3" s="534"/>
      <c r="FP3" s="534"/>
      <c r="FQ3" s="534"/>
      <c r="FR3" s="534"/>
      <c r="FS3" s="534"/>
      <c r="FT3" s="534"/>
      <c r="FU3" s="534"/>
      <c r="FV3" s="534"/>
      <c r="FW3" s="534"/>
      <c r="FX3" s="534"/>
      <c r="FY3" s="534"/>
      <c r="FZ3" s="534"/>
      <c r="GA3" s="534"/>
      <c r="GB3" s="534"/>
      <c r="GC3" s="534"/>
      <c r="GD3" s="534"/>
      <c r="GE3" s="534"/>
      <c r="GF3" s="534"/>
      <c r="GG3" s="534"/>
      <c r="GH3" s="534"/>
      <c r="GI3" s="534"/>
      <c r="GJ3" s="534"/>
      <c r="GK3" s="534"/>
      <c r="GL3" s="534"/>
      <c r="GM3" s="534"/>
      <c r="GN3" s="534"/>
      <c r="GO3" s="534"/>
      <c r="GP3" s="534"/>
      <c r="GQ3" s="534"/>
      <c r="GR3" s="534"/>
      <c r="GS3" s="534"/>
      <c r="GT3" s="534"/>
      <c r="GU3" s="534"/>
      <c r="GV3" s="534"/>
      <c r="GW3" s="534"/>
      <c r="GX3" s="534"/>
      <c r="GY3" s="534"/>
      <c r="GZ3" s="534"/>
      <c r="HA3" s="534"/>
      <c r="HB3" s="534"/>
      <c r="HC3" s="534"/>
      <c r="HD3" s="534"/>
      <c r="HE3" s="534"/>
      <c r="HF3" s="534"/>
      <c r="HG3" s="534"/>
      <c r="HH3" s="534"/>
      <c r="HI3" s="534"/>
      <c r="HJ3" s="534"/>
      <c r="HK3" s="534"/>
      <c r="HL3" s="534"/>
      <c r="HM3" s="534"/>
      <c r="HN3" s="534"/>
      <c r="HO3" s="534"/>
      <c r="HP3" s="534"/>
      <c r="HQ3" s="534"/>
      <c r="HR3" s="534"/>
      <c r="HS3" s="534"/>
      <c r="HT3" s="534"/>
      <c r="HU3" s="534"/>
      <c r="HV3" s="534"/>
      <c r="HW3" s="534"/>
      <c r="HX3" s="534"/>
      <c r="HY3" s="534"/>
      <c r="HZ3" s="534"/>
      <c r="IA3" s="534"/>
      <c r="IB3" s="534"/>
      <c r="IC3" s="534"/>
      <c r="ID3" s="534"/>
      <c r="IE3" s="534"/>
      <c r="IF3" s="534"/>
      <c r="IG3" s="534"/>
      <c r="IH3" s="534"/>
      <c r="II3" s="534"/>
      <c r="IJ3" s="534"/>
      <c r="IK3" s="534"/>
      <c r="IL3" s="534"/>
      <c r="IM3" s="534"/>
      <c r="IN3" s="534"/>
      <c r="IO3" s="534"/>
      <c r="IP3" s="534"/>
      <c r="IQ3" s="534"/>
      <c r="IR3" s="534"/>
      <c r="IS3" s="534"/>
      <c r="IT3" s="534"/>
      <c r="IU3" s="534"/>
      <c r="IV3" s="534"/>
      <c r="IW3" s="534"/>
    </row>
    <row r="4" customFormat="false" ht="15" hidden="false" customHeight="false" outlineLevel="0" collapsed="false">
      <c r="A4" s="540"/>
      <c r="B4" s="540"/>
      <c r="C4" s="540"/>
      <c r="D4" s="540"/>
      <c r="E4" s="540"/>
      <c r="F4" s="540"/>
      <c r="H4" s="538" t="s">
        <v>210</v>
      </c>
      <c r="I4" s="538" t="n">
        <f aca="false">I2-I3</f>
        <v>0</v>
      </c>
    </row>
    <row r="5" customFormat="false" ht="47.25" hidden="false" customHeight="true" outlineLevel="0" collapsed="false">
      <c r="A5" s="541" t="s">
        <v>211</v>
      </c>
      <c r="B5" s="541" t="s">
        <v>212</v>
      </c>
      <c r="C5" s="541" t="s">
        <v>213</v>
      </c>
      <c r="D5" s="541" t="s">
        <v>214</v>
      </c>
      <c r="E5" s="541" t="s">
        <v>215</v>
      </c>
      <c r="F5" s="542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543"/>
      <c r="V5" s="543"/>
      <c r="W5" s="543"/>
      <c r="X5" s="543"/>
      <c r="Y5" s="543"/>
      <c r="Z5" s="543"/>
      <c r="AA5" s="543"/>
      <c r="AB5" s="543"/>
      <c r="AC5" s="543"/>
      <c r="AD5" s="543"/>
      <c r="AE5" s="543"/>
      <c r="AF5" s="543"/>
      <c r="AG5" s="543"/>
      <c r="AH5" s="543"/>
      <c r="AI5" s="543"/>
      <c r="AJ5" s="543"/>
      <c r="AK5" s="543"/>
      <c r="AL5" s="543"/>
      <c r="AM5" s="543"/>
      <c r="AN5" s="543"/>
      <c r="AO5" s="543"/>
      <c r="AP5" s="543"/>
      <c r="AQ5" s="543"/>
      <c r="AR5" s="543"/>
      <c r="AS5" s="543"/>
      <c r="AT5" s="543"/>
      <c r="AU5" s="543"/>
      <c r="AV5" s="543"/>
      <c r="AW5" s="543"/>
      <c r="AX5" s="543"/>
      <c r="AY5" s="543"/>
      <c r="AZ5" s="543"/>
      <c r="BA5" s="543"/>
      <c r="BB5" s="543"/>
      <c r="BC5" s="543"/>
      <c r="BD5" s="543"/>
      <c r="BE5" s="543"/>
      <c r="BF5" s="543"/>
      <c r="BG5" s="543"/>
      <c r="BH5" s="543"/>
      <c r="BI5" s="543"/>
      <c r="BJ5" s="543"/>
      <c r="BK5" s="543"/>
      <c r="BL5" s="543"/>
      <c r="BM5" s="543"/>
      <c r="BN5" s="543"/>
      <c r="BO5" s="543"/>
      <c r="BP5" s="543"/>
      <c r="BQ5" s="543"/>
      <c r="BR5" s="543"/>
      <c r="BS5" s="543"/>
      <c r="BT5" s="543"/>
      <c r="BU5" s="543"/>
      <c r="BV5" s="543"/>
      <c r="BW5" s="543"/>
      <c r="BX5" s="543"/>
      <c r="BY5" s="543"/>
      <c r="BZ5" s="543"/>
      <c r="CA5" s="543"/>
      <c r="CB5" s="543"/>
      <c r="CC5" s="543"/>
      <c r="CD5" s="543"/>
      <c r="CE5" s="543"/>
      <c r="CF5" s="543"/>
      <c r="CG5" s="543"/>
      <c r="CH5" s="543"/>
      <c r="CI5" s="543"/>
      <c r="CJ5" s="543"/>
      <c r="CK5" s="543"/>
      <c r="CL5" s="543"/>
      <c r="CM5" s="543"/>
      <c r="CN5" s="543"/>
      <c r="CO5" s="543"/>
      <c r="CP5" s="543"/>
      <c r="CQ5" s="543"/>
      <c r="CR5" s="543"/>
      <c r="CS5" s="543"/>
      <c r="CT5" s="543"/>
      <c r="CU5" s="543"/>
      <c r="CV5" s="543"/>
      <c r="CW5" s="543"/>
      <c r="CX5" s="543"/>
      <c r="CY5" s="543"/>
      <c r="CZ5" s="543"/>
      <c r="DA5" s="543"/>
      <c r="DB5" s="543"/>
      <c r="DC5" s="543"/>
      <c r="DD5" s="543"/>
      <c r="DE5" s="543"/>
      <c r="DF5" s="543"/>
      <c r="DG5" s="543"/>
      <c r="DH5" s="543"/>
      <c r="DI5" s="543"/>
      <c r="DJ5" s="543"/>
      <c r="DK5" s="543"/>
      <c r="DL5" s="543"/>
      <c r="DM5" s="543"/>
      <c r="DN5" s="543"/>
      <c r="DO5" s="543"/>
      <c r="DP5" s="543"/>
      <c r="DQ5" s="543"/>
      <c r="DR5" s="543"/>
      <c r="DS5" s="543"/>
      <c r="DT5" s="543"/>
      <c r="DU5" s="543"/>
      <c r="DV5" s="543"/>
      <c r="DW5" s="543"/>
      <c r="DX5" s="543"/>
      <c r="DY5" s="543"/>
      <c r="DZ5" s="543"/>
      <c r="EA5" s="543"/>
      <c r="EB5" s="543"/>
      <c r="EC5" s="543"/>
      <c r="ED5" s="543"/>
      <c r="EE5" s="543"/>
      <c r="EF5" s="543"/>
      <c r="EG5" s="543"/>
      <c r="EH5" s="543"/>
      <c r="EI5" s="543"/>
      <c r="EJ5" s="543"/>
      <c r="EK5" s="543"/>
      <c r="EL5" s="543"/>
      <c r="EM5" s="543"/>
      <c r="EN5" s="543"/>
      <c r="EO5" s="543"/>
      <c r="EP5" s="543"/>
      <c r="EQ5" s="543"/>
      <c r="ER5" s="543"/>
      <c r="ES5" s="543"/>
      <c r="ET5" s="543"/>
      <c r="EU5" s="543"/>
      <c r="EV5" s="543"/>
      <c r="EW5" s="543"/>
      <c r="EX5" s="543"/>
      <c r="EY5" s="543"/>
      <c r="EZ5" s="543"/>
      <c r="FA5" s="543"/>
      <c r="FB5" s="543"/>
      <c r="FC5" s="543"/>
      <c r="FD5" s="543"/>
      <c r="FE5" s="543"/>
      <c r="FF5" s="543"/>
      <c r="FG5" s="543"/>
      <c r="FH5" s="543"/>
      <c r="FI5" s="543"/>
      <c r="FJ5" s="543"/>
      <c r="FK5" s="543"/>
      <c r="FL5" s="543"/>
      <c r="FM5" s="543"/>
      <c r="FN5" s="543"/>
      <c r="FO5" s="543"/>
      <c r="FP5" s="543"/>
      <c r="FQ5" s="543"/>
      <c r="FR5" s="543"/>
      <c r="FS5" s="543"/>
      <c r="FT5" s="543"/>
      <c r="FU5" s="543"/>
      <c r="FV5" s="543"/>
      <c r="FW5" s="543"/>
      <c r="FX5" s="543"/>
      <c r="FY5" s="543"/>
      <c r="FZ5" s="543"/>
      <c r="GA5" s="543"/>
      <c r="GB5" s="543"/>
      <c r="GC5" s="543"/>
      <c r="GD5" s="543"/>
      <c r="GE5" s="543"/>
      <c r="GF5" s="543"/>
      <c r="GG5" s="543"/>
      <c r="GH5" s="543"/>
      <c r="GI5" s="543"/>
      <c r="GJ5" s="543"/>
      <c r="GK5" s="543"/>
      <c r="GL5" s="543"/>
      <c r="GM5" s="543"/>
      <c r="GN5" s="543"/>
      <c r="GO5" s="543"/>
      <c r="GP5" s="543"/>
      <c r="GQ5" s="543"/>
      <c r="GR5" s="543"/>
      <c r="GS5" s="543"/>
      <c r="GT5" s="543"/>
      <c r="GU5" s="543"/>
      <c r="GV5" s="543"/>
      <c r="GW5" s="543"/>
      <c r="GX5" s="543"/>
      <c r="GY5" s="543"/>
      <c r="GZ5" s="543"/>
      <c r="HA5" s="543"/>
      <c r="HB5" s="543"/>
      <c r="HC5" s="543"/>
      <c r="HD5" s="543"/>
      <c r="HE5" s="543"/>
      <c r="HF5" s="543"/>
      <c r="HG5" s="543"/>
      <c r="HH5" s="543"/>
      <c r="HI5" s="543"/>
      <c r="HJ5" s="543"/>
      <c r="HK5" s="543"/>
      <c r="HL5" s="543"/>
      <c r="HM5" s="543"/>
      <c r="HN5" s="543"/>
      <c r="HO5" s="543"/>
      <c r="HP5" s="543"/>
      <c r="HQ5" s="543"/>
      <c r="HR5" s="543"/>
      <c r="HS5" s="543"/>
      <c r="HT5" s="543"/>
      <c r="HU5" s="543"/>
      <c r="HV5" s="543"/>
      <c r="HW5" s="543"/>
      <c r="HX5" s="543"/>
      <c r="HY5" s="543"/>
      <c r="HZ5" s="543"/>
      <c r="IA5" s="543"/>
      <c r="IB5" s="543"/>
      <c r="IC5" s="543"/>
      <c r="ID5" s="543"/>
      <c r="IE5" s="543"/>
      <c r="IF5" s="543"/>
      <c r="IG5" s="543"/>
      <c r="IH5" s="543"/>
      <c r="II5" s="543"/>
      <c r="IJ5" s="543"/>
      <c r="IK5" s="543"/>
      <c r="IL5" s="543"/>
      <c r="IM5" s="543"/>
      <c r="IN5" s="543"/>
      <c r="IO5" s="543"/>
      <c r="IP5" s="543"/>
      <c r="IQ5" s="543"/>
      <c r="IR5" s="543"/>
      <c r="IS5" s="543"/>
      <c r="IT5" s="543"/>
      <c r="IU5" s="543"/>
      <c r="IV5" s="543"/>
      <c r="IW5" s="543"/>
    </row>
    <row r="6" customFormat="false" ht="18" hidden="false" customHeight="true" outlineLevel="0" collapsed="false">
      <c r="A6" s="544" t="n">
        <v>1</v>
      </c>
      <c r="B6" s="180"/>
      <c r="C6" s="181"/>
      <c r="D6" s="182"/>
      <c r="E6" s="183"/>
      <c r="F6" s="540"/>
    </row>
    <row r="7" customFormat="false" ht="18" hidden="false" customHeight="true" outlineLevel="0" collapsed="false">
      <c r="A7" s="544" t="n">
        <v>2</v>
      </c>
      <c r="B7" s="180"/>
      <c r="C7" s="181"/>
      <c r="D7" s="182"/>
      <c r="E7" s="183"/>
      <c r="F7" s="540"/>
      <c r="H7" s="232"/>
      <c r="I7" s="545"/>
      <c r="J7" s="546"/>
    </row>
    <row r="8" customFormat="false" ht="18" hidden="false" customHeight="true" outlineLevel="0" collapsed="false">
      <c r="A8" s="544" t="n">
        <v>3</v>
      </c>
      <c r="B8" s="180"/>
      <c r="C8" s="181"/>
      <c r="D8" s="182"/>
      <c r="E8" s="183"/>
      <c r="F8" s="540"/>
      <c r="H8" s="232"/>
      <c r="I8" s="545"/>
      <c r="J8" s="546"/>
    </row>
    <row r="9" customFormat="false" ht="18" hidden="false" customHeight="true" outlineLevel="0" collapsed="false">
      <c r="A9" s="544" t="n">
        <v>4</v>
      </c>
      <c r="B9" s="180"/>
      <c r="C9" s="181"/>
      <c r="D9" s="182"/>
      <c r="E9" s="183"/>
      <c r="F9" s="540"/>
      <c r="H9" s="232"/>
      <c r="I9" s="545"/>
      <c r="J9" s="546"/>
    </row>
    <row r="10" customFormat="false" ht="18" hidden="false" customHeight="true" outlineLevel="0" collapsed="false">
      <c r="A10" s="544" t="n">
        <v>5</v>
      </c>
      <c r="B10" s="180"/>
      <c r="C10" s="181"/>
      <c r="D10" s="182"/>
      <c r="E10" s="183"/>
      <c r="F10" s="540"/>
      <c r="H10" s="232"/>
      <c r="I10" s="545"/>
      <c r="J10" s="546"/>
    </row>
    <row r="11" customFormat="false" ht="18" hidden="false" customHeight="true" outlineLevel="0" collapsed="false">
      <c r="A11" s="544" t="n">
        <v>6</v>
      </c>
      <c r="B11" s="180"/>
      <c r="C11" s="181"/>
      <c r="D11" s="182"/>
      <c r="E11" s="183"/>
      <c r="F11" s="540"/>
      <c r="H11" s="232"/>
      <c r="I11" s="545"/>
      <c r="J11" s="546"/>
    </row>
    <row r="12" customFormat="false" ht="18" hidden="false" customHeight="true" outlineLevel="0" collapsed="false">
      <c r="A12" s="544" t="n">
        <v>7</v>
      </c>
      <c r="B12" s="180"/>
      <c r="C12" s="181"/>
      <c r="D12" s="182"/>
      <c r="E12" s="183"/>
      <c r="F12" s="540"/>
      <c r="H12" s="232"/>
      <c r="I12" s="547"/>
      <c r="J12" s="548"/>
      <c r="K12" s="549"/>
      <c r="L12" s="549"/>
    </row>
    <row r="13" customFormat="false" ht="18" hidden="false" customHeight="true" outlineLevel="0" collapsed="false">
      <c r="A13" s="544" t="n">
        <v>8</v>
      </c>
      <c r="B13" s="180"/>
      <c r="C13" s="181"/>
      <c r="D13" s="182"/>
      <c r="E13" s="183"/>
      <c r="F13" s="540"/>
      <c r="H13" s="232"/>
      <c r="I13" s="547"/>
      <c r="J13" s="548"/>
      <c r="K13" s="549"/>
      <c r="L13" s="549"/>
    </row>
    <row r="14" customFormat="false" ht="18" hidden="false" customHeight="true" outlineLevel="0" collapsed="false">
      <c r="A14" s="544" t="n">
        <v>9</v>
      </c>
      <c r="B14" s="180"/>
      <c r="C14" s="181"/>
      <c r="D14" s="182"/>
      <c r="E14" s="183"/>
      <c r="F14" s="540"/>
      <c r="H14" s="232"/>
      <c r="I14" s="547"/>
      <c r="J14" s="548"/>
      <c r="K14" s="549"/>
      <c r="L14" s="549"/>
    </row>
    <row r="15" customFormat="false" ht="18" hidden="false" customHeight="true" outlineLevel="0" collapsed="false">
      <c r="A15" s="544" t="n">
        <v>10</v>
      </c>
      <c r="B15" s="180"/>
      <c r="C15" s="181"/>
      <c r="D15" s="182"/>
      <c r="E15" s="183"/>
      <c r="F15" s="540"/>
      <c r="H15" s="232"/>
      <c r="I15" s="547"/>
      <c r="J15" s="548"/>
      <c r="K15" s="549"/>
      <c r="L15" s="549"/>
    </row>
    <row r="16" customFormat="false" ht="18" hidden="false" customHeight="true" outlineLevel="0" collapsed="false">
      <c r="A16" s="544" t="n">
        <v>11</v>
      </c>
      <c r="B16" s="180"/>
      <c r="C16" s="181"/>
      <c r="D16" s="182"/>
      <c r="E16" s="183"/>
      <c r="F16" s="540"/>
      <c r="H16" s="232"/>
      <c r="I16" s="547"/>
      <c r="J16" s="548"/>
      <c r="K16" s="549"/>
      <c r="L16" s="549"/>
    </row>
    <row r="17" customFormat="false" ht="18" hidden="false" customHeight="true" outlineLevel="0" collapsed="false">
      <c r="A17" s="544" t="n">
        <v>12</v>
      </c>
      <c r="B17" s="180"/>
      <c r="C17" s="181"/>
      <c r="D17" s="182"/>
      <c r="E17" s="183"/>
      <c r="F17" s="550"/>
      <c r="G17" s="551"/>
      <c r="H17" s="232"/>
      <c r="I17" s="547"/>
      <c r="J17" s="548"/>
      <c r="K17" s="549"/>
      <c r="L17" s="549"/>
      <c r="M17" s="551"/>
      <c r="N17" s="551"/>
      <c r="O17" s="551"/>
      <c r="P17" s="551"/>
      <c r="Q17" s="551"/>
      <c r="R17" s="551"/>
      <c r="S17" s="551"/>
      <c r="T17" s="551"/>
      <c r="U17" s="551"/>
      <c r="V17" s="551"/>
      <c r="W17" s="551"/>
      <c r="X17" s="551"/>
      <c r="Y17" s="551"/>
      <c r="Z17" s="551"/>
      <c r="AA17" s="551"/>
      <c r="AB17" s="551"/>
      <c r="AC17" s="551"/>
      <c r="AD17" s="551"/>
      <c r="AE17" s="551"/>
      <c r="AF17" s="551"/>
      <c r="AG17" s="551"/>
      <c r="AH17" s="551"/>
      <c r="AI17" s="551"/>
      <c r="AJ17" s="551"/>
      <c r="AK17" s="551"/>
      <c r="AL17" s="551"/>
      <c r="AM17" s="551"/>
      <c r="AN17" s="551"/>
      <c r="AO17" s="551"/>
      <c r="AP17" s="551"/>
      <c r="AQ17" s="551"/>
      <c r="AR17" s="551"/>
      <c r="AS17" s="551"/>
      <c r="AT17" s="551"/>
      <c r="AU17" s="551"/>
      <c r="AV17" s="551"/>
      <c r="AW17" s="551"/>
      <c r="AX17" s="551"/>
      <c r="AY17" s="551"/>
      <c r="AZ17" s="551"/>
      <c r="BA17" s="551"/>
      <c r="BB17" s="551"/>
      <c r="BC17" s="551"/>
      <c r="BD17" s="551"/>
      <c r="BE17" s="551"/>
      <c r="BF17" s="551"/>
      <c r="BG17" s="551"/>
      <c r="BH17" s="551"/>
      <c r="BI17" s="551"/>
      <c r="BJ17" s="551"/>
      <c r="BK17" s="551"/>
      <c r="BL17" s="551"/>
      <c r="BM17" s="551"/>
      <c r="BN17" s="551"/>
      <c r="BO17" s="551"/>
      <c r="BP17" s="551"/>
      <c r="BQ17" s="551"/>
      <c r="BR17" s="551"/>
      <c r="BS17" s="551"/>
      <c r="BT17" s="551"/>
      <c r="BU17" s="551"/>
      <c r="BV17" s="551"/>
      <c r="BW17" s="551"/>
      <c r="BX17" s="551"/>
      <c r="BY17" s="551"/>
      <c r="BZ17" s="551"/>
      <c r="CA17" s="551"/>
      <c r="CB17" s="551"/>
      <c r="CC17" s="551"/>
      <c r="CD17" s="551"/>
      <c r="CE17" s="551"/>
      <c r="CF17" s="551"/>
      <c r="CG17" s="551"/>
      <c r="CH17" s="551"/>
      <c r="CI17" s="551"/>
      <c r="CJ17" s="551"/>
      <c r="CK17" s="551"/>
      <c r="CL17" s="551"/>
      <c r="CM17" s="551"/>
      <c r="CN17" s="551"/>
      <c r="CO17" s="551"/>
      <c r="CP17" s="551"/>
      <c r="CQ17" s="551"/>
      <c r="CR17" s="551"/>
      <c r="CS17" s="551"/>
      <c r="CT17" s="551"/>
      <c r="CU17" s="551"/>
      <c r="CV17" s="551"/>
      <c r="CW17" s="551"/>
      <c r="CX17" s="551"/>
      <c r="CY17" s="551"/>
      <c r="CZ17" s="551"/>
      <c r="DA17" s="551"/>
      <c r="DB17" s="551"/>
      <c r="DC17" s="551"/>
      <c r="DD17" s="551"/>
      <c r="DE17" s="551"/>
      <c r="DF17" s="551"/>
      <c r="DG17" s="551"/>
      <c r="DH17" s="551"/>
      <c r="DI17" s="551"/>
      <c r="DJ17" s="551"/>
      <c r="DK17" s="551"/>
      <c r="DL17" s="551"/>
      <c r="DM17" s="551"/>
      <c r="DN17" s="551"/>
      <c r="DO17" s="551"/>
      <c r="DP17" s="551"/>
      <c r="DQ17" s="551"/>
      <c r="DR17" s="551"/>
      <c r="DS17" s="551"/>
      <c r="DT17" s="551"/>
      <c r="DU17" s="551"/>
      <c r="DV17" s="551"/>
      <c r="DW17" s="551"/>
      <c r="DX17" s="551"/>
      <c r="DY17" s="551"/>
      <c r="DZ17" s="551"/>
      <c r="EA17" s="551"/>
      <c r="EB17" s="551"/>
      <c r="EC17" s="551"/>
      <c r="ED17" s="551"/>
      <c r="EE17" s="551"/>
      <c r="EF17" s="551"/>
      <c r="EG17" s="551"/>
      <c r="EH17" s="551"/>
      <c r="EI17" s="551"/>
      <c r="EJ17" s="551"/>
      <c r="EK17" s="551"/>
      <c r="EL17" s="551"/>
      <c r="EM17" s="551"/>
      <c r="EN17" s="551"/>
      <c r="EO17" s="551"/>
      <c r="EP17" s="551"/>
      <c r="EQ17" s="551"/>
      <c r="ER17" s="551"/>
      <c r="ES17" s="551"/>
      <c r="ET17" s="551"/>
      <c r="EU17" s="551"/>
      <c r="EV17" s="551"/>
      <c r="EW17" s="551"/>
      <c r="EX17" s="551"/>
      <c r="EY17" s="551"/>
      <c r="EZ17" s="551"/>
      <c r="FA17" s="551"/>
      <c r="FB17" s="551"/>
      <c r="FC17" s="551"/>
      <c r="FD17" s="551"/>
      <c r="FE17" s="551"/>
      <c r="FF17" s="551"/>
      <c r="FG17" s="551"/>
      <c r="FH17" s="551"/>
      <c r="FI17" s="551"/>
      <c r="FJ17" s="551"/>
      <c r="FK17" s="551"/>
      <c r="FL17" s="551"/>
      <c r="FM17" s="551"/>
      <c r="FN17" s="551"/>
      <c r="FO17" s="551"/>
      <c r="FP17" s="551"/>
      <c r="FQ17" s="551"/>
      <c r="FR17" s="551"/>
      <c r="FS17" s="551"/>
      <c r="FT17" s="551"/>
      <c r="FU17" s="551"/>
      <c r="FV17" s="551"/>
      <c r="FW17" s="551"/>
      <c r="FX17" s="551"/>
      <c r="FY17" s="551"/>
      <c r="FZ17" s="551"/>
      <c r="GA17" s="551"/>
      <c r="GB17" s="551"/>
      <c r="GC17" s="551"/>
      <c r="GD17" s="551"/>
      <c r="GE17" s="551"/>
      <c r="GF17" s="551"/>
      <c r="GG17" s="551"/>
      <c r="GH17" s="551"/>
      <c r="GI17" s="551"/>
      <c r="GJ17" s="551"/>
      <c r="GK17" s="551"/>
      <c r="GL17" s="551"/>
      <c r="GM17" s="551"/>
      <c r="GN17" s="551"/>
      <c r="GO17" s="551"/>
      <c r="GP17" s="551"/>
      <c r="GQ17" s="551"/>
      <c r="GR17" s="551"/>
      <c r="GS17" s="551"/>
      <c r="GT17" s="551"/>
      <c r="GU17" s="551"/>
      <c r="GV17" s="551"/>
      <c r="GW17" s="551"/>
      <c r="GX17" s="551"/>
      <c r="GY17" s="551"/>
      <c r="GZ17" s="551"/>
      <c r="HA17" s="551"/>
      <c r="HB17" s="551"/>
      <c r="HC17" s="551"/>
      <c r="HD17" s="551"/>
      <c r="HE17" s="551"/>
      <c r="HF17" s="551"/>
      <c r="HG17" s="551"/>
      <c r="HH17" s="551"/>
      <c r="HI17" s="551"/>
      <c r="HJ17" s="551"/>
      <c r="HK17" s="551"/>
      <c r="HL17" s="551"/>
      <c r="HM17" s="551"/>
      <c r="HN17" s="551"/>
      <c r="HO17" s="551"/>
      <c r="HP17" s="551"/>
      <c r="HQ17" s="551"/>
      <c r="HR17" s="551"/>
      <c r="HS17" s="551"/>
      <c r="HT17" s="551"/>
      <c r="HU17" s="551"/>
      <c r="HV17" s="551"/>
      <c r="HW17" s="551"/>
      <c r="HX17" s="551"/>
      <c r="HY17" s="551"/>
      <c r="HZ17" s="551"/>
      <c r="IA17" s="551"/>
      <c r="IB17" s="551"/>
      <c r="IC17" s="551"/>
      <c r="ID17" s="551"/>
      <c r="IE17" s="551"/>
      <c r="IF17" s="551"/>
      <c r="IG17" s="551"/>
      <c r="IH17" s="551"/>
      <c r="II17" s="551"/>
      <c r="IJ17" s="551"/>
      <c r="IK17" s="551"/>
      <c r="IL17" s="551"/>
      <c r="IM17" s="551"/>
      <c r="IN17" s="551"/>
      <c r="IO17" s="551"/>
      <c r="IP17" s="551"/>
      <c r="IQ17" s="551"/>
      <c r="IR17" s="551"/>
      <c r="IS17" s="551"/>
      <c r="IT17" s="551"/>
      <c r="IU17" s="551"/>
      <c r="IV17" s="551"/>
      <c r="IW17" s="551"/>
    </row>
    <row r="18" customFormat="false" ht="18" hidden="false" customHeight="true" outlineLevel="0" collapsed="false">
      <c r="A18" s="544" t="n">
        <v>13</v>
      </c>
      <c r="B18" s="180"/>
      <c r="C18" s="181"/>
      <c r="D18" s="182"/>
      <c r="E18" s="183"/>
      <c r="F18" s="540"/>
      <c r="H18" s="232"/>
      <c r="I18" s="547"/>
      <c r="J18" s="548"/>
      <c r="K18" s="549"/>
      <c r="L18" s="549"/>
    </row>
    <row r="19" customFormat="false" ht="18" hidden="false" customHeight="true" outlineLevel="0" collapsed="false">
      <c r="A19" s="544" t="n">
        <v>14</v>
      </c>
      <c r="B19" s="180"/>
      <c r="C19" s="181"/>
      <c r="D19" s="182"/>
      <c r="E19" s="183"/>
      <c r="F19" s="540"/>
      <c r="H19" s="232"/>
      <c r="I19" s="547"/>
      <c r="J19" s="548"/>
      <c r="K19" s="549"/>
      <c r="L19" s="549"/>
    </row>
    <row r="20" customFormat="false" ht="18" hidden="false" customHeight="true" outlineLevel="0" collapsed="false">
      <c r="A20" s="544" t="n">
        <v>15</v>
      </c>
      <c r="B20" s="180"/>
      <c r="C20" s="181"/>
      <c r="D20" s="182"/>
      <c r="E20" s="183"/>
      <c r="F20" s="540"/>
      <c r="H20" s="232"/>
      <c r="I20" s="547"/>
      <c r="J20" s="548"/>
      <c r="K20" s="549"/>
      <c r="L20" s="549"/>
    </row>
    <row r="21" customFormat="false" ht="18" hidden="false" customHeight="true" outlineLevel="0" collapsed="false">
      <c r="A21" s="544" t="n">
        <v>16</v>
      </c>
      <c r="B21" s="180"/>
      <c r="C21" s="181"/>
      <c r="D21" s="182"/>
      <c r="E21" s="183"/>
      <c r="F21" s="540"/>
      <c r="H21" s="552"/>
      <c r="I21" s="547"/>
      <c r="J21" s="548"/>
      <c r="K21" s="549"/>
      <c r="L21" s="549"/>
    </row>
    <row r="22" customFormat="false" ht="18" hidden="false" customHeight="true" outlineLevel="0" collapsed="false">
      <c r="A22" s="544" t="n">
        <v>17</v>
      </c>
      <c r="B22" s="180"/>
      <c r="C22" s="181"/>
      <c r="D22" s="182"/>
      <c r="E22" s="183"/>
      <c r="F22" s="540"/>
      <c r="H22" s="232"/>
      <c r="I22" s="547"/>
      <c r="J22" s="548"/>
      <c r="K22" s="549"/>
      <c r="L22" s="549"/>
    </row>
    <row r="23" customFormat="false" ht="18" hidden="false" customHeight="true" outlineLevel="0" collapsed="false">
      <c r="A23" s="544" t="n">
        <v>18</v>
      </c>
      <c r="B23" s="180"/>
      <c r="C23" s="181"/>
      <c r="D23" s="182"/>
      <c r="E23" s="183"/>
      <c r="F23" s="540"/>
      <c r="H23" s="552"/>
      <c r="I23" s="547"/>
      <c r="J23" s="548"/>
      <c r="K23" s="549"/>
      <c r="L23" s="549"/>
    </row>
    <row r="24" customFormat="false" ht="18" hidden="false" customHeight="true" outlineLevel="0" collapsed="false">
      <c r="A24" s="544" t="n">
        <v>19</v>
      </c>
      <c r="B24" s="180"/>
      <c r="C24" s="181"/>
      <c r="D24" s="182"/>
      <c r="E24" s="183"/>
      <c r="F24" s="540"/>
      <c r="H24" s="232"/>
      <c r="I24" s="547"/>
      <c r="J24" s="548"/>
      <c r="K24" s="549"/>
      <c r="L24" s="549"/>
    </row>
    <row r="25" customFormat="false" ht="18" hidden="false" customHeight="true" outlineLevel="0" collapsed="false">
      <c r="A25" s="544" t="n">
        <v>20</v>
      </c>
      <c r="B25" s="180"/>
      <c r="C25" s="181"/>
      <c r="D25" s="182"/>
      <c r="E25" s="183"/>
      <c r="F25" s="540"/>
      <c r="H25" s="232"/>
      <c r="I25" s="547"/>
      <c r="J25" s="548"/>
      <c r="K25" s="549"/>
      <c r="L25" s="549"/>
    </row>
    <row r="26" customFormat="false" ht="18" hidden="false" customHeight="true" outlineLevel="0" collapsed="false">
      <c r="A26" s="544" t="n">
        <v>21</v>
      </c>
      <c r="B26" s="180"/>
      <c r="C26" s="181"/>
      <c r="D26" s="182"/>
      <c r="E26" s="183"/>
      <c r="F26" s="540"/>
      <c r="H26" s="232"/>
      <c r="I26" s="547"/>
      <c r="J26" s="548"/>
      <c r="K26" s="549"/>
      <c r="L26" s="549"/>
    </row>
    <row r="27" customFormat="false" ht="18" hidden="false" customHeight="true" outlineLevel="0" collapsed="false">
      <c r="A27" s="544" t="n">
        <v>22</v>
      </c>
      <c r="B27" s="180"/>
      <c r="C27" s="181"/>
      <c r="D27" s="182"/>
      <c r="E27" s="183"/>
      <c r="F27" s="540"/>
      <c r="H27" s="232"/>
      <c r="I27" s="547"/>
      <c r="J27" s="548"/>
      <c r="K27" s="549"/>
      <c r="L27" s="549"/>
    </row>
    <row r="28" customFormat="false" ht="18" hidden="false" customHeight="true" outlineLevel="0" collapsed="false">
      <c r="A28" s="544" t="n">
        <v>23</v>
      </c>
      <c r="B28" s="180"/>
      <c r="C28" s="181"/>
      <c r="D28" s="182"/>
      <c r="E28" s="183"/>
      <c r="F28" s="540"/>
      <c r="H28" s="232"/>
      <c r="I28" s="547"/>
      <c r="J28" s="548"/>
      <c r="K28" s="549"/>
      <c r="L28" s="549"/>
    </row>
    <row r="29" customFormat="false" ht="18" hidden="false" customHeight="true" outlineLevel="0" collapsed="false">
      <c r="A29" s="544" t="n">
        <v>24</v>
      </c>
      <c r="B29" s="180"/>
      <c r="C29" s="181"/>
      <c r="D29" s="182"/>
      <c r="E29" s="183"/>
      <c r="F29" s="540"/>
      <c r="H29" s="232"/>
      <c r="I29" s="547"/>
      <c r="J29" s="548"/>
      <c r="K29" s="549"/>
      <c r="L29" s="549"/>
    </row>
    <row r="30" customFormat="false" ht="18" hidden="false" customHeight="true" outlineLevel="0" collapsed="false">
      <c r="A30" s="544" t="n">
        <v>25</v>
      </c>
      <c r="B30" s="180"/>
      <c r="C30" s="181"/>
      <c r="D30" s="182"/>
      <c r="E30" s="183"/>
      <c r="F30" s="540"/>
      <c r="H30" s="232"/>
      <c r="I30" s="547"/>
      <c r="J30" s="548"/>
      <c r="K30" s="549"/>
      <c r="L30" s="549"/>
    </row>
    <row r="31" customFormat="false" ht="18" hidden="false" customHeight="true" outlineLevel="0" collapsed="false">
      <c r="A31" s="544" t="n">
        <v>26</v>
      </c>
      <c r="B31" s="180"/>
      <c r="C31" s="181"/>
      <c r="D31" s="182"/>
      <c r="E31" s="183"/>
      <c r="F31" s="540"/>
      <c r="H31" s="232"/>
      <c r="I31" s="547"/>
      <c r="J31" s="548"/>
      <c r="K31" s="549"/>
      <c r="L31" s="549"/>
    </row>
    <row r="32" customFormat="false" ht="18" hidden="false" customHeight="true" outlineLevel="0" collapsed="false">
      <c r="A32" s="544" t="n">
        <v>27</v>
      </c>
      <c r="B32" s="180"/>
      <c r="C32" s="181"/>
      <c r="D32" s="182"/>
      <c r="E32" s="183"/>
      <c r="F32" s="540"/>
      <c r="H32" s="232"/>
      <c r="I32" s="547"/>
      <c r="J32" s="548"/>
      <c r="K32" s="549"/>
      <c r="L32" s="549"/>
    </row>
    <row r="33" customFormat="false" ht="18" hidden="false" customHeight="true" outlineLevel="0" collapsed="false">
      <c r="A33" s="544" t="n">
        <v>28</v>
      </c>
      <c r="B33" s="180"/>
      <c r="C33" s="181"/>
      <c r="D33" s="182"/>
      <c r="E33" s="183"/>
      <c r="F33" s="540"/>
      <c r="H33" s="232"/>
      <c r="I33" s="547"/>
      <c r="J33" s="548"/>
      <c r="K33" s="549"/>
      <c r="L33" s="549"/>
    </row>
    <row r="34" customFormat="false" ht="18" hidden="false" customHeight="true" outlineLevel="0" collapsed="false">
      <c r="A34" s="544" t="n">
        <v>29</v>
      </c>
      <c r="B34" s="180"/>
      <c r="C34" s="181"/>
      <c r="D34" s="182"/>
      <c r="E34" s="183"/>
      <c r="F34" s="540"/>
      <c r="H34" s="232"/>
      <c r="I34" s="547"/>
      <c r="J34" s="548"/>
      <c r="K34" s="549"/>
      <c r="L34" s="549"/>
    </row>
    <row r="35" customFormat="false" ht="18" hidden="false" customHeight="true" outlineLevel="0" collapsed="false">
      <c r="A35" s="544" t="n">
        <v>30</v>
      </c>
      <c r="B35" s="180"/>
      <c r="C35" s="181"/>
      <c r="D35" s="182"/>
      <c r="E35" s="183"/>
      <c r="F35" s="540"/>
      <c r="H35" s="232"/>
      <c r="I35" s="547"/>
      <c r="J35" s="548"/>
      <c r="K35" s="549"/>
      <c r="L35" s="549"/>
    </row>
    <row r="36" customFormat="false" ht="18" hidden="false" customHeight="true" outlineLevel="0" collapsed="false">
      <c r="A36" s="544" t="n">
        <v>31</v>
      </c>
      <c r="B36" s="180"/>
      <c r="C36" s="181"/>
      <c r="D36" s="182"/>
      <c r="E36" s="183"/>
      <c r="F36" s="540"/>
      <c r="H36" s="232"/>
      <c r="I36" s="547"/>
      <c r="J36" s="548"/>
      <c r="K36" s="549"/>
      <c r="L36" s="549"/>
    </row>
    <row r="37" customFormat="false" ht="18" hidden="false" customHeight="true" outlineLevel="0" collapsed="false">
      <c r="A37" s="544" t="n">
        <v>32</v>
      </c>
      <c r="B37" s="180"/>
      <c r="C37" s="181"/>
      <c r="D37" s="182"/>
      <c r="E37" s="183"/>
      <c r="F37" s="540"/>
      <c r="H37" s="232"/>
      <c r="I37" s="547"/>
      <c r="J37" s="548"/>
      <c r="K37" s="549"/>
      <c r="L37" s="549"/>
    </row>
    <row r="38" customFormat="false" ht="18" hidden="false" customHeight="true" outlineLevel="0" collapsed="false">
      <c r="A38" s="544" t="n">
        <v>33</v>
      </c>
      <c r="B38" s="180"/>
      <c r="C38" s="181"/>
      <c r="D38" s="182"/>
      <c r="E38" s="183"/>
      <c r="F38" s="540"/>
      <c r="H38" s="552"/>
      <c r="I38" s="547"/>
      <c r="J38" s="548"/>
      <c r="K38" s="549"/>
      <c r="L38" s="549"/>
    </row>
    <row r="39" customFormat="false" ht="18" hidden="false" customHeight="true" outlineLevel="0" collapsed="false">
      <c r="A39" s="544" t="n">
        <v>34</v>
      </c>
      <c r="B39" s="180"/>
      <c r="C39" s="181"/>
      <c r="D39" s="182"/>
      <c r="E39" s="183"/>
      <c r="F39" s="540"/>
      <c r="H39" s="232"/>
      <c r="I39" s="547"/>
      <c r="J39" s="548"/>
      <c r="K39" s="549"/>
      <c r="L39" s="549"/>
    </row>
    <row r="40" customFormat="false" ht="18" hidden="false" customHeight="true" outlineLevel="0" collapsed="false">
      <c r="A40" s="544" t="n">
        <v>35</v>
      </c>
      <c r="B40" s="180"/>
      <c r="C40" s="181"/>
      <c r="D40" s="182"/>
      <c r="E40" s="183"/>
      <c r="F40" s="540"/>
      <c r="H40" s="232"/>
      <c r="I40" s="547"/>
      <c r="J40" s="548"/>
      <c r="K40" s="549"/>
      <c r="L40" s="549"/>
    </row>
    <row r="41" customFormat="false" ht="18" hidden="false" customHeight="true" outlineLevel="0" collapsed="false">
      <c r="A41" s="544" t="n">
        <v>36</v>
      </c>
      <c r="B41" s="180"/>
      <c r="C41" s="181"/>
      <c r="D41" s="182"/>
      <c r="E41" s="183"/>
      <c r="F41" s="540"/>
      <c r="I41" s="547"/>
      <c r="J41" s="548"/>
      <c r="K41" s="549"/>
      <c r="L41" s="549"/>
    </row>
    <row r="42" customFormat="false" ht="18" hidden="false" customHeight="true" outlineLevel="0" collapsed="false">
      <c r="A42" s="544" t="n">
        <v>37</v>
      </c>
      <c r="B42" s="180"/>
      <c r="C42" s="181"/>
      <c r="D42" s="182"/>
      <c r="E42" s="183"/>
      <c r="F42" s="540"/>
      <c r="H42" s="232"/>
      <c r="I42" s="547"/>
      <c r="J42" s="548"/>
      <c r="K42" s="549"/>
      <c r="L42" s="549"/>
    </row>
    <row r="43" customFormat="false" ht="18" hidden="false" customHeight="true" outlineLevel="0" collapsed="false">
      <c r="A43" s="544" t="n">
        <v>38</v>
      </c>
      <c r="B43" s="180"/>
      <c r="C43" s="181"/>
      <c r="D43" s="182"/>
      <c r="E43" s="183"/>
      <c r="F43" s="540"/>
      <c r="H43" s="232"/>
      <c r="I43" s="547"/>
      <c r="J43" s="548"/>
      <c r="K43" s="549"/>
      <c r="L43" s="549"/>
    </row>
    <row r="44" customFormat="false" ht="18" hidden="false" customHeight="true" outlineLevel="0" collapsed="false">
      <c r="A44" s="544" t="n">
        <v>39</v>
      </c>
      <c r="B44" s="180"/>
      <c r="C44" s="181"/>
      <c r="D44" s="182"/>
      <c r="E44" s="183"/>
      <c r="F44" s="540"/>
      <c r="H44" s="232"/>
      <c r="I44" s="547"/>
      <c r="J44" s="548"/>
      <c r="K44" s="549"/>
      <c r="L44" s="549"/>
    </row>
    <row r="45" customFormat="false" ht="18" hidden="false" customHeight="true" outlineLevel="0" collapsed="false">
      <c r="A45" s="544" t="n">
        <v>40</v>
      </c>
      <c r="B45" s="180"/>
      <c r="C45" s="181"/>
      <c r="D45" s="182"/>
      <c r="E45" s="183"/>
      <c r="F45" s="540"/>
      <c r="H45" s="232"/>
      <c r="I45" s="547"/>
      <c r="J45" s="548"/>
      <c r="K45" s="549"/>
      <c r="L45" s="549"/>
    </row>
    <row r="46" customFormat="false" ht="18" hidden="false" customHeight="true" outlineLevel="0" collapsed="false">
      <c r="A46" s="544" t="n">
        <v>41</v>
      </c>
      <c r="B46" s="180"/>
      <c r="C46" s="181"/>
      <c r="D46" s="182"/>
      <c r="E46" s="183"/>
      <c r="F46" s="540"/>
      <c r="H46" s="232"/>
      <c r="I46" s="547"/>
      <c r="J46" s="548"/>
      <c r="K46" s="549"/>
      <c r="L46" s="549"/>
    </row>
    <row r="47" customFormat="false" ht="18" hidden="false" customHeight="true" outlineLevel="0" collapsed="false">
      <c r="A47" s="544" t="n">
        <v>42</v>
      </c>
      <c r="B47" s="180"/>
      <c r="C47" s="181"/>
      <c r="D47" s="182"/>
      <c r="E47" s="183"/>
      <c r="F47" s="540"/>
      <c r="H47" s="232"/>
      <c r="I47" s="547"/>
      <c r="J47" s="548"/>
      <c r="K47" s="549"/>
      <c r="L47" s="549"/>
    </row>
    <row r="48" customFormat="false" ht="18" hidden="false" customHeight="true" outlineLevel="0" collapsed="false">
      <c r="A48" s="544" t="n">
        <v>43</v>
      </c>
      <c r="B48" s="180"/>
      <c r="C48" s="181"/>
      <c r="D48" s="182"/>
      <c r="E48" s="183"/>
      <c r="F48" s="540"/>
      <c r="H48" s="232"/>
      <c r="I48" s="547"/>
      <c r="J48" s="548"/>
      <c r="K48" s="549"/>
      <c r="L48" s="549"/>
    </row>
    <row r="49" customFormat="false" ht="18" hidden="false" customHeight="true" outlineLevel="0" collapsed="false">
      <c r="A49" s="544" t="n">
        <v>44</v>
      </c>
      <c r="B49" s="180"/>
      <c r="C49" s="181"/>
      <c r="D49" s="182"/>
      <c r="E49" s="183"/>
      <c r="F49" s="540"/>
      <c r="H49" s="232"/>
      <c r="I49" s="547"/>
      <c r="J49" s="548"/>
      <c r="K49" s="549"/>
      <c r="L49" s="549"/>
    </row>
    <row r="50" customFormat="false" ht="18" hidden="false" customHeight="true" outlineLevel="0" collapsed="false">
      <c r="A50" s="544" t="n">
        <v>45</v>
      </c>
      <c r="B50" s="180"/>
      <c r="C50" s="181"/>
      <c r="D50" s="182"/>
      <c r="E50" s="183"/>
      <c r="F50" s="540"/>
      <c r="H50" s="232"/>
      <c r="I50" s="547"/>
      <c r="J50" s="548"/>
      <c r="K50" s="549"/>
      <c r="L50" s="549"/>
    </row>
    <row r="51" customFormat="false" ht="18" hidden="false" customHeight="true" outlineLevel="0" collapsed="false">
      <c r="A51" s="544" t="n">
        <v>46</v>
      </c>
      <c r="B51" s="180"/>
      <c r="C51" s="181"/>
      <c r="D51" s="182"/>
      <c r="E51" s="183"/>
      <c r="F51" s="540"/>
      <c r="H51" s="232"/>
      <c r="I51" s="547"/>
      <c r="J51" s="548"/>
      <c r="K51" s="549"/>
      <c r="L51" s="549"/>
    </row>
    <row r="52" customFormat="false" ht="18" hidden="false" customHeight="true" outlineLevel="0" collapsed="false">
      <c r="A52" s="544" t="n">
        <v>47</v>
      </c>
      <c r="B52" s="180"/>
      <c r="C52" s="181"/>
      <c r="D52" s="182"/>
      <c r="E52" s="183"/>
      <c r="F52" s="550"/>
      <c r="G52" s="551"/>
      <c r="H52" s="232"/>
      <c r="I52" s="547"/>
      <c r="J52" s="548"/>
      <c r="K52" s="549"/>
      <c r="L52" s="549"/>
      <c r="M52" s="551"/>
      <c r="N52" s="551"/>
      <c r="O52" s="551"/>
      <c r="P52" s="551"/>
      <c r="Q52" s="551"/>
      <c r="R52" s="551"/>
      <c r="S52" s="551"/>
      <c r="T52" s="551"/>
      <c r="U52" s="551"/>
      <c r="V52" s="551"/>
      <c r="W52" s="551"/>
      <c r="X52" s="551"/>
      <c r="Y52" s="551"/>
      <c r="Z52" s="551"/>
      <c r="AA52" s="551"/>
      <c r="AB52" s="551"/>
      <c r="AC52" s="551"/>
      <c r="AD52" s="551"/>
      <c r="AE52" s="551"/>
      <c r="AF52" s="551"/>
      <c r="AG52" s="551"/>
      <c r="AH52" s="551"/>
      <c r="AI52" s="551"/>
      <c r="AJ52" s="551"/>
      <c r="AK52" s="551"/>
      <c r="AL52" s="551"/>
      <c r="AM52" s="551"/>
      <c r="AN52" s="551"/>
      <c r="AO52" s="551"/>
      <c r="AP52" s="551"/>
      <c r="AQ52" s="551"/>
      <c r="AR52" s="551"/>
      <c r="AS52" s="551"/>
      <c r="AT52" s="551"/>
      <c r="AU52" s="551"/>
      <c r="AV52" s="551"/>
      <c r="AW52" s="551"/>
      <c r="AX52" s="551"/>
      <c r="AY52" s="551"/>
      <c r="AZ52" s="551"/>
      <c r="BA52" s="551"/>
      <c r="BB52" s="551"/>
      <c r="BC52" s="551"/>
      <c r="BD52" s="551"/>
      <c r="BE52" s="551"/>
      <c r="BF52" s="551"/>
      <c r="BG52" s="551"/>
      <c r="BH52" s="551"/>
      <c r="BI52" s="551"/>
      <c r="BJ52" s="551"/>
      <c r="BK52" s="551"/>
      <c r="BL52" s="551"/>
      <c r="BM52" s="551"/>
      <c r="BN52" s="551"/>
      <c r="BO52" s="551"/>
      <c r="BP52" s="551"/>
      <c r="BQ52" s="551"/>
      <c r="BR52" s="551"/>
      <c r="BS52" s="551"/>
      <c r="BT52" s="551"/>
      <c r="BU52" s="551"/>
      <c r="BV52" s="551"/>
      <c r="BW52" s="551"/>
      <c r="BX52" s="551"/>
      <c r="BY52" s="551"/>
      <c r="BZ52" s="551"/>
      <c r="CA52" s="551"/>
      <c r="CB52" s="551"/>
      <c r="CC52" s="551"/>
      <c r="CD52" s="551"/>
      <c r="CE52" s="551"/>
      <c r="CF52" s="551"/>
      <c r="CG52" s="551"/>
      <c r="CH52" s="551"/>
      <c r="CI52" s="551"/>
      <c r="CJ52" s="551"/>
      <c r="CK52" s="551"/>
      <c r="CL52" s="551"/>
      <c r="CM52" s="551"/>
      <c r="CN52" s="551"/>
      <c r="CO52" s="551"/>
      <c r="CP52" s="551"/>
      <c r="CQ52" s="551"/>
      <c r="CR52" s="551"/>
      <c r="CS52" s="551"/>
      <c r="CT52" s="551"/>
      <c r="CU52" s="551"/>
      <c r="CV52" s="551"/>
      <c r="CW52" s="551"/>
      <c r="CX52" s="551"/>
      <c r="CY52" s="551"/>
      <c r="CZ52" s="551"/>
      <c r="DA52" s="551"/>
      <c r="DB52" s="551"/>
      <c r="DC52" s="551"/>
      <c r="DD52" s="551"/>
      <c r="DE52" s="551"/>
      <c r="DF52" s="551"/>
      <c r="DG52" s="551"/>
      <c r="DH52" s="551"/>
      <c r="DI52" s="551"/>
      <c r="DJ52" s="551"/>
      <c r="DK52" s="551"/>
      <c r="DL52" s="551"/>
      <c r="DM52" s="551"/>
      <c r="DN52" s="551"/>
      <c r="DO52" s="551"/>
      <c r="DP52" s="551"/>
      <c r="DQ52" s="551"/>
      <c r="DR52" s="551"/>
      <c r="DS52" s="551"/>
      <c r="DT52" s="551"/>
      <c r="DU52" s="551"/>
      <c r="DV52" s="551"/>
      <c r="DW52" s="551"/>
      <c r="DX52" s="551"/>
      <c r="DY52" s="551"/>
      <c r="DZ52" s="551"/>
      <c r="EA52" s="551"/>
      <c r="EB52" s="551"/>
      <c r="EC52" s="551"/>
      <c r="ED52" s="551"/>
      <c r="EE52" s="551"/>
      <c r="EF52" s="551"/>
      <c r="EG52" s="551"/>
      <c r="EH52" s="551"/>
      <c r="EI52" s="551"/>
      <c r="EJ52" s="551"/>
      <c r="EK52" s="551"/>
      <c r="EL52" s="551"/>
      <c r="EM52" s="551"/>
      <c r="EN52" s="551"/>
      <c r="EO52" s="551"/>
      <c r="EP52" s="551"/>
      <c r="EQ52" s="551"/>
      <c r="ER52" s="551"/>
      <c r="ES52" s="551"/>
      <c r="ET52" s="551"/>
      <c r="EU52" s="551"/>
      <c r="EV52" s="551"/>
      <c r="EW52" s="551"/>
      <c r="EX52" s="551"/>
      <c r="EY52" s="551"/>
      <c r="EZ52" s="551"/>
      <c r="FA52" s="551"/>
      <c r="FB52" s="551"/>
      <c r="FC52" s="551"/>
      <c r="FD52" s="551"/>
      <c r="FE52" s="551"/>
      <c r="FF52" s="551"/>
      <c r="FG52" s="551"/>
      <c r="FH52" s="551"/>
      <c r="FI52" s="551"/>
      <c r="FJ52" s="551"/>
      <c r="FK52" s="551"/>
      <c r="FL52" s="551"/>
      <c r="FM52" s="551"/>
      <c r="FN52" s="551"/>
      <c r="FO52" s="551"/>
      <c r="FP52" s="551"/>
      <c r="FQ52" s="551"/>
      <c r="FR52" s="551"/>
      <c r="FS52" s="551"/>
      <c r="FT52" s="551"/>
      <c r="FU52" s="551"/>
      <c r="FV52" s="551"/>
      <c r="FW52" s="551"/>
      <c r="FX52" s="551"/>
      <c r="FY52" s="551"/>
      <c r="FZ52" s="551"/>
      <c r="GA52" s="551"/>
      <c r="GB52" s="551"/>
      <c r="GC52" s="551"/>
      <c r="GD52" s="551"/>
      <c r="GE52" s="551"/>
      <c r="GF52" s="551"/>
      <c r="GG52" s="551"/>
      <c r="GH52" s="551"/>
      <c r="GI52" s="551"/>
      <c r="GJ52" s="551"/>
      <c r="GK52" s="551"/>
      <c r="GL52" s="551"/>
      <c r="GM52" s="551"/>
      <c r="GN52" s="551"/>
      <c r="GO52" s="551"/>
      <c r="GP52" s="551"/>
      <c r="GQ52" s="551"/>
      <c r="GR52" s="551"/>
      <c r="GS52" s="551"/>
      <c r="GT52" s="551"/>
      <c r="GU52" s="551"/>
      <c r="GV52" s="551"/>
      <c r="GW52" s="551"/>
      <c r="GX52" s="551"/>
      <c r="GY52" s="551"/>
      <c r="GZ52" s="551"/>
      <c r="HA52" s="551"/>
      <c r="HB52" s="551"/>
      <c r="HC52" s="551"/>
      <c r="HD52" s="551"/>
      <c r="HE52" s="551"/>
      <c r="HF52" s="551"/>
      <c r="HG52" s="551"/>
      <c r="HH52" s="551"/>
      <c r="HI52" s="551"/>
      <c r="HJ52" s="551"/>
      <c r="HK52" s="551"/>
      <c r="HL52" s="551"/>
      <c r="HM52" s="551"/>
      <c r="HN52" s="551"/>
      <c r="HO52" s="551"/>
      <c r="HP52" s="551"/>
      <c r="HQ52" s="551"/>
      <c r="HR52" s="551"/>
      <c r="HS52" s="551"/>
      <c r="HT52" s="551"/>
      <c r="HU52" s="551"/>
      <c r="HV52" s="551"/>
      <c r="HW52" s="551"/>
      <c r="HX52" s="551"/>
      <c r="HY52" s="551"/>
      <c r="HZ52" s="551"/>
      <c r="IA52" s="551"/>
      <c r="IB52" s="551"/>
      <c r="IC52" s="551"/>
      <c r="ID52" s="551"/>
      <c r="IE52" s="551"/>
      <c r="IF52" s="551"/>
      <c r="IG52" s="551"/>
      <c r="IH52" s="551"/>
      <c r="II52" s="551"/>
      <c r="IJ52" s="551"/>
      <c r="IK52" s="551"/>
      <c r="IL52" s="551"/>
      <c r="IM52" s="551"/>
      <c r="IN52" s="551"/>
      <c r="IO52" s="551"/>
      <c r="IP52" s="551"/>
      <c r="IQ52" s="551"/>
      <c r="IR52" s="551"/>
      <c r="IS52" s="551"/>
      <c r="IT52" s="551"/>
      <c r="IU52" s="551"/>
      <c r="IV52" s="551"/>
      <c r="IW52" s="551"/>
    </row>
    <row r="53" customFormat="false" ht="18" hidden="false" customHeight="true" outlineLevel="0" collapsed="false">
      <c r="A53" s="544" t="n">
        <v>48</v>
      </c>
      <c r="B53" s="180"/>
      <c r="C53" s="181"/>
      <c r="D53" s="182"/>
      <c r="E53" s="183"/>
      <c r="F53" s="540"/>
      <c r="H53" s="232"/>
      <c r="I53" s="547"/>
      <c r="J53" s="548"/>
      <c r="K53" s="549"/>
      <c r="L53" s="549"/>
    </row>
    <row r="54" customFormat="false" ht="18" hidden="false" customHeight="true" outlineLevel="0" collapsed="false">
      <c r="A54" s="544" t="n">
        <v>49</v>
      </c>
      <c r="B54" s="180"/>
      <c r="C54" s="181"/>
      <c r="D54" s="182"/>
      <c r="E54" s="183"/>
      <c r="F54" s="540"/>
      <c r="H54" s="232"/>
      <c r="I54" s="547"/>
      <c r="J54" s="548"/>
      <c r="K54" s="549"/>
      <c r="L54" s="549"/>
    </row>
    <row r="55" customFormat="false" ht="18" hidden="false" customHeight="true" outlineLevel="0" collapsed="false">
      <c r="A55" s="544" t="n">
        <v>50</v>
      </c>
      <c r="B55" s="180"/>
      <c r="C55" s="181"/>
      <c r="D55" s="182"/>
      <c r="E55" s="183"/>
      <c r="F55" s="540"/>
      <c r="H55" s="232"/>
      <c r="I55" s="547"/>
      <c r="J55" s="548"/>
      <c r="K55" s="549"/>
      <c r="L55" s="549"/>
    </row>
    <row r="56" customFormat="false" ht="18" hidden="false" customHeight="true" outlineLevel="0" collapsed="false">
      <c r="A56" s="544" t="n">
        <v>51</v>
      </c>
      <c r="B56" s="180"/>
      <c r="C56" s="181"/>
      <c r="D56" s="182"/>
      <c r="E56" s="183"/>
      <c r="F56" s="540"/>
      <c r="H56" s="552"/>
      <c r="I56" s="547"/>
      <c r="J56" s="548"/>
      <c r="K56" s="549"/>
      <c r="L56" s="549"/>
    </row>
    <row r="57" customFormat="false" ht="18" hidden="false" customHeight="true" outlineLevel="0" collapsed="false">
      <c r="A57" s="544" t="n">
        <v>52</v>
      </c>
      <c r="B57" s="180"/>
      <c r="C57" s="181"/>
      <c r="D57" s="182"/>
      <c r="E57" s="183"/>
      <c r="F57" s="540"/>
      <c r="H57" s="232"/>
      <c r="I57" s="547"/>
      <c r="J57" s="548"/>
      <c r="K57" s="549"/>
      <c r="L57" s="549"/>
    </row>
    <row r="58" customFormat="false" ht="18" hidden="false" customHeight="true" outlineLevel="0" collapsed="false">
      <c r="A58" s="544" t="n">
        <v>53</v>
      </c>
      <c r="B58" s="180"/>
      <c r="C58" s="181"/>
      <c r="D58" s="182"/>
      <c r="E58" s="183"/>
      <c r="F58" s="540"/>
      <c r="H58" s="552"/>
      <c r="I58" s="547"/>
      <c r="J58" s="548"/>
      <c r="K58" s="549"/>
      <c r="L58" s="549"/>
    </row>
    <row r="59" customFormat="false" ht="18" hidden="false" customHeight="true" outlineLevel="0" collapsed="false">
      <c r="A59" s="544" t="n">
        <v>54</v>
      </c>
      <c r="B59" s="180"/>
      <c r="C59" s="181"/>
      <c r="D59" s="182"/>
      <c r="E59" s="183"/>
      <c r="F59" s="540"/>
      <c r="H59" s="232"/>
      <c r="I59" s="547"/>
      <c r="J59" s="548"/>
      <c r="K59" s="549"/>
      <c r="L59" s="549"/>
    </row>
    <row r="60" customFormat="false" ht="18" hidden="false" customHeight="true" outlineLevel="0" collapsed="false">
      <c r="A60" s="544" t="n">
        <v>55</v>
      </c>
      <c r="B60" s="180"/>
      <c r="C60" s="181"/>
      <c r="D60" s="182"/>
      <c r="E60" s="183"/>
      <c r="F60" s="540"/>
      <c r="H60" s="232"/>
      <c r="I60" s="547"/>
      <c r="J60" s="548"/>
      <c r="K60" s="549"/>
      <c r="L60" s="549"/>
    </row>
    <row r="61" customFormat="false" ht="18" hidden="false" customHeight="true" outlineLevel="0" collapsed="false">
      <c r="A61" s="544" t="n">
        <v>56</v>
      </c>
      <c r="B61" s="180"/>
      <c r="C61" s="181"/>
      <c r="D61" s="182"/>
      <c r="E61" s="183"/>
      <c r="F61" s="540"/>
      <c r="H61" s="232"/>
      <c r="I61" s="547"/>
      <c r="J61" s="548"/>
      <c r="K61" s="549"/>
      <c r="L61" s="549"/>
    </row>
    <row r="62" customFormat="false" ht="18" hidden="false" customHeight="true" outlineLevel="0" collapsed="false">
      <c r="A62" s="544" t="n">
        <v>57</v>
      </c>
      <c r="B62" s="180"/>
      <c r="C62" s="181"/>
      <c r="D62" s="182"/>
      <c r="E62" s="183"/>
      <c r="F62" s="540"/>
      <c r="H62" s="232"/>
      <c r="I62" s="547"/>
      <c r="J62" s="548"/>
      <c r="K62" s="549"/>
      <c r="L62" s="549"/>
    </row>
    <row r="63" customFormat="false" ht="18" hidden="false" customHeight="true" outlineLevel="0" collapsed="false">
      <c r="A63" s="544" t="n">
        <v>58</v>
      </c>
      <c r="B63" s="180"/>
      <c r="C63" s="181"/>
      <c r="D63" s="182"/>
      <c r="E63" s="183"/>
      <c r="F63" s="540"/>
      <c r="H63" s="232"/>
      <c r="I63" s="547"/>
      <c r="J63" s="548"/>
      <c r="K63" s="549"/>
      <c r="L63" s="549"/>
    </row>
    <row r="64" customFormat="false" ht="18" hidden="false" customHeight="true" outlineLevel="0" collapsed="false">
      <c r="A64" s="544" t="n">
        <v>59</v>
      </c>
      <c r="B64" s="180"/>
      <c r="C64" s="181"/>
      <c r="D64" s="182"/>
      <c r="E64" s="183"/>
      <c r="F64" s="540"/>
      <c r="H64" s="232"/>
      <c r="I64" s="547"/>
      <c r="J64" s="548"/>
      <c r="K64" s="549"/>
      <c r="L64" s="549"/>
    </row>
    <row r="65" customFormat="false" ht="18" hidden="false" customHeight="true" outlineLevel="0" collapsed="false">
      <c r="A65" s="544" t="n">
        <v>60</v>
      </c>
      <c r="B65" s="180"/>
      <c r="C65" s="181"/>
      <c r="D65" s="182"/>
      <c r="E65" s="183"/>
      <c r="F65" s="540"/>
      <c r="H65" s="232"/>
      <c r="I65" s="547"/>
      <c r="J65" s="548"/>
      <c r="K65" s="549"/>
      <c r="L65" s="549"/>
    </row>
    <row r="66" customFormat="false" ht="18" hidden="false" customHeight="true" outlineLevel="0" collapsed="false">
      <c r="A66" s="544" t="n">
        <v>61</v>
      </c>
      <c r="B66" s="180"/>
      <c r="C66" s="181"/>
      <c r="D66" s="182"/>
      <c r="E66" s="183"/>
      <c r="F66" s="540"/>
      <c r="H66" s="232"/>
      <c r="I66" s="547"/>
      <c r="J66" s="548"/>
      <c r="K66" s="549"/>
      <c r="L66" s="549"/>
    </row>
    <row r="67" customFormat="false" ht="18" hidden="false" customHeight="true" outlineLevel="0" collapsed="false">
      <c r="A67" s="544" t="n">
        <v>62</v>
      </c>
      <c r="B67" s="180"/>
      <c r="C67" s="181"/>
      <c r="D67" s="182"/>
      <c r="E67" s="183"/>
      <c r="F67" s="540"/>
      <c r="H67" s="232"/>
      <c r="I67" s="547"/>
      <c r="J67" s="548"/>
      <c r="K67" s="549"/>
      <c r="L67" s="549"/>
    </row>
    <row r="68" customFormat="false" ht="18" hidden="false" customHeight="true" outlineLevel="0" collapsed="false">
      <c r="A68" s="544" t="n">
        <v>63</v>
      </c>
      <c r="B68" s="180"/>
      <c r="C68" s="181"/>
      <c r="D68" s="182"/>
      <c r="E68" s="183"/>
      <c r="F68" s="540"/>
      <c r="H68" s="232"/>
      <c r="I68" s="547"/>
      <c r="J68" s="548"/>
      <c r="K68" s="549"/>
      <c r="L68" s="549"/>
    </row>
    <row r="69" customFormat="false" ht="18" hidden="false" customHeight="true" outlineLevel="0" collapsed="false">
      <c r="A69" s="544" t="n">
        <v>64</v>
      </c>
      <c r="B69" s="180"/>
      <c r="C69" s="181"/>
      <c r="D69" s="182"/>
      <c r="E69" s="183"/>
      <c r="F69" s="540"/>
      <c r="H69" s="232"/>
      <c r="I69" s="547"/>
      <c r="J69" s="548"/>
      <c r="K69" s="549"/>
      <c r="L69" s="549"/>
    </row>
    <row r="70" customFormat="false" ht="18" hidden="false" customHeight="true" outlineLevel="0" collapsed="false">
      <c r="A70" s="544" t="n">
        <v>65</v>
      </c>
      <c r="B70" s="180"/>
      <c r="C70" s="181"/>
      <c r="D70" s="182"/>
      <c r="E70" s="183"/>
      <c r="F70" s="540"/>
      <c r="H70" s="232"/>
      <c r="I70" s="547"/>
      <c r="J70" s="548"/>
      <c r="K70" s="549"/>
      <c r="L70" s="549"/>
    </row>
    <row r="71" customFormat="false" ht="18" hidden="false" customHeight="true" outlineLevel="0" collapsed="false">
      <c r="A71" s="544" t="n">
        <v>66</v>
      </c>
      <c r="B71" s="180"/>
      <c r="C71" s="181"/>
      <c r="D71" s="182"/>
      <c r="E71" s="183"/>
      <c r="F71" s="540"/>
      <c r="H71" s="232"/>
      <c r="I71" s="547"/>
      <c r="J71" s="548"/>
      <c r="K71" s="549"/>
      <c r="L71" s="549"/>
    </row>
    <row r="72" customFormat="false" ht="18" hidden="false" customHeight="true" outlineLevel="0" collapsed="false">
      <c r="A72" s="544" t="n">
        <v>67</v>
      </c>
      <c r="B72" s="180"/>
      <c r="C72" s="181"/>
      <c r="D72" s="182"/>
      <c r="E72" s="183"/>
      <c r="F72" s="540"/>
      <c r="H72" s="232"/>
      <c r="I72" s="547"/>
      <c r="J72" s="548"/>
      <c r="K72" s="549"/>
      <c r="L72" s="549"/>
    </row>
    <row r="73" customFormat="false" ht="18" hidden="false" customHeight="true" outlineLevel="0" collapsed="false">
      <c r="A73" s="544" t="n">
        <v>68</v>
      </c>
      <c r="B73" s="180"/>
      <c r="C73" s="181"/>
      <c r="D73" s="182"/>
      <c r="E73" s="183"/>
      <c r="F73" s="540"/>
      <c r="H73" s="552"/>
      <c r="I73" s="547"/>
      <c r="J73" s="548"/>
      <c r="K73" s="549"/>
      <c r="L73" s="549"/>
    </row>
    <row r="74" customFormat="false" ht="18" hidden="false" customHeight="true" outlineLevel="0" collapsed="false">
      <c r="A74" s="544" t="n">
        <v>69</v>
      </c>
      <c r="B74" s="180"/>
      <c r="C74" s="181"/>
      <c r="D74" s="182"/>
      <c r="E74" s="183"/>
      <c r="F74" s="540"/>
      <c r="H74" s="232"/>
      <c r="I74" s="547"/>
      <c r="J74" s="548"/>
      <c r="K74" s="549"/>
      <c r="L74" s="549"/>
    </row>
    <row r="75" customFormat="false" ht="18" hidden="false" customHeight="true" outlineLevel="0" collapsed="false">
      <c r="A75" s="544" t="n">
        <v>70</v>
      </c>
      <c r="B75" s="180"/>
      <c r="C75" s="181"/>
      <c r="D75" s="182"/>
      <c r="E75" s="183"/>
      <c r="F75" s="540"/>
      <c r="H75" s="232"/>
      <c r="I75" s="547"/>
      <c r="J75" s="548"/>
      <c r="K75" s="549"/>
      <c r="L75" s="549"/>
    </row>
    <row r="76" customFormat="false" ht="18" hidden="false" customHeight="true" outlineLevel="0" collapsed="false">
      <c r="A76" s="544" t="n">
        <v>71</v>
      </c>
      <c r="B76" s="180"/>
      <c r="C76" s="181"/>
      <c r="D76" s="182"/>
      <c r="E76" s="183"/>
      <c r="F76" s="540"/>
      <c r="I76" s="547"/>
      <c r="J76" s="548"/>
      <c r="K76" s="549"/>
      <c r="L76" s="549"/>
    </row>
    <row r="77" customFormat="false" ht="18" hidden="false" customHeight="true" outlineLevel="0" collapsed="false">
      <c r="A77" s="544" t="n">
        <v>72</v>
      </c>
      <c r="B77" s="180"/>
      <c r="C77" s="181"/>
      <c r="D77" s="182"/>
      <c r="E77" s="183"/>
      <c r="F77" s="540"/>
      <c r="H77" s="232"/>
      <c r="I77" s="547"/>
      <c r="J77" s="548"/>
      <c r="K77" s="549"/>
      <c r="L77" s="549"/>
    </row>
    <row r="78" customFormat="false" ht="18" hidden="false" customHeight="true" outlineLevel="0" collapsed="false">
      <c r="A78" s="544" t="n">
        <v>73</v>
      </c>
      <c r="B78" s="180"/>
      <c r="C78" s="181"/>
      <c r="D78" s="182"/>
      <c r="E78" s="183"/>
      <c r="F78" s="540"/>
      <c r="H78" s="232"/>
      <c r="I78" s="547"/>
      <c r="J78" s="548"/>
      <c r="K78" s="549"/>
      <c r="L78" s="549"/>
    </row>
    <row r="79" customFormat="false" ht="18" hidden="false" customHeight="true" outlineLevel="0" collapsed="false">
      <c r="A79" s="544" t="n">
        <v>74</v>
      </c>
      <c r="B79" s="180"/>
      <c r="C79" s="181"/>
      <c r="D79" s="182"/>
      <c r="E79" s="183"/>
      <c r="F79" s="540"/>
      <c r="H79" s="232"/>
      <c r="I79" s="547"/>
      <c r="J79" s="548"/>
      <c r="K79" s="549"/>
      <c r="L79" s="549"/>
    </row>
    <row r="80" customFormat="false" ht="18" hidden="false" customHeight="true" outlineLevel="0" collapsed="false">
      <c r="A80" s="544" t="n">
        <v>75</v>
      </c>
      <c r="B80" s="180"/>
      <c r="C80" s="181"/>
      <c r="D80" s="182"/>
      <c r="E80" s="183"/>
      <c r="F80" s="540"/>
      <c r="H80" s="232"/>
      <c r="I80" s="547"/>
      <c r="J80" s="548"/>
      <c r="K80" s="549"/>
      <c r="L80" s="549"/>
    </row>
    <row r="81" customFormat="false" ht="18" hidden="false" customHeight="true" outlineLevel="0" collapsed="false">
      <c r="A81" s="544" t="n">
        <v>76</v>
      </c>
      <c r="B81" s="180"/>
      <c r="C81" s="181"/>
      <c r="D81" s="182"/>
      <c r="E81" s="183"/>
      <c r="F81" s="540"/>
      <c r="H81" s="232"/>
      <c r="I81" s="547"/>
      <c r="J81" s="548"/>
      <c r="K81" s="549"/>
      <c r="L81" s="549"/>
    </row>
    <row r="82" customFormat="false" ht="18" hidden="false" customHeight="true" outlineLevel="0" collapsed="false">
      <c r="A82" s="544" t="n">
        <v>77</v>
      </c>
      <c r="B82" s="180"/>
      <c r="C82" s="181"/>
      <c r="D82" s="182"/>
      <c r="E82" s="183"/>
      <c r="F82" s="540"/>
      <c r="H82" s="232"/>
      <c r="I82" s="547"/>
      <c r="J82" s="548"/>
      <c r="K82" s="549"/>
      <c r="L82" s="549"/>
    </row>
    <row r="83" customFormat="false" ht="18" hidden="false" customHeight="true" outlineLevel="0" collapsed="false">
      <c r="A83" s="544" t="n">
        <v>78</v>
      </c>
      <c r="B83" s="180"/>
      <c r="C83" s="181"/>
      <c r="D83" s="182"/>
      <c r="E83" s="183"/>
      <c r="F83" s="540"/>
      <c r="H83" s="232"/>
      <c r="I83" s="547"/>
      <c r="J83" s="548"/>
      <c r="K83" s="549"/>
      <c r="L83" s="549"/>
    </row>
    <row r="84" customFormat="false" ht="18" hidden="false" customHeight="true" outlineLevel="0" collapsed="false">
      <c r="A84" s="544" t="n">
        <v>79</v>
      </c>
      <c r="B84" s="180"/>
      <c r="C84" s="181"/>
      <c r="D84" s="182"/>
      <c r="E84" s="183"/>
      <c r="F84" s="540"/>
      <c r="H84" s="232"/>
      <c r="I84" s="547"/>
      <c r="J84" s="548"/>
      <c r="K84" s="549"/>
      <c r="L84" s="549"/>
    </row>
    <row r="85" customFormat="false" ht="18" hidden="false" customHeight="true" outlineLevel="0" collapsed="false">
      <c r="A85" s="544" t="n">
        <v>80</v>
      </c>
      <c r="B85" s="180"/>
      <c r="C85" s="181"/>
      <c r="D85" s="182"/>
      <c r="E85" s="183"/>
      <c r="F85" s="540"/>
      <c r="H85" s="232"/>
      <c r="I85" s="547"/>
      <c r="J85" s="548"/>
      <c r="K85" s="549"/>
      <c r="L85" s="549"/>
    </row>
    <row r="86" customFormat="false" ht="18" hidden="false" customHeight="true" outlineLevel="0" collapsed="false">
      <c r="A86" s="544" t="n">
        <v>81</v>
      </c>
      <c r="B86" s="180"/>
      <c r="C86" s="181"/>
      <c r="D86" s="182"/>
      <c r="E86" s="183"/>
      <c r="F86" s="540"/>
      <c r="H86" s="232"/>
      <c r="I86" s="547"/>
      <c r="J86" s="548"/>
      <c r="K86" s="549"/>
      <c r="L86" s="549"/>
    </row>
    <row r="87" customFormat="false" ht="18" hidden="false" customHeight="true" outlineLevel="0" collapsed="false">
      <c r="A87" s="544" t="n">
        <v>82</v>
      </c>
      <c r="B87" s="180"/>
      <c r="C87" s="181"/>
      <c r="D87" s="182"/>
      <c r="E87" s="183"/>
      <c r="F87" s="550"/>
      <c r="G87" s="551"/>
      <c r="H87" s="232"/>
      <c r="I87" s="547"/>
      <c r="J87" s="548"/>
      <c r="K87" s="549"/>
      <c r="L87" s="549"/>
      <c r="M87" s="551"/>
      <c r="N87" s="551"/>
      <c r="O87" s="551"/>
      <c r="P87" s="551"/>
      <c r="Q87" s="551"/>
      <c r="R87" s="551"/>
      <c r="S87" s="551"/>
      <c r="T87" s="551"/>
      <c r="U87" s="551"/>
      <c r="V87" s="551"/>
      <c r="W87" s="551"/>
      <c r="X87" s="551"/>
      <c r="Y87" s="551"/>
      <c r="Z87" s="551"/>
      <c r="AA87" s="551"/>
      <c r="AB87" s="551"/>
      <c r="AC87" s="551"/>
      <c r="AD87" s="551"/>
      <c r="AE87" s="551"/>
      <c r="AF87" s="551"/>
      <c r="AG87" s="551"/>
      <c r="AH87" s="551"/>
      <c r="AI87" s="551"/>
      <c r="AJ87" s="551"/>
      <c r="AK87" s="551"/>
      <c r="AL87" s="551"/>
      <c r="AM87" s="551"/>
      <c r="AN87" s="551"/>
      <c r="AO87" s="551"/>
      <c r="AP87" s="551"/>
      <c r="AQ87" s="551"/>
      <c r="AR87" s="551"/>
      <c r="AS87" s="551"/>
      <c r="AT87" s="551"/>
      <c r="AU87" s="551"/>
      <c r="AV87" s="551"/>
      <c r="AW87" s="551"/>
      <c r="AX87" s="551"/>
      <c r="AY87" s="551"/>
      <c r="AZ87" s="551"/>
      <c r="BA87" s="551"/>
      <c r="BB87" s="551"/>
      <c r="BC87" s="551"/>
      <c r="BD87" s="551"/>
      <c r="BE87" s="551"/>
      <c r="BF87" s="551"/>
      <c r="BG87" s="551"/>
      <c r="BH87" s="551"/>
      <c r="BI87" s="551"/>
      <c r="BJ87" s="551"/>
      <c r="BK87" s="551"/>
      <c r="BL87" s="551"/>
      <c r="BM87" s="551"/>
      <c r="BN87" s="551"/>
      <c r="BO87" s="551"/>
      <c r="BP87" s="551"/>
      <c r="BQ87" s="551"/>
      <c r="BR87" s="551"/>
      <c r="BS87" s="551"/>
      <c r="BT87" s="551"/>
      <c r="BU87" s="551"/>
      <c r="BV87" s="551"/>
      <c r="BW87" s="551"/>
      <c r="BX87" s="551"/>
      <c r="BY87" s="551"/>
      <c r="BZ87" s="551"/>
      <c r="CA87" s="551"/>
      <c r="CB87" s="551"/>
      <c r="CC87" s="551"/>
      <c r="CD87" s="551"/>
      <c r="CE87" s="551"/>
      <c r="CF87" s="551"/>
      <c r="CG87" s="551"/>
      <c r="CH87" s="551"/>
      <c r="CI87" s="551"/>
      <c r="CJ87" s="551"/>
      <c r="CK87" s="551"/>
      <c r="CL87" s="551"/>
      <c r="CM87" s="551"/>
      <c r="CN87" s="551"/>
      <c r="CO87" s="551"/>
      <c r="CP87" s="551"/>
      <c r="CQ87" s="551"/>
      <c r="CR87" s="551"/>
      <c r="CS87" s="551"/>
      <c r="CT87" s="551"/>
      <c r="CU87" s="551"/>
      <c r="CV87" s="551"/>
      <c r="CW87" s="551"/>
      <c r="CX87" s="551"/>
      <c r="CY87" s="551"/>
      <c r="CZ87" s="551"/>
      <c r="DA87" s="551"/>
      <c r="DB87" s="551"/>
      <c r="DC87" s="551"/>
      <c r="DD87" s="551"/>
      <c r="DE87" s="551"/>
      <c r="DF87" s="551"/>
      <c r="DG87" s="551"/>
      <c r="DH87" s="551"/>
      <c r="DI87" s="551"/>
      <c r="DJ87" s="551"/>
      <c r="DK87" s="551"/>
      <c r="DL87" s="551"/>
      <c r="DM87" s="551"/>
      <c r="DN87" s="551"/>
      <c r="DO87" s="551"/>
      <c r="DP87" s="551"/>
      <c r="DQ87" s="551"/>
      <c r="DR87" s="551"/>
      <c r="DS87" s="551"/>
      <c r="DT87" s="551"/>
      <c r="DU87" s="551"/>
      <c r="DV87" s="551"/>
      <c r="DW87" s="551"/>
      <c r="DX87" s="551"/>
      <c r="DY87" s="551"/>
      <c r="DZ87" s="551"/>
      <c r="EA87" s="551"/>
      <c r="EB87" s="551"/>
      <c r="EC87" s="551"/>
      <c r="ED87" s="551"/>
      <c r="EE87" s="551"/>
      <c r="EF87" s="551"/>
      <c r="EG87" s="551"/>
      <c r="EH87" s="551"/>
      <c r="EI87" s="551"/>
      <c r="EJ87" s="551"/>
      <c r="EK87" s="551"/>
      <c r="EL87" s="551"/>
      <c r="EM87" s="551"/>
      <c r="EN87" s="551"/>
      <c r="EO87" s="551"/>
      <c r="EP87" s="551"/>
      <c r="EQ87" s="551"/>
      <c r="ER87" s="551"/>
      <c r="ES87" s="551"/>
      <c r="ET87" s="551"/>
      <c r="EU87" s="551"/>
      <c r="EV87" s="551"/>
      <c r="EW87" s="551"/>
      <c r="EX87" s="551"/>
      <c r="EY87" s="551"/>
      <c r="EZ87" s="551"/>
      <c r="FA87" s="551"/>
      <c r="FB87" s="551"/>
      <c r="FC87" s="551"/>
      <c r="FD87" s="551"/>
      <c r="FE87" s="551"/>
      <c r="FF87" s="551"/>
      <c r="FG87" s="551"/>
      <c r="FH87" s="551"/>
      <c r="FI87" s="551"/>
      <c r="FJ87" s="551"/>
      <c r="FK87" s="551"/>
      <c r="FL87" s="551"/>
      <c r="FM87" s="551"/>
      <c r="FN87" s="551"/>
      <c r="FO87" s="551"/>
      <c r="FP87" s="551"/>
      <c r="FQ87" s="551"/>
      <c r="FR87" s="551"/>
      <c r="FS87" s="551"/>
      <c r="FT87" s="551"/>
      <c r="FU87" s="551"/>
      <c r="FV87" s="551"/>
      <c r="FW87" s="551"/>
      <c r="FX87" s="551"/>
      <c r="FY87" s="551"/>
      <c r="FZ87" s="551"/>
      <c r="GA87" s="551"/>
      <c r="GB87" s="551"/>
      <c r="GC87" s="551"/>
      <c r="GD87" s="551"/>
      <c r="GE87" s="551"/>
      <c r="GF87" s="551"/>
      <c r="GG87" s="551"/>
      <c r="GH87" s="551"/>
      <c r="GI87" s="551"/>
      <c r="GJ87" s="551"/>
      <c r="GK87" s="551"/>
      <c r="GL87" s="551"/>
      <c r="GM87" s="551"/>
      <c r="GN87" s="551"/>
      <c r="GO87" s="551"/>
      <c r="GP87" s="551"/>
      <c r="GQ87" s="551"/>
      <c r="GR87" s="551"/>
      <c r="GS87" s="551"/>
      <c r="GT87" s="551"/>
      <c r="GU87" s="551"/>
      <c r="GV87" s="551"/>
      <c r="GW87" s="551"/>
      <c r="GX87" s="551"/>
      <c r="GY87" s="551"/>
      <c r="GZ87" s="551"/>
      <c r="HA87" s="551"/>
      <c r="HB87" s="551"/>
      <c r="HC87" s="551"/>
      <c r="HD87" s="551"/>
      <c r="HE87" s="551"/>
      <c r="HF87" s="551"/>
      <c r="HG87" s="551"/>
      <c r="HH87" s="551"/>
      <c r="HI87" s="551"/>
      <c r="HJ87" s="551"/>
      <c r="HK87" s="551"/>
      <c r="HL87" s="551"/>
      <c r="HM87" s="551"/>
      <c r="HN87" s="551"/>
      <c r="HO87" s="551"/>
      <c r="HP87" s="551"/>
      <c r="HQ87" s="551"/>
      <c r="HR87" s="551"/>
      <c r="HS87" s="551"/>
      <c r="HT87" s="551"/>
      <c r="HU87" s="551"/>
      <c r="HV87" s="551"/>
      <c r="HW87" s="551"/>
      <c r="HX87" s="551"/>
      <c r="HY87" s="551"/>
      <c r="HZ87" s="551"/>
      <c r="IA87" s="551"/>
      <c r="IB87" s="551"/>
      <c r="IC87" s="551"/>
      <c r="ID87" s="551"/>
      <c r="IE87" s="551"/>
      <c r="IF87" s="551"/>
      <c r="IG87" s="551"/>
      <c r="IH87" s="551"/>
      <c r="II87" s="551"/>
      <c r="IJ87" s="551"/>
      <c r="IK87" s="551"/>
      <c r="IL87" s="551"/>
      <c r="IM87" s="551"/>
      <c r="IN87" s="551"/>
      <c r="IO87" s="551"/>
      <c r="IP87" s="551"/>
      <c r="IQ87" s="551"/>
      <c r="IR87" s="551"/>
      <c r="IS87" s="551"/>
      <c r="IT87" s="551"/>
      <c r="IU87" s="551"/>
      <c r="IV87" s="551"/>
      <c r="IW87" s="551"/>
    </row>
    <row r="88" customFormat="false" ht="18" hidden="false" customHeight="true" outlineLevel="0" collapsed="false">
      <c r="A88" s="544" t="n">
        <v>83</v>
      </c>
      <c r="B88" s="180"/>
      <c r="C88" s="181"/>
      <c r="D88" s="182"/>
      <c r="E88" s="183"/>
      <c r="F88" s="540"/>
      <c r="H88" s="232"/>
      <c r="I88" s="547"/>
      <c r="J88" s="548"/>
      <c r="K88" s="549"/>
      <c r="L88" s="549"/>
    </row>
    <row r="89" customFormat="false" ht="18" hidden="false" customHeight="true" outlineLevel="0" collapsed="false">
      <c r="A89" s="544" t="n">
        <v>84</v>
      </c>
      <c r="B89" s="180"/>
      <c r="C89" s="181"/>
      <c r="D89" s="182"/>
      <c r="E89" s="183"/>
      <c r="F89" s="540"/>
      <c r="H89" s="232"/>
      <c r="I89" s="547"/>
      <c r="J89" s="548"/>
      <c r="K89" s="549"/>
      <c r="L89" s="549"/>
    </row>
    <row r="90" customFormat="false" ht="18" hidden="false" customHeight="true" outlineLevel="0" collapsed="false">
      <c r="A90" s="544" t="n">
        <v>85</v>
      </c>
      <c r="B90" s="180"/>
      <c r="C90" s="181"/>
      <c r="D90" s="182"/>
      <c r="E90" s="183"/>
      <c r="F90" s="540"/>
      <c r="H90" s="232"/>
      <c r="I90" s="547"/>
      <c r="J90" s="548"/>
      <c r="K90" s="549"/>
      <c r="L90" s="549"/>
    </row>
    <row r="91" customFormat="false" ht="18" hidden="false" customHeight="true" outlineLevel="0" collapsed="false">
      <c r="A91" s="544" t="n">
        <v>86</v>
      </c>
      <c r="B91" s="180"/>
      <c r="C91" s="181"/>
      <c r="D91" s="182"/>
      <c r="E91" s="183"/>
      <c r="F91" s="540"/>
      <c r="H91" s="552"/>
      <c r="I91" s="547"/>
      <c r="J91" s="548"/>
      <c r="K91" s="549"/>
      <c r="L91" s="549"/>
    </row>
    <row r="92" customFormat="false" ht="18" hidden="false" customHeight="true" outlineLevel="0" collapsed="false">
      <c r="A92" s="544" t="n">
        <v>87</v>
      </c>
      <c r="B92" s="180"/>
      <c r="C92" s="181"/>
      <c r="D92" s="182"/>
      <c r="E92" s="183"/>
      <c r="F92" s="540"/>
      <c r="H92" s="232"/>
      <c r="I92" s="547"/>
      <c r="J92" s="548"/>
      <c r="K92" s="549"/>
      <c r="L92" s="549"/>
    </row>
    <row r="93" customFormat="false" ht="18" hidden="false" customHeight="true" outlineLevel="0" collapsed="false">
      <c r="A93" s="544" t="n">
        <v>88</v>
      </c>
      <c r="B93" s="180"/>
      <c r="C93" s="181"/>
      <c r="D93" s="182"/>
      <c r="E93" s="183"/>
      <c r="F93" s="540"/>
      <c r="H93" s="552"/>
      <c r="I93" s="547"/>
      <c r="J93" s="548"/>
      <c r="K93" s="549"/>
      <c r="L93" s="549"/>
    </row>
    <row r="94" customFormat="false" ht="18" hidden="false" customHeight="true" outlineLevel="0" collapsed="false">
      <c r="A94" s="544" t="n">
        <v>89</v>
      </c>
      <c r="B94" s="180"/>
      <c r="C94" s="181"/>
      <c r="D94" s="182"/>
      <c r="E94" s="183"/>
      <c r="F94" s="540"/>
      <c r="H94" s="232"/>
      <c r="I94" s="547"/>
      <c r="J94" s="548"/>
      <c r="K94" s="549"/>
      <c r="L94" s="549"/>
    </row>
    <row r="95" customFormat="false" ht="18" hidden="false" customHeight="true" outlineLevel="0" collapsed="false">
      <c r="A95" s="544" t="n">
        <v>90</v>
      </c>
      <c r="B95" s="180"/>
      <c r="C95" s="181"/>
      <c r="D95" s="182"/>
      <c r="E95" s="183"/>
      <c r="F95" s="540"/>
      <c r="H95" s="232"/>
      <c r="I95" s="547"/>
      <c r="J95" s="548"/>
      <c r="K95" s="549"/>
      <c r="L95" s="549"/>
    </row>
    <row r="96" customFormat="false" ht="18" hidden="false" customHeight="true" outlineLevel="0" collapsed="false">
      <c r="A96" s="544" t="n">
        <v>91</v>
      </c>
      <c r="B96" s="180"/>
      <c r="C96" s="181"/>
      <c r="D96" s="182"/>
      <c r="E96" s="183"/>
      <c r="F96" s="540"/>
      <c r="H96" s="232"/>
      <c r="I96" s="547"/>
      <c r="J96" s="548"/>
      <c r="K96" s="549"/>
      <c r="L96" s="549"/>
    </row>
    <row r="97" customFormat="false" ht="18" hidden="false" customHeight="true" outlineLevel="0" collapsed="false">
      <c r="A97" s="544" t="n">
        <v>92</v>
      </c>
      <c r="B97" s="180"/>
      <c r="C97" s="181"/>
      <c r="D97" s="182"/>
      <c r="E97" s="183"/>
      <c r="F97" s="540"/>
      <c r="H97" s="232"/>
      <c r="I97" s="547"/>
      <c r="J97" s="548"/>
      <c r="K97" s="549"/>
      <c r="L97" s="549"/>
    </row>
    <row r="98" customFormat="false" ht="18" hidden="false" customHeight="true" outlineLevel="0" collapsed="false">
      <c r="A98" s="544" t="n">
        <v>93</v>
      </c>
      <c r="B98" s="180"/>
      <c r="C98" s="181"/>
      <c r="D98" s="182"/>
      <c r="E98" s="183"/>
      <c r="F98" s="540"/>
      <c r="H98" s="232"/>
      <c r="I98" s="547"/>
      <c r="J98" s="548"/>
      <c r="K98" s="549"/>
      <c r="L98" s="549"/>
    </row>
    <row r="99" customFormat="false" ht="18" hidden="false" customHeight="true" outlineLevel="0" collapsed="false">
      <c r="A99" s="544" t="n">
        <v>94</v>
      </c>
      <c r="B99" s="180"/>
      <c r="C99" s="181"/>
      <c r="D99" s="182"/>
      <c r="E99" s="183"/>
      <c r="F99" s="540"/>
      <c r="H99" s="232"/>
      <c r="I99" s="547"/>
      <c r="J99" s="548"/>
      <c r="K99" s="549"/>
      <c r="L99" s="549"/>
    </row>
    <row r="100" customFormat="false" ht="18" hidden="false" customHeight="true" outlineLevel="0" collapsed="false">
      <c r="A100" s="544" t="n">
        <v>95</v>
      </c>
      <c r="B100" s="180"/>
      <c r="C100" s="181"/>
      <c r="D100" s="182"/>
      <c r="E100" s="183"/>
      <c r="F100" s="540"/>
      <c r="H100" s="232"/>
      <c r="I100" s="547"/>
      <c r="J100" s="548"/>
      <c r="K100" s="549"/>
      <c r="L100" s="549"/>
    </row>
    <row r="101" customFormat="false" ht="18" hidden="false" customHeight="true" outlineLevel="0" collapsed="false">
      <c r="A101" s="544" t="n">
        <v>96</v>
      </c>
      <c r="B101" s="180"/>
      <c r="C101" s="181"/>
      <c r="D101" s="182"/>
      <c r="E101" s="183"/>
      <c r="F101" s="540"/>
      <c r="H101" s="232"/>
      <c r="I101" s="547"/>
      <c r="J101" s="548"/>
      <c r="K101" s="549"/>
      <c r="L101" s="549"/>
    </row>
    <row r="102" customFormat="false" ht="18" hidden="false" customHeight="true" outlineLevel="0" collapsed="false">
      <c r="A102" s="544" t="n">
        <v>97</v>
      </c>
      <c r="B102" s="180"/>
      <c r="C102" s="181"/>
      <c r="D102" s="182"/>
      <c r="E102" s="183"/>
      <c r="F102" s="540"/>
      <c r="H102" s="232"/>
      <c r="I102" s="547"/>
      <c r="J102" s="548"/>
      <c r="K102" s="549"/>
      <c r="L102" s="549"/>
    </row>
    <row r="103" customFormat="false" ht="18" hidden="false" customHeight="true" outlineLevel="0" collapsed="false">
      <c r="A103" s="544" t="n">
        <v>98</v>
      </c>
      <c r="B103" s="180"/>
      <c r="C103" s="181"/>
      <c r="D103" s="182"/>
      <c r="E103" s="183"/>
      <c r="F103" s="540"/>
      <c r="H103" s="232"/>
      <c r="I103" s="547"/>
      <c r="J103" s="548"/>
      <c r="K103" s="549"/>
      <c r="L103" s="549"/>
    </row>
    <row r="104" customFormat="false" ht="18" hidden="false" customHeight="true" outlineLevel="0" collapsed="false">
      <c r="A104" s="544" t="n">
        <v>99</v>
      </c>
      <c r="B104" s="180"/>
      <c r="C104" s="181"/>
      <c r="D104" s="182"/>
      <c r="E104" s="183"/>
      <c r="F104" s="540"/>
      <c r="H104" s="232"/>
      <c r="I104" s="547"/>
      <c r="J104" s="548"/>
      <c r="K104" s="549"/>
      <c r="L104" s="549"/>
    </row>
    <row r="105" customFormat="false" ht="18" hidden="false" customHeight="true" outlineLevel="0" collapsed="false">
      <c r="A105" s="544" t="n">
        <v>100</v>
      </c>
      <c r="B105" s="180"/>
      <c r="C105" s="181"/>
      <c r="D105" s="182"/>
      <c r="E105" s="183"/>
      <c r="F105" s="540"/>
      <c r="H105" s="232"/>
      <c r="I105" s="547"/>
      <c r="J105" s="548"/>
      <c r="K105" s="549"/>
      <c r="L105" s="549"/>
    </row>
    <row r="106" customFormat="false" ht="18" hidden="false" customHeight="true" outlineLevel="0" collapsed="false">
      <c r="A106" s="544" t="n">
        <v>101</v>
      </c>
      <c r="B106" s="180"/>
      <c r="C106" s="181"/>
      <c r="D106" s="182"/>
      <c r="E106" s="183"/>
      <c r="F106" s="540"/>
      <c r="H106" s="232"/>
      <c r="I106" s="547"/>
      <c r="J106" s="548"/>
      <c r="K106" s="549"/>
      <c r="L106" s="549"/>
    </row>
    <row r="107" customFormat="false" ht="18" hidden="false" customHeight="true" outlineLevel="0" collapsed="false">
      <c r="A107" s="544" t="n">
        <v>102</v>
      </c>
      <c r="B107" s="180"/>
      <c r="C107" s="181"/>
      <c r="D107" s="182"/>
      <c r="E107" s="183"/>
      <c r="F107" s="540"/>
      <c r="H107" s="232"/>
      <c r="I107" s="547"/>
      <c r="J107" s="548"/>
      <c r="K107" s="549"/>
      <c r="L107" s="549"/>
    </row>
    <row r="108" customFormat="false" ht="18" hidden="false" customHeight="true" outlineLevel="0" collapsed="false">
      <c r="A108" s="544" t="n">
        <v>103</v>
      </c>
      <c r="B108" s="180"/>
      <c r="C108" s="181"/>
      <c r="D108" s="182"/>
      <c r="E108" s="183"/>
      <c r="F108" s="540"/>
      <c r="H108" s="552"/>
      <c r="I108" s="547"/>
      <c r="J108" s="548"/>
      <c r="K108" s="549"/>
      <c r="L108" s="549"/>
    </row>
    <row r="109" customFormat="false" ht="18" hidden="false" customHeight="true" outlineLevel="0" collapsed="false">
      <c r="A109" s="544" t="n">
        <v>104</v>
      </c>
      <c r="B109" s="180"/>
      <c r="C109" s="181"/>
      <c r="D109" s="182"/>
      <c r="E109" s="183"/>
      <c r="F109" s="540"/>
      <c r="H109" s="232"/>
      <c r="I109" s="547"/>
      <c r="J109" s="548"/>
      <c r="K109" s="549"/>
      <c r="L109" s="549"/>
    </row>
    <row r="110" customFormat="false" ht="18" hidden="false" customHeight="true" outlineLevel="0" collapsed="false">
      <c r="A110" s="544" t="n">
        <v>105</v>
      </c>
      <c r="B110" s="180"/>
      <c r="C110" s="181"/>
      <c r="D110" s="182"/>
      <c r="E110" s="183"/>
      <c r="F110" s="540"/>
      <c r="H110" s="232"/>
      <c r="I110" s="547"/>
      <c r="J110" s="548"/>
      <c r="K110" s="549"/>
      <c r="L110" s="549"/>
    </row>
    <row r="111" customFormat="false" ht="18" hidden="false" customHeight="true" outlineLevel="0" collapsed="false">
      <c r="A111" s="544" t="n">
        <v>106</v>
      </c>
      <c r="B111" s="180"/>
      <c r="C111" s="181"/>
      <c r="D111" s="182"/>
      <c r="E111" s="183"/>
      <c r="F111" s="540"/>
      <c r="I111" s="547"/>
      <c r="J111" s="548"/>
      <c r="K111" s="549"/>
      <c r="L111" s="549"/>
    </row>
    <row r="112" customFormat="false" ht="18" hidden="false" customHeight="true" outlineLevel="0" collapsed="false">
      <c r="A112" s="544" t="n">
        <v>107</v>
      </c>
      <c r="B112" s="180"/>
      <c r="C112" s="181"/>
      <c r="D112" s="182"/>
      <c r="E112" s="183"/>
      <c r="F112" s="540"/>
      <c r="H112" s="232"/>
      <c r="I112" s="547"/>
      <c r="J112" s="548"/>
      <c r="K112" s="549"/>
      <c r="L112" s="549"/>
    </row>
    <row r="113" customFormat="false" ht="18" hidden="false" customHeight="true" outlineLevel="0" collapsed="false">
      <c r="A113" s="544" t="n">
        <v>108</v>
      </c>
      <c r="B113" s="180"/>
      <c r="C113" s="181"/>
      <c r="D113" s="182"/>
      <c r="E113" s="183"/>
      <c r="F113" s="540"/>
      <c r="H113" s="232"/>
      <c r="I113" s="547"/>
      <c r="J113" s="548"/>
      <c r="K113" s="549"/>
      <c r="L113" s="549"/>
    </row>
    <row r="114" customFormat="false" ht="18" hidden="false" customHeight="true" outlineLevel="0" collapsed="false">
      <c r="A114" s="544" t="n">
        <v>109</v>
      </c>
      <c r="B114" s="180"/>
      <c r="C114" s="181"/>
      <c r="D114" s="182"/>
      <c r="E114" s="183"/>
      <c r="F114" s="540"/>
      <c r="H114" s="232"/>
      <c r="I114" s="547"/>
      <c r="J114" s="548"/>
      <c r="K114" s="549"/>
      <c r="L114" s="549"/>
    </row>
    <row r="115" customFormat="false" ht="18" hidden="false" customHeight="true" outlineLevel="0" collapsed="false">
      <c r="A115" s="544" t="n">
        <v>110</v>
      </c>
      <c r="B115" s="180"/>
      <c r="C115" s="181"/>
      <c r="D115" s="182"/>
      <c r="E115" s="183"/>
      <c r="F115" s="540"/>
      <c r="H115" s="232"/>
      <c r="I115" s="547"/>
      <c r="J115" s="548"/>
      <c r="K115" s="549"/>
      <c r="L115" s="549"/>
    </row>
    <row r="116" customFormat="false" ht="18" hidden="false" customHeight="true" outlineLevel="0" collapsed="false">
      <c r="A116" s="544" t="n">
        <v>111</v>
      </c>
      <c r="B116" s="180"/>
      <c r="C116" s="181"/>
      <c r="D116" s="182"/>
      <c r="E116" s="183"/>
      <c r="F116" s="540"/>
      <c r="H116" s="232"/>
      <c r="I116" s="547"/>
      <c r="J116" s="548"/>
      <c r="K116" s="549"/>
      <c r="L116" s="549"/>
    </row>
    <row r="117" customFormat="false" ht="18" hidden="false" customHeight="true" outlineLevel="0" collapsed="false">
      <c r="A117" s="544" t="n">
        <v>112</v>
      </c>
      <c r="B117" s="180"/>
      <c r="C117" s="181"/>
      <c r="D117" s="182"/>
      <c r="E117" s="183"/>
      <c r="F117" s="540"/>
      <c r="H117" s="232"/>
      <c r="I117" s="547"/>
      <c r="J117" s="548"/>
      <c r="K117" s="549"/>
      <c r="L117" s="549"/>
    </row>
    <row r="118" customFormat="false" ht="18" hidden="false" customHeight="true" outlineLevel="0" collapsed="false">
      <c r="A118" s="544" t="n">
        <v>113</v>
      </c>
      <c r="B118" s="180"/>
      <c r="C118" s="181"/>
      <c r="D118" s="182"/>
      <c r="E118" s="183"/>
      <c r="F118" s="540"/>
      <c r="H118" s="232"/>
      <c r="I118" s="547"/>
      <c r="J118" s="548"/>
      <c r="K118" s="549"/>
      <c r="L118" s="549"/>
    </row>
    <row r="119" customFormat="false" ht="18" hidden="false" customHeight="true" outlineLevel="0" collapsed="false">
      <c r="A119" s="544" t="n">
        <v>114</v>
      </c>
      <c r="B119" s="180"/>
      <c r="C119" s="181"/>
      <c r="D119" s="182"/>
      <c r="E119" s="183"/>
      <c r="F119" s="540"/>
      <c r="H119" s="232"/>
      <c r="I119" s="547"/>
      <c r="J119" s="548"/>
      <c r="K119" s="549"/>
      <c r="L119" s="549"/>
    </row>
    <row r="120" customFormat="false" ht="18" hidden="false" customHeight="true" outlineLevel="0" collapsed="false">
      <c r="A120" s="544" t="n">
        <v>115</v>
      </c>
      <c r="B120" s="180"/>
      <c r="C120" s="181"/>
      <c r="D120" s="182"/>
      <c r="E120" s="183"/>
      <c r="F120" s="540"/>
      <c r="H120" s="232"/>
      <c r="I120" s="547"/>
      <c r="J120" s="548"/>
      <c r="K120" s="549"/>
      <c r="L120" s="549"/>
    </row>
    <row r="121" customFormat="false" ht="18" hidden="false" customHeight="true" outlineLevel="0" collapsed="false">
      <c r="A121" s="544" t="n">
        <v>116</v>
      </c>
      <c r="B121" s="180"/>
      <c r="C121" s="181"/>
      <c r="D121" s="182"/>
      <c r="E121" s="183"/>
      <c r="F121" s="540"/>
      <c r="H121" s="232"/>
      <c r="I121" s="547"/>
      <c r="J121" s="548"/>
      <c r="K121" s="549"/>
      <c r="L121" s="549"/>
    </row>
    <row r="122" customFormat="false" ht="18" hidden="false" customHeight="true" outlineLevel="0" collapsed="false">
      <c r="A122" s="544" t="n">
        <v>117</v>
      </c>
      <c r="B122" s="180"/>
      <c r="C122" s="181"/>
      <c r="D122" s="182"/>
      <c r="E122" s="183"/>
      <c r="F122" s="550"/>
      <c r="G122" s="551"/>
      <c r="H122" s="232"/>
      <c r="I122" s="547"/>
      <c r="J122" s="548"/>
      <c r="K122" s="549"/>
      <c r="L122" s="549"/>
      <c r="M122" s="551"/>
      <c r="N122" s="551"/>
      <c r="O122" s="551"/>
      <c r="P122" s="551"/>
      <c r="Q122" s="551"/>
      <c r="R122" s="551"/>
      <c r="S122" s="551"/>
      <c r="T122" s="551"/>
      <c r="U122" s="551"/>
      <c r="V122" s="551"/>
      <c r="W122" s="551"/>
      <c r="X122" s="551"/>
      <c r="Y122" s="551"/>
      <c r="Z122" s="551"/>
      <c r="AA122" s="551"/>
      <c r="AB122" s="551"/>
      <c r="AC122" s="551"/>
      <c r="AD122" s="551"/>
      <c r="AE122" s="551"/>
      <c r="AF122" s="551"/>
      <c r="AG122" s="551"/>
      <c r="AH122" s="551"/>
      <c r="AI122" s="551"/>
      <c r="AJ122" s="551"/>
      <c r="AK122" s="551"/>
      <c r="AL122" s="551"/>
      <c r="AM122" s="551"/>
      <c r="AN122" s="551"/>
      <c r="AO122" s="551"/>
      <c r="AP122" s="551"/>
      <c r="AQ122" s="551"/>
      <c r="AR122" s="551"/>
      <c r="AS122" s="551"/>
      <c r="AT122" s="551"/>
      <c r="AU122" s="551"/>
      <c r="AV122" s="551"/>
      <c r="AW122" s="551"/>
      <c r="AX122" s="551"/>
      <c r="AY122" s="551"/>
      <c r="AZ122" s="551"/>
      <c r="BA122" s="551"/>
      <c r="BB122" s="551"/>
      <c r="BC122" s="551"/>
      <c r="BD122" s="551"/>
      <c r="BE122" s="551"/>
      <c r="BF122" s="551"/>
      <c r="BG122" s="551"/>
      <c r="BH122" s="551"/>
      <c r="BI122" s="551"/>
      <c r="BJ122" s="551"/>
      <c r="BK122" s="551"/>
      <c r="BL122" s="551"/>
      <c r="BM122" s="551"/>
      <c r="BN122" s="551"/>
      <c r="BO122" s="551"/>
      <c r="BP122" s="551"/>
      <c r="BQ122" s="551"/>
      <c r="BR122" s="551"/>
      <c r="BS122" s="551"/>
      <c r="BT122" s="551"/>
      <c r="BU122" s="551"/>
      <c r="BV122" s="551"/>
      <c r="BW122" s="551"/>
      <c r="BX122" s="551"/>
      <c r="BY122" s="551"/>
      <c r="BZ122" s="551"/>
      <c r="CA122" s="551"/>
      <c r="CB122" s="551"/>
      <c r="CC122" s="551"/>
      <c r="CD122" s="551"/>
      <c r="CE122" s="551"/>
      <c r="CF122" s="551"/>
      <c r="CG122" s="551"/>
      <c r="CH122" s="551"/>
      <c r="CI122" s="551"/>
      <c r="CJ122" s="551"/>
      <c r="CK122" s="551"/>
      <c r="CL122" s="551"/>
      <c r="CM122" s="551"/>
      <c r="CN122" s="551"/>
      <c r="CO122" s="551"/>
      <c r="CP122" s="551"/>
      <c r="CQ122" s="551"/>
      <c r="CR122" s="551"/>
      <c r="CS122" s="551"/>
      <c r="CT122" s="551"/>
      <c r="CU122" s="551"/>
      <c r="CV122" s="551"/>
      <c r="CW122" s="551"/>
      <c r="CX122" s="551"/>
      <c r="CY122" s="551"/>
      <c r="CZ122" s="551"/>
      <c r="DA122" s="551"/>
      <c r="DB122" s="551"/>
      <c r="DC122" s="551"/>
      <c r="DD122" s="551"/>
      <c r="DE122" s="551"/>
      <c r="DF122" s="551"/>
      <c r="DG122" s="551"/>
      <c r="DH122" s="551"/>
      <c r="DI122" s="551"/>
      <c r="DJ122" s="551"/>
      <c r="DK122" s="551"/>
      <c r="DL122" s="551"/>
      <c r="DM122" s="551"/>
      <c r="DN122" s="551"/>
      <c r="DO122" s="551"/>
      <c r="DP122" s="551"/>
      <c r="DQ122" s="551"/>
      <c r="DR122" s="551"/>
      <c r="DS122" s="551"/>
      <c r="DT122" s="551"/>
      <c r="DU122" s="551"/>
      <c r="DV122" s="551"/>
      <c r="DW122" s="551"/>
      <c r="DX122" s="551"/>
      <c r="DY122" s="551"/>
      <c r="DZ122" s="551"/>
      <c r="EA122" s="551"/>
      <c r="EB122" s="551"/>
      <c r="EC122" s="551"/>
      <c r="ED122" s="551"/>
      <c r="EE122" s="551"/>
      <c r="EF122" s="551"/>
      <c r="EG122" s="551"/>
      <c r="EH122" s="551"/>
      <c r="EI122" s="551"/>
      <c r="EJ122" s="551"/>
      <c r="EK122" s="551"/>
      <c r="EL122" s="551"/>
      <c r="EM122" s="551"/>
      <c r="EN122" s="551"/>
      <c r="EO122" s="551"/>
      <c r="EP122" s="551"/>
      <c r="EQ122" s="551"/>
      <c r="ER122" s="551"/>
      <c r="ES122" s="551"/>
      <c r="ET122" s="551"/>
      <c r="EU122" s="551"/>
      <c r="EV122" s="551"/>
      <c r="EW122" s="551"/>
      <c r="EX122" s="551"/>
      <c r="EY122" s="551"/>
      <c r="EZ122" s="551"/>
      <c r="FA122" s="551"/>
      <c r="FB122" s="551"/>
      <c r="FC122" s="551"/>
      <c r="FD122" s="551"/>
      <c r="FE122" s="551"/>
      <c r="FF122" s="551"/>
      <c r="FG122" s="551"/>
      <c r="FH122" s="551"/>
      <c r="FI122" s="551"/>
      <c r="FJ122" s="551"/>
      <c r="FK122" s="551"/>
      <c r="FL122" s="551"/>
      <c r="FM122" s="551"/>
      <c r="FN122" s="551"/>
      <c r="FO122" s="551"/>
      <c r="FP122" s="551"/>
      <c r="FQ122" s="551"/>
      <c r="FR122" s="551"/>
      <c r="FS122" s="551"/>
      <c r="FT122" s="551"/>
      <c r="FU122" s="551"/>
      <c r="FV122" s="551"/>
      <c r="FW122" s="551"/>
      <c r="FX122" s="551"/>
      <c r="FY122" s="551"/>
      <c r="FZ122" s="551"/>
      <c r="GA122" s="551"/>
      <c r="GB122" s="551"/>
      <c r="GC122" s="551"/>
      <c r="GD122" s="551"/>
      <c r="GE122" s="551"/>
      <c r="GF122" s="551"/>
      <c r="GG122" s="551"/>
      <c r="GH122" s="551"/>
      <c r="GI122" s="551"/>
      <c r="GJ122" s="551"/>
      <c r="GK122" s="551"/>
      <c r="GL122" s="551"/>
      <c r="GM122" s="551"/>
      <c r="GN122" s="551"/>
      <c r="GO122" s="551"/>
      <c r="GP122" s="551"/>
      <c r="GQ122" s="551"/>
      <c r="GR122" s="551"/>
      <c r="GS122" s="551"/>
      <c r="GT122" s="551"/>
      <c r="GU122" s="551"/>
      <c r="GV122" s="551"/>
      <c r="GW122" s="551"/>
      <c r="GX122" s="551"/>
      <c r="GY122" s="551"/>
      <c r="GZ122" s="551"/>
      <c r="HA122" s="551"/>
      <c r="HB122" s="551"/>
      <c r="HC122" s="551"/>
      <c r="HD122" s="551"/>
      <c r="HE122" s="551"/>
      <c r="HF122" s="551"/>
      <c r="HG122" s="551"/>
      <c r="HH122" s="551"/>
      <c r="HI122" s="551"/>
      <c r="HJ122" s="551"/>
      <c r="HK122" s="551"/>
      <c r="HL122" s="551"/>
      <c r="HM122" s="551"/>
      <c r="HN122" s="551"/>
      <c r="HO122" s="551"/>
      <c r="HP122" s="551"/>
      <c r="HQ122" s="551"/>
      <c r="HR122" s="551"/>
      <c r="HS122" s="551"/>
      <c r="HT122" s="551"/>
      <c r="HU122" s="551"/>
      <c r="HV122" s="551"/>
      <c r="HW122" s="551"/>
      <c r="HX122" s="551"/>
      <c r="HY122" s="551"/>
      <c r="HZ122" s="551"/>
      <c r="IA122" s="551"/>
      <c r="IB122" s="551"/>
      <c r="IC122" s="551"/>
      <c r="ID122" s="551"/>
      <c r="IE122" s="551"/>
      <c r="IF122" s="551"/>
      <c r="IG122" s="551"/>
      <c r="IH122" s="551"/>
      <c r="II122" s="551"/>
      <c r="IJ122" s="551"/>
      <c r="IK122" s="551"/>
      <c r="IL122" s="551"/>
      <c r="IM122" s="551"/>
      <c r="IN122" s="551"/>
      <c r="IO122" s="551"/>
      <c r="IP122" s="551"/>
      <c r="IQ122" s="551"/>
      <c r="IR122" s="551"/>
      <c r="IS122" s="551"/>
      <c r="IT122" s="551"/>
      <c r="IU122" s="551"/>
      <c r="IV122" s="551"/>
      <c r="IW122" s="551"/>
    </row>
    <row r="123" customFormat="false" ht="18" hidden="false" customHeight="true" outlineLevel="0" collapsed="false">
      <c r="A123" s="544" t="n">
        <v>118</v>
      </c>
      <c r="B123" s="180"/>
      <c r="C123" s="181"/>
      <c r="D123" s="182"/>
      <c r="E123" s="183"/>
      <c r="F123" s="540"/>
      <c r="H123" s="232"/>
      <c r="I123" s="547"/>
      <c r="J123" s="548"/>
      <c r="K123" s="549"/>
      <c r="L123" s="549"/>
    </row>
    <row r="124" customFormat="false" ht="18" hidden="false" customHeight="true" outlineLevel="0" collapsed="false">
      <c r="A124" s="544" t="n">
        <v>119</v>
      </c>
      <c r="B124" s="180"/>
      <c r="C124" s="181"/>
      <c r="D124" s="182"/>
      <c r="E124" s="183"/>
      <c r="F124" s="540"/>
      <c r="H124" s="232"/>
      <c r="I124" s="547"/>
      <c r="J124" s="548"/>
      <c r="K124" s="549"/>
      <c r="L124" s="549"/>
    </row>
    <row r="125" customFormat="false" ht="18" hidden="false" customHeight="true" outlineLevel="0" collapsed="false">
      <c r="A125" s="544" t="n">
        <v>120</v>
      </c>
      <c r="B125" s="180"/>
      <c r="C125" s="181"/>
      <c r="D125" s="182"/>
      <c r="E125" s="183"/>
      <c r="F125" s="540"/>
      <c r="H125" s="232"/>
      <c r="I125" s="547"/>
      <c r="J125" s="548"/>
      <c r="K125" s="549"/>
      <c r="L125" s="549"/>
    </row>
    <row r="126" customFormat="false" ht="18" hidden="false" customHeight="true" outlineLevel="0" collapsed="false">
      <c r="A126" s="544" t="n">
        <v>121</v>
      </c>
      <c r="B126" s="180"/>
      <c r="C126" s="181"/>
      <c r="D126" s="182"/>
      <c r="E126" s="183"/>
      <c r="F126" s="540"/>
      <c r="H126" s="552"/>
      <c r="I126" s="547"/>
      <c r="J126" s="548"/>
      <c r="K126" s="549"/>
      <c r="L126" s="549"/>
    </row>
    <row r="127" customFormat="false" ht="18" hidden="false" customHeight="true" outlineLevel="0" collapsed="false">
      <c r="A127" s="544" t="n">
        <v>122</v>
      </c>
      <c r="B127" s="180"/>
      <c r="C127" s="181"/>
      <c r="D127" s="182"/>
      <c r="E127" s="183"/>
      <c r="F127" s="540"/>
      <c r="H127" s="232"/>
      <c r="I127" s="547"/>
      <c r="J127" s="548"/>
      <c r="K127" s="549"/>
      <c r="L127" s="549"/>
    </row>
    <row r="128" customFormat="false" ht="18" hidden="false" customHeight="true" outlineLevel="0" collapsed="false">
      <c r="A128" s="544" t="n">
        <v>123</v>
      </c>
      <c r="B128" s="180"/>
      <c r="C128" s="181"/>
      <c r="D128" s="182"/>
      <c r="E128" s="183"/>
      <c r="F128" s="540"/>
      <c r="H128" s="552"/>
      <c r="I128" s="547"/>
      <c r="J128" s="548"/>
      <c r="K128" s="549"/>
      <c r="L128" s="549"/>
    </row>
    <row r="129" customFormat="false" ht="18" hidden="false" customHeight="true" outlineLevel="0" collapsed="false">
      <c r="A129" s="544" t="n">
        <v>124</v>
      </c>
      <c r="B129" s="180"/>
      <c r="C129" s="181"/>
      <c r="D129" s="182"/>
      <c r="E129" s="183"/>
      <c r="F129" s="540"/>
      <c r="H129" s="232"/>
      <c r="I129" s="547"/>
      <c r="J129" s="548"/>
      <c r="K129" s="549"/>
      <c r="L129" s="549"/>
    </row>
    <row r="130" customFormat="false" ht="18" hidden="false" customHeight="true" outlineLevel="0" collapsed="false">
      <c r="A130" s="544" t="n">
        <v>125</v>
      </c>
      <c r="B130" s="180"/>
      <c r="C130" s="181"/>
      <c r="D130" s="182"/>
      <c r="E130" s="183"/>
      <c r="F130" s="540"/>
      <c r="H130" s="232"/>
      <c r="I130" s="547"/>
      <c r="J130" s="548"/>
      <c r="K130" s="549"/>
      <c r="L130" s="549"/>
    </row>
    <row r="131" customFormat="false" ht="18" hidden="false" customHeight="true" outlineLevel="0" collapsed="false">
      <c r="A131" s="544" t="n">
        <v>126</v>
      </c>
      <c r="B131" s="180"/>
      <c r="C131" s="181"/>
      <c r="D131" s="182"/>
      <c r="E131" s="183"/>
      <c r="F131" s="540"/>
      <c r="H131" s="232"/>
      <c r="I131" s="547"/>
      <c r="J131" s="548"/>
      <c r="K131" s="549"/>
      <c r="L131" s="549"/>
    </row>
    <row r="132" customFormat="false" ht="18" hidden="false" customHeight="true" outlineLevel="0" collapsed="false">
      <c r="A132" s="544" t="n">
        <v>127</v>
      </c>
      <c r="B132" s="180"/>
      <c r="C132" s="181"/>
      <c r="D132" s="182"/>
      <c r="E132" s="183"/>
      <c r="F132" s="540"/>
      <c r="H132" s="232"/>
      <c r="I132" s="547"/>
      <c r="J132" s="548"/>
      <c r="K132" s="549"/>
      <c r="L132" s="549"/>
    </row>
    <row r="133" customFormat="false" ht="18" hidden="false" customHeight="true" outlineLevel="0" collapsed="false">
      <c r="A133" s="544" t="n">
        <v>128</v>
      </c>
      <c r="B133" s="180"/>
      <c r="C133" s="181"/>
      <c r="D133" s="182"/>
      <c r="E133" s="183"/>
      <c r="F133" s="540"/>
      <c r="H133" s="232"/>
      <c r="I133" s="547"/>
      <c r="J133" s="548"/>
      <c r="K133" s="549"/>
      <c r="L133" s="549"/>
    </row>
    <row r="134" customFormat="false" ht="18" hidden="false" customHeight="true" outlineLevel="0" collapsed="false">
      <c r="A134" s="544" t="n">
        <v>129</v>
      </c>
      <c r="B134" s="180"/>
      <c r="C134" s="181"/>
      <c r="D134" s="182"/>
      <c r="E134" s="183"/>
      <c r="F134" s="540"/>
      <c r="H134" s="232"/>
      <c r="I134" s="547"/>
      <c r="J134" s="548"/>
      <c r="K134" s="549"/>
      <c r="L134" s="549"/>
    </row>
    <row r="135" customFormat="false" ht="18" hidden="false" customHeight="true" outlineLevel="0" collapsed="false">
      <c r="A135" s="544" t="n">
        <v>130</v>
      </c>
      <c r="B135" s="180"/>
      <c r="C135" s="181"/>
      <c r="D135" s="182"/>
      <c r="E135" s="183"/>
      <c r="F135" s="540"/>
      <c r="H135" s="232"/>
      <c r="I135" s="547"/>
      <c r="J135" s="548"/>
      <c r="K135" s="549"/>
      <c r="L135" s="549"/>
    </row>
    <row r="136" customFormat="false" ht="18" hidden="false" customHeight="true" outlineLevel="0" collapsed="false">
      <c r="A136" s="544" t="n">
        <v>131</v>
      </c>
      <c r="B136" s="180"/>
      <c r="C136" s="181"/>
      <c r="D136" s="182"/>
      <c r="E136" s="183"/>
      <c r="F136" s="540"/>
      <c r="H136" s="232"/>
      <c r="I136" s="547"/>
      <c r="J136" s="548"/>
      <c r="K136" s="549"/>
      <c r="L136" s="549"/>
    </row>
    <row r="137" customFormat="false" ht="18" hidden="false" customHeight="true" outlineLevel="0" collapsed="false">
      <c r="A137" s="544" t="n">
        <v>132</v>
      </c>
      <c r="B137" s="180"/>
      <c r="C137" s="181"/>
      <c r="D137" s="182"/>
      <c r="E137" s="183"/>
      <c r="F137" s="540"/>
      <c r="H137" s="232"/>
      <c r="I137" s="547"/>
      <c r="J137" s="548"/>
      <c r="K137" s="549"/>
      <c r="L137" s="549"/>
    </row>
    <row r="138" customFormat="false" ht="18" hidden="false" customHeight="true" outlineLevel="0" collapsed="false">
      <c r="A138" s="544" t="n">
        <v>133</v>
      </c>
      <c r="B138" s="180"/>
      <c r="C138" s="181"/>
      <c r="D138" s="182"/>
      <c r="E138" s="183"/>
      <c r="F138" s="540"/>
      <c r="H138" s="232"/>
      <c r="I138" s="547"/>
      <c r="J138" s="548"/>
      <c r="K138" s="549"/>
      <c r="L138" s="549"/>
    </row>
    <row r="139" customFormat="false" ht="18" hidden="false" customHeight="true" outlineLevel="0" collapsed="false">
      <c r="A139" s="544" t="n">
        <v>134</v>
      </c>
      <c r="B139" s="180"/>
      <c r="C139" s="181"/>
      <c r="D139" s="182"/>
      <c r="E139" s="183"/>
      <c r="F139" s="540"/>
      <c r="H139" s="232"/>
      <c r="I139" s="547"/>
      <c r="J139" s="548"/>
      <c r="K139" s="549"/>
      <c r="L139" s="549"/>
    </row>
    <row r="140" customFormat="false" ht="18" hidden="false" customHeight="true" outlineLevel="0" collapsed="false">
      <c r="A140" s="544" t="n">
        <v>135</v>
      </c>
      <c r="B140" s="180"/>
      <c r="C140" s="181"/>
      <c r="D140" s="182"/>
      <c r="E140" s="183"/>
      <c r="F140" s="540"/>
      <c r="H140" s="232"/>
      <c r="I140" s="547"/>
      <c r="J140" s="548"/>
      <c r="K140" s="549"/>
      <c r="L140" s="549"/>
    </row>
    <row r="141" customFormat="false" ht="18" hidden="false" customHeight="true" outlineLevel="0" collapsed="false">
      <c r="A141" s="544" t="n">
        <v>136</v>
      </c>
      <c r="B141" s="180"/>
      <c r="C141" s="181"/>
      <c r="D141" s="182"/>
      <c r="E141" s="183"/>
      <c r="F141" s="540"/>
      <c r="H141" s="232"/>
      <c r="I141" s="547"/>
      <c r="J141" s="548"/>
      <c r="K141" s="549"/>
      <c r="L141" s="549"/>
    </row>
    <row r="142" customFormat="false" ht="18" hidden="false" customHeight="true" outlineLevel="0" collapsed="false">
      <c r="A142" s="544" t="n">
        <v>137</v>
      </c>
      <c r="B142" s="180"/>
      <c r="C142" s="181"/>
      <c r="D142" s="182"/>
      <c r="E142" s="183"/>
      <c r="F142" s="540"/>
      <c r="H142" s="232"/>
      <c r="I142" s="547"/>
      <c r="J142" s="548"/>
      <c r="K142" s="549"/>
      <c r="L142" s="549"/>
    </row>
    <row r="143" customFormat="false" ht="18" hidden="false" customHeight="true" outlineLevel="0" collapsed="false">
      <c r="A143" s="544" t="n">
        <v>138</v>
      </c>
      <c r="B143" s="180"/>
      <c r="C143" s="181"/>
      <c r="D143" s="182"/>
      <c r="E143" s="183"/>
      <c r="F143" s="540"/>
      <c r="H143" s="552"/>
      <c r="I143" s="547"/>
      <c r="J143" s="548"/>
      <c r="K143" s="549"/>
      <c r="L143" s="549"/>
    </row>
    <row r="144" customFormat="false" ht="18" hidden="false" customHeight="true" outlineLevel="0" collapsed="false">
      <c r="A144" s="544" t="n">
        <v>139</v>
      </c>
      <c r="B144" s="180"/>
      <c r="C144" s="181"/>
      <c r="D144" s="182"/>
      <c r="E144" s="183"/>
      <c r="F144" s="540"/>
      <c r="H144" s="232"/>
      <c r="I144" s="547"/>
      <c r="J144" s="548"/>
      <c r="K144" s="549"/>
      <c r="L144" s="549"/>
    </row>
    <row r="145" customFormat="false" ht="18" hidden="false" customHeight="true" outlineLevel="0" collapsed="false">
      <c r="A145" s="544" t="n">
        <v>140</v>
      </c>
      <c r="B145" s="180"/>
      <c r="C145" s="181"/>
      <c r="D145" s="182"/>
      <c r="E145" s="183"/>
      <c r="F145" s="540"/>
      <c r="H145" s="232"/>
      <c r="I145" s="547"/>
      <c r="J145" s="548"/>
      <c r="K145" s="549"/>
      <c r="L145" s="549"/>
    </row>
    <row r="146" customFormat="false" ht="18" hidden="false" customHeight="true" outlineLevel="0" collapsed="false">
      <c r="A146" s="544" t="n">
        <v>141</v>
      </c>
      <c r="B146" s="180"/>
      <c r="C146" s="181"/>
      <c r="D146" s="182"/>
      <c r="E146" s="183"/>
      <c r="F146" s="540"/>
      <c r="I146" s="547"/>
      <c r="J146" s="548"/>
      <c r="K146" s="549"/>
      <c r="L146" s="549"/>
    </row>
    <row r="147" customFormat="false" ht="18" hidden="false" customHeight="true" outlineLevel="0" collapsed="false">
      <c r="A147" s="544" t="n">
        <v>142</v>
      </c>
      <c r="B147" s="180"/>
      <c r="C147" s="181"/>
      <c r="D147" s="182"/>
      <c r="E147" s="183"/>
      <c r="F147" s="540"/>
      <c r="H147" s="232"/>
      <c r="I147" s="547"/>
      <c r="J147" s="548"/>
      <c r="K147" s="549"/>
      <c r="L147" s="549"/>
    </row>
    <row r="148" customFormat="false" ht="18" hidden="false" customHeight="true" outlineLevel="0" collapsed="false">
      <c r="A148" s="544" t="n">
        <v>143</v>
      </c>
      <c r="B148" s="180"/>
      <c r="C148" s="181"/>
      <c r="D148" s="182"/>
      <c r="E148" s="183"/>
      <c r="F148" s="540"/>
      <c r="H148" s="232"/>
      <c r="I148" s="547"/>
      <c r="J148" s="548"/>
      <c r="K148" s="549"/>
      <c r="L148" s="549"/>
    </row>
    <row r="149" customFormat="false" ht="18" hidden="false" customHeight="true" outlineLevel="0" collapsed="false">
      <c r="A149" s="544" t="n">
        <v>144</v>
      </c>
      <c r="B149" s="180"/>
      <c r="C149" s="181"/>
      <c r="D149" s="182"/>
      <c r="E149" s="183"/>
      <c r="F149" s="540"/>
      <c r="H149" s="232"/>
      <c r="I149" s="547"/>
      <c r="J149" s="548"/>
      <c r="K149" s="549"/>
      <c r="L149" s="549"/>
    </row>
    <row r="150" customFormat="false" ht="18" hidden="false" customHeight="true" outlineLevel="0" collapsed="false">
      <c r="A150" s="544" t="n">
        <v>145</v>
      </c>
      <c r="B150" s="180"/>
      <c r="C150" s="181"/>
      <c r="D150" s="182"/>
      <c r="E150" s="183"/>
      <c r="F150" s="540"/>
      <c r="H150" s="232"/>
      <c r="I150" s="547"/>
      <c r="J150" s="548"/>
      <c r="K150" s="549"/>
      <c r="L150" s="549"/>
    </row>
    <row r="151" customFormat="false" ht="18" hidden="false" customHeight="true" outlineLevel="0" collapsed="false">
      <c r="A151" s="544" t="n">
        <v>146</v>
      </c>
      <c r="B151" s="180"/>
      <c r="C151" s="181"/>
      <c r="D151" s="182"/>
      <c r="E151" s="183"/>
      <c r="F151" s="540"/>
      <c r="H151" s="232"/>
      <c r="I151" s="547"/>
      <c r="J151" s="548"/>
      <c r="K151" s="549"/>
      <c r="L151" s="549"/>
    </row>
    <row r="152" customFormat="false" ht="18" hidden="false" customHeight="true" outlineLevel="0" collapsed="false">
      <c r="A152" s="544" t="n">
        <v>147</v>
      </c>
      <c r="B152" s="180"/>
      <c r="C152" s="181"/>
      <c r="D152" s="182"/>
      <c r="E152" s="183"/>
      <c r="F152" s="540"/>
      <c r="H152" s="232"/>
      <c r="I152" s="547"/>
      <c r="J152" s="548"/>
      <c r="K152" s="549"/>
      <c r="L152" s="549"/>
    </row>
    <row r="153" customFormat="false" ht="18" hidden="false" customHeight="true" outlineLevel="0" collapsed="false">
      <c r="A153" s="544" t="n">
        <v>148</v>
      </c>
      <c r="B153" s="180"/>
      <c r="C153" s="181"/>
      <c r="D153" s="182"/>
      <c r="E153" s="183"/>
      <c r="F153" s="540"/>
      <c r="H153" s="232"/>
      <c r="I153" s="547"/>
      <c r="J153" s="548"/>
      <c r="K153" s="549"/>
      <c r="L153" s="549"/>
    </row>
    <row r="154" customFormat="false" ht="18" hidden="false" customHeight="true" outlineLevel="0" collapsed="false">
      <c r="A154" s="544" t="n">
        <v>149</v>
      </c>
      <c r="B154" s="180"/>
      <c r="C154" s="181"/>
      <c r="D154" s="182"/>
      <c r="E154" s="183"/>
      <c r="F154" s="540"/>
      <c r="H154" s="232"/>
      <c r="I154" s="547"/>
      <c r="J154" s="548"/>
      <c r="K154" s="549"/>
      <c r="L154" s="549"/>
    </row>
    <row r="155" customFormat="false" ht="18" hidden="false" customHeight="true" outlineLevel="0" collapsed="false">
      <c r="A155" s="544" t="n">
        <v>150</v>
      </c>
      <c r="B155" s="180"/>
      <c r="C155" s="181"/>
      <c r="D155" s="182"/>
      <c r="E155" s="183"/>
      <c r="F155" s="540"/>
      <c r="H155" s="232"/>
      <c r="I155" s="547"/>
      <c r="J155" s="548"/>
      <c r="K155" s="549"/>
      <c r="L155" s="549"/>
    </row>
    <row r="156" customFormat="false" ht="18" hidden="false" customHeight="true" outlineLevel="0" collapsed="false">
      <c r="A156" s="544" t="n">
        <v>151</v>
      </c>
      <c r="B156" s="180"/>
      <c r="C156" s="181"/>
      <c r="D156" s="182"/>
      <c r="E156" s="183"/>
      <c r="F156" s="540"/>
      <c r="H156" s="232"/>
      <c r="I156" s="547"/>
      <c r="J156" s="548"/>
      <c r="K156" s="549"/>
      <c r="L156" s="549"/>
    </row>
    <row r="157" customFormat="false" ht="18" hidden="false" customHeight="true" outlineLevel="0" collapsed="false">
      <c r="A157" s="544" t="n">
        <v>152</v>
      </c>
      <c r="B157" s="180"/>
      <c r="C157" s="181"/>
      <c r="D157" s="182"/>
      <c r="E157" s="183"/>
      <c r="F157" s="550"/>
      <c r="G157" s="551"/>
      <c r="H157" s="232"/>
      <c r="I157" s="547"/>
      <c r="J157" s="548"/>
      <c r="K157" s="549"/>
      <c r="L157" s="549"/>
      <c r="M157" s="551"/>
      <c r="N157" s="551"/>
      <c r="O157" s="551"/>
      <c r="P157" s="551"/>
      <c r="Q157" s="551"/>
      <c r="R157" s="551"/>
      <c r="S157" s="551"/>
      <c r="T157" s="551"/>
      <c r="U157" s="551"/>
      <c r="V157" s="551"/>
      <c r="W157" s="551"/>
      <c r="X157" s="551"/>
      <c r="Y157" s="551"/>
      <c r="Z157" s="551"/>
      <c r="AA157" s="551"/>
      <c r="AB157" s="551"/>
      <c r="AC157" s="551"/>
      <c r="AD157" s="551"/>
      <c r="AE157" s="551"/>
      <c r="AF157" s="551"/>
      <c r="AG157" s="551"/>
      <c r="AH157" s="551"/>
      <c r="AI157" s="551"/>
      <c r="AJ157" s="551"/>
      <c r="AK157" s="551"/>
      <c r="AL157" s="551"/>
      <c r="AM157" s="551"/>
      <c r="AN157" s="551"/>
      <c r="AO157" s="551"/>
      <c r="AP157" s="551"/>
      <c r="AQ157" s="551"/>
      <c r="AR157" s="551"/>
      <c r="AS157" s="551"/>
      <c r="AT157" s="551"/>
      <c r="AU157" s="551"/>
      <c r="AV157" s="551"/>
      <c r="AW157" s="551"/>
      <c r="AX157" s="551"/>
      <c r="AY157" s="551"/>
      <c r="AZ157" s="551"/>
      <c r="BA157" s="551"/>
      <c r="BB157" s="551"/>
      <c r="BC157" s="551"/>
      <c r="BD157" s="551"/>
      <c r="BE157" s="551"/>
      <c r="BF157" s="551"/>
      <c r="BG157" s="551"/>
      <c r="BH157" s="551"/>
      <c r="BI157" s="551"/>
      <c r="BJ157" s="551"/>
      <c r="BK157" s="551"/>
      <c r="BL157" s="551"/>
      <c r="BM157" s="551"/>
      <c r="BN157" s="551"/>
      <c r="BO157" s="551"/>
      <c r="BP157" s="551"/>
      <c r="BQ157" s="551"/>
      <c r="BR157" s="551"/>
      <c r="BS157" s="551"/>
      <c r="BT157" s="551"/>
      <c r="BU157" s="551"/>
      <c r="BV157" s="551"/>
      <c r="BW157" s="551"/>
      <c r="BX157" s="551"/>
      <c r="BY157" s="551"/>
      <c r="BZ157" s="551"/>
      <c r="CA157" s="551"/>
      <c r="CB157" s="551"/>
      <c r="CC157" s="551"/>
      <c r="CD157" s="551"/>
      <c r="CE157" s="551"/>
      <c r="CF157" s="551"/>
      <c r="CG157" s="551"/>
      <c r="CH157" s="551"/>
      <c r="CI157" s="551"/>
      <c r="CJ157" s="551"/>
      <c r="CK157" s="551"/>
      <c r="CL157" s="551"/>
      <c r="CM157" s="551"/>
      <c r="CN157" s="551"/>
      <c r="CO157" s="551"/>
      <c r="CP157" s="551"/>
      <c r="CQ157" s="551"/>
      <c r="CR157" s="551"/>
      <c r="CS157" s="551"/>
      <c r="CT157" s="551"/>
      <c r="CU157" s="551"/>
      <c r="CV157" s="551"/>
      <c r="CW157" s="551"/>
      <c r="CX157" s="551"/>
      <c r="CY157" s="551"/>
      <c r="CZ157" s="551"/>
      <c r="DA157" s="551"/>
      <c r="DB157" s="551"/>
      <c r="DC157" s="551"/>
      <c r="DD157" s="551"/>
      <c r="DE157" s="551"/>
      <c r="DF157" s="551"/>
      <c r="DG157" s="551"/>
      <c r="DH157" s="551"/>
      <c r="DI157" s="551"/>
      <c r="DJ157" s="551"/>
      <c r="DK157" s="551"/>
      <c r="DL157" s="551"/>
      <c r="DM157" s="551"/>
      <c r="DN157" s="551"/>
      <c r="DO157" s="551"/>
      <c r="DP157" s="551"/>
      <c r="DQ157" s="551"/>
      <c r="DR157" s="551"/>
      <c r="DS157" s="551"/>
      <c r="DT157" s="551"/>
      <c r="DU157" s="551"/>
      <c r="DV157" s="551"/>
      <c r="DW157" s="551"/>
      <c r="DX157" s="551"/>
      <c r="DY157" s="551"/>
      <c r="DZ157" s="551"/>
      <c r="EA157" s="551"/>
      <c r="EB157" s="551"/>
      <c r="EC157" s="551"/>
      <c r="ED157" s="551"/>
      <c r="EE157" s="551"/>
      <c r="EF157" s="551"/>
      <c r="EG157" s="551"/>
      <c r="EH157" s="551"/>
      <c r="EI157" s="551"/>
      <c r="EJ157" s="551"/>
      <c r="EK157" s="551"/>
      <c r="EL157" s="551"/>
      <c r="EM157" s="551"/>
      <c r="EN157" s="551"/>
      <c r="EO157" s="551"/>
      <c r="EP157" s="551"/>
      <c r="EQ157" s="551"/>
      <c r="ER157" s="551"/>
      <c r="ES157" s="551"/>
      <c r="ET157" s="551"/>
      <c r="EU157" s="551"/>
      <c r="EV157" s="551"/>
      <c r="EW157" s="551"/>
      <c r="EX157" s="551"/>
      <c r="EY157" s="551"/>
      <c r="EZ157" s="551"/>
      <c r="FA157" s="551"/>
      <c r="FB157" s="551"/>
      <c r="FC157" s="551"/>
      <c r="FD157" s="551"/>
      <c r="FE157" s="551"/>
      <c r="FF157" s="551"/>
      <c r="FG157" s="551"/>
      <c r="FH157" s="551"/>
      <c r="FI157" s="551"/>
      <c r="FJ157" s="551"/>
      <c r="FK157" s="551"/>
      <c r="FL157" s="551"/>
      <c r="FM157" s="551"/>
      <c r="FN157" s="551"/>
      <c r="FO157" s="551"/>
      <c r="FP157" s="551"/>
      <c r="FQ157" s="551"/>
      <c r="FR157" s="551"/>
      <c r="FS157" s="551"/>
      <c r="FT157" s="551"/>
      <c r="FU157" s="551"/>
      <c r="FV157" s="551"/>
      <c r="FW157" s="551"/>
      <c r="FX157" s="551"/>
      <c r="FY157" s="551"/>
      <c r="FZ157" s="551"/>
      <c r="GA157" s="551"/>
      <c r="GB157" s="551"/>
      <c r="GC157" s="551"/>
      <c r="GD157" s="551"/>
      <c r="GE157" s="551"/>
      <c r="GF157" s="551"/>
      <c r="GG157" s="551"/>
      <c r="GH157" s="551"/>
      <c r="GI157" s="551"/>
      <c r="GJ157" s="551"/>
      <c r="GK157" s="551"/>
      <c r="GL157" s="551"/>
      <c r="GM157" s="551"/>
      <c r="GN157" s="551"/>
      <c r="GO157" s="551"/>
      <c r="GP157" s="551"/>
      <c r="GQ157" s="551"/>
      <c r="GR157" s="551"/>
      <c r="GS157" s="551"/>
      <c r="GT157" s="551"/>
      <c r="GU157" s="551"/>
      <c r="GV157" s="551"/>
      <c r="GW157" s="551"/>
      <c r="GX157" s="551"/>
      <c r="GY157" s="551"/>
      <c r="GZ157" s="551"/>
      <c r="HA157" s="551"/>
      <c r="HB157" s="551"/>
      <c r="HC157" s="551"/>
      <c r="HD157" s="551"/>
      <c r="HE157" s="551"/>
      <c r="HF157" s="551"/>
      <c r="HG157" s="551"/>
      <c r="HH157" s="551"/>
      <c r="HI157" s="551"/>
      <c r="HJ157" s="551"/>
      <c r="HK157" s="551"/>
      <c r="HL157" s="551"/>
      <c r="HM157" s="551"/>
      <c r="HN157" s="551"/>
      <c r="HO157" s="551"/>
      <c r="HP157" s="551"/>
      <c r="HQ157" s="551"/>
      <c r="HR157" s="551"/>
      <c r="HS157" s="551"/>
      <c r="HT157" s="551"/>
      <c r="HU157" s="551"/>
      <c r="HV157" s="551"/>
      <c r="HW157" s="551"/>
      <c r="HX157" s="551"/>
      <c r="HY157" s="551"/>
      <c r="HZ157" s="551"/>
      <c r="IA157" s="551"/>
      <c r="IB157" s="551"/>
      <c r="IC157" s="551"/>
      <c r="ID157" s="551"/>
      <c r="IE157" s="551"/>
      <c r="IF157" s="551"/>
      <c r="IG157" s="551"/>
      <c r="IH157" s="551"/>
      <c r="II157" s="551"/>
      <c r="IJ157" s="551"/>
      <c r="IK157" s="551"/>
      <c r="IL157" s="551"/>
      <c r="IM157" s="551"/>
      <c r="IN157" s="551"/>
      <c r="IO157" s="551"/>
      <c r="IP157" s="551"/>
      <c r="IQ157" s="551"/>
      <c r="IR157" s="551"/>
      <c r="IS157" s="551"/>
      <c r="IT157" s="551"/>
      <c r="IU157" s="551"/>
      <c r="IV157" s="551"/>
      <c r="IW157" s="551"/>
    </row>
    <row r="158" customFormat="false" ht="18" hidden="false" customHeight="true" outlineLevel="0" collapsed="false">
      <c r="A158" s="544" t="n">
        <v>153</v>
      </c>
      <c r="B158" s="180"/>
      <c r="C158" s="181"/>
      <c r="D158" s="182"/>
      <c r="E158" s="183"/>
      <c r="F158" s="540"/>
      <c r="H158" s="232"/>
      <c r="I158" s="547"/>
      <c r="J158" s="548"/>
      <c r="K158" s="549"/>
      <c r="L158" s="549"/>
    </row>
    <row r="159" customFormat="false" ht="18" hidden="false" customHeight="true" outlineLevel="0" collapsed="false">
      <c r="A159" s="544" t="n">
        <v>154</v>
      </c>
      <c r="B159" s="180"/>
      <c r="C159" s="181"/>
      <c r="D159" s="182"/>
      <c r="E159" s="183"/>
      <c r="F159" s="540"/>
      <c r="H159" s="232"/>
      <c r="I159" s="547"/>
      <c r="J159" s="548"/>
      <c r="K159" s="549"/>
      <c r="L159" s="549"/>
    </row>
    <row r="160" customFormat="false" ht="18" hidden="false" customHeight="true" outlineLevel="0" collapsed="false">
      <c r="A160" s="544" t="n">
        <v>155</v>
      </c>
      <c r="B160" s="180"/>
      <c r="C160" s="181"/>
      <c r="D160" s="182"/>
      <c r="E160" s="183"/>
      <c r="F160" s="540"/>
      <c r="H160" s="232"/>
      <c r="I160" s="547"/>
      <c r="J160" s="548"/>
      <c r="K160" s="549"/>
      <c r="L160" s="549"/>
    </row>
    <row r="161" customFormat="false" ht="18" hidden="false" customHeight="true" outlineLevel="0" collapsed="false">
      <c r="A161" s="544" t="n">
        <v>156</v>
      </c>
      <c r="B161" s="180"/>
      <c r="C161" s="181"/>
      <c r="D161" s="182"/>
      <c r="E161" s="183"/>
      <c r="F161" s="540"/>
      <c r="H161" s="552"/>
      <c r="I161" s="547"/>
      <c r="J161" s="548"/>
      <c r="K161" s="549"/>
      <c r="L161" s="549"/>
    </row>
    <row r="162" customFormat="false" ht="18" hidden="false" customHeight="true" outlineLevel="0" collapsed="false">
      <c r="A162" s="544" t="n">
        <v>157</v>
      </c>
      <c r="B162" s="180"/>
      <c r="C162" s="181"/>
      <c r="D162" s="182"/>
      <c r="E162" s="183"/>
      <c r="F162" s="540"/>
      <c r="H162" s="232"/>
      <c r="I162" s="547"/>
      <c r="J162" s="548"/>
      <c r="K162" s="549"/>
      <c r="L162" s="549"/>
    </row>
    <row r="163" customFormat="false" ht="18" hidden="false" customHeight="true" outlineLevel="0" collapsed="false">
      <c r="A163" s="544" t="n">
        <v>158</v>
      </c>
      <c r="B163" s="180"/>
      <c r="C163" s="181"/>
      <c r="D163" s="182"/>
      <c r="E163" s="183"/>
      <c r="F163" s="540"/>
      <c r="H163" s="552"/>
      <c r="I163" s="547"/>
      <c r="J163" s="548"/>
      <c r="K163" s="549"/>
      <c r="L163" s="549"/>
    </row>
    <row r="164" customFormat="false" ht="18" hidden="false" customHeight="true" outlineLevel="0" collapsed="false">
      <c r="A164" s="544" t="n">
        <v>159</v>
      </c>
      <c r="B164" s="180"/>
      <c r="C164" s="181"/>
      <c r="D164" s="182"/>
      <c r="E164" s="183"/>
      <c r="F164" s="540"/>
      <c r="H164" s="232"/>
      <c r="I164" s="547"/>
      <c r="J164" s="548"/>
      <c r="K164" s="549"/>
      <c r="L164" s="549"/>
    </row>
    <row r="165" customFormat="false" ht="18" hidden="false" customHeight="true" outlineLevel="0" collapsed="false">
      <c r="A165" s="544" t="n">
        <v>160</v>
      </c>
      <c r="B165" s="180"/>
      <c r="C165" s="181"/>
      <c r="D165" s="182"/>
      <c r="E165" s="183"/>
      <c r="F165" s="540"/>
      <c r="H165" s="232"/>
      <c r="I165" s="547"/>
      <c r="J165" s="548"/>
      <c r="K165" s="549"/>
      <c r="L165" s="549"/>
    </row>
    <row r="166" customFormat="false" ht="18" hidden="false" customHeight="true" outlineLevel="0" collapsed="false">
      <c r="A166" s="544" t="n">
        <v>161</v>
      </c>
      <c r="B166" s="180"/>
      <c r="C166" s="181"/>
      <c r="D166" s="182"/>
      <c r="E166" s="183"/>
      <c r="F166" s="540"/>
      <c r="H166" s="232"/>
      <c r="I166" s="547"/>
      <c r="J166" s="548"/>
      <c r="K166" s="549"/>
      <c r="L166" s="549"/>
    </row>
    <row r="167" customFormat="false" ht="18" hidden="false" customHeight="true" outlineLevel="0" collapsed="false">
      <c r="A167" s="544" t="n">
        <v>162</v>
      </c>
      <c r="B167" s="180"/>
      <c r="C167" s="181"/>
      <c r="D167" s="182"/>
      <c r="E167" s="183"/>
      <c r="F167" s="540"/>
      <c r="H167" s="232"/>
      <c r="I167" s="547"/>
      <c r="J167" s="548"/>
      <c r="K167" s="549"/>
      <c r="L167" s="549"/>
    </row>
    <row r="168" customFormat="false" ht="18" hidden="false" customHeight="true" outlineLevel="0" collapsed="false">
      <c r="A168" s="544" t="n">
        <v>163</v>
      </c>
      <c r="B168" s="180"/>
      <c r="C168" s="181"/>
      <c r="D168" s="182"/>
      <c r="E168" s="183"/>
      <c r="F168" s="540"/>
      <c r="H168" s="232"/>
      <c r="I168" s="547"/>
      <c r="J168" s="548"/>
      <c r="K168" s="549"/>
      <c r="L168" s="549"/>
    </row>
    <row r="169" customFormat="false" ht="18" hidden="false" customHeight="true" outlineLevel="0" collapsed="false">
      <c r="A169" s="544" t="n">
        <v>164</v>
      </c>
      <c r="B169" s="180"/>
      <c r="C169" s="181"/>
      <c r="D169" s="182"/>
      <c r="E169" s="183"/>
      <c r="F169" s="540"/>
      <c r="H169" s="232"/>
      <c r="I169" s="547"/>
      <c r="J169" s="548"/>
      <c r="K169" s="549"/>
      <c r="L169" s="549"/>
    </row>
    <row r="170" customFormat="false" ht="18" hidden="false" customHeight="true" outlineLevel="0" collapsed="false">
      <c r="A170" s="544" t="n">
        <v>165</v>
      </c>
      <c r="B170" s="180"/>
      <c r="C170" s="181"/>
      <c r="D170" s="182"/>
      <c r="E170" s="183"/>
      <c r="F170" s="540"/>
      <c r="H170" s="232"/>
      <c r="I170" s="547"/>
      <c r="J170" s="548"/>
      <c r="K170" s="549"/>
      <c r="L170" s="549"/>
    </row>
    <row r="171" customFormat="false" ht="18" hidden="false" customHeight="true" outlineLevel="0" collapsed="false">
      <c r="A171" s="544" t="n">
        <v>166</v>
      </c>
      <c r="B171" s="180"/>
      <c r="C171" s="181"/>
      <c r="D171" s="182"/>
      <c r="E171" s="183"/>
      <c r="F171" s="540"/>
      <c r="H171" s="232"/>
      <c r="I171" s="547"/>
      <c r="J171" s="548"/>
      <c r="K171" s="549"/>
      <c r="L171" s="549"/>
    </row>
    <row r="172" customFormat="false" ht="18" hidden="false" customHeight="true" outlineLevel="0" collapsed="false">
      <c r="A172" s="544" t="n">
        <v>167</v>
      </c>
      <c r="B172" s="180"/>
      <c r="C172" s="181"/>
      <c r="D172" s="182"/>
      <c r="E172" s="183"/>
      <c r="F172" s="540"/>
      <c r="H172" s="232"/>
      <c r="I172" s="547"/>
      <c r="J172" s="548"/>
      <c r="K172" s="549"/>
      <c r="L172" s="549"/>
    </row>
    <row r="173" customFormat="false" ht="18" hidden="false" customHeight="true" outlineLevel="0" collapsed="false">
      <c r="A173" s="544" t="n">
        <v>168</v>
      </c>
      <c r="B173" s="180"/>
      <c r="C173" s="181"/>
      <c r="D173" s="182"/>
      <c r="E173" s="183"/>
      <c r="F173" s="540"/>
      <c r="H173" s="232"/>
      <c r="I173" s="547"/>
      <c r="J173" s="548"/>
      <c r="K173" s="549"/>
      <c r="L173" s="549"/>
    </row>
    <row r="174" customFormat="false" ht="18" hidden="false" customHeight="true" outlineLevel="0" collapsed="false">
      <c r="A174" s="544" t="n">
        <v>169</v>
      </c>
      <c r="B174" s="180"/>
      <c r="C174" s="181"/>
      <c r="D174" s="182"/>
      <c r="E174" s="183"/>
      <c r="F174" s="540"/>
      <c r="H174" s="232"/>
      <c r="I174" s="547"/>
      <c r="J174" s="548"/>
      <c r="K174" s="549"/>
      <c r="L174" s="549"/>
    </row>
    <row r="175" customFormat="false" ht="18" hidden="false" customHeight="true" outlineLevel="0" collapsed="false">
      <c r="A175" s="544" t="n">
        <v>170</v>
      </c>
      <c r="B175" s="180"/>
      <c r="C175" s="181"/>
      <c r="D175" s="182"/>
      <c r="E175" s="183"/>
      <c r="F175" s="540"/>
      <c r="H175" s="232"/>
      <c r="I175" s="547"/>
      <c r="J175" s="548"/>
      <c r="K175" s="549"/>
      <c r="L175" s="549"/>
    </row>
    <row r="176" customFormat="false" ht="18" hidden="false" customHeight="true" outlineLevel="0" collapsed="false">
      <c r="A176" s="544" t="n">
        <v>171</v>
      </c>
      <c r="B176" s="180"/>
      <c r="C176" s="181"/>
      <c r="D176" s="182"/>
      <c r="E176" s="183"/>
      <c r="F176" s="540"/>
      <c r="H176" s="232"/>
      <c r="I176" s="547"/>
      <c r="J176" s="548"/>
      <c r="K176" s="549"/>
      <c r="L176" s="549"/>
    </row>
    <row r="177" customFormat="false" ht="18" hidden="false" customHeight="true" outlineLevel="0" collapsed="false">
      <c r="A177" s="544" t="n">
        <v>172</v>
      </c>
      <c r="B177" s="180"/>
      <c r="C177" s="181"/>
      <c r="D177" s="182"/>
      <c r="E177" s="183"/>
      <c r="F177" s="540"/>
      <c r="H177" s="232"/>
      <c r="I177" s="547"/>
      <c r="J177" s="548"/>
      <c r="K177" s="549"/>
      <c r="L177" s="549"/>
    </row>
    <row r="178" customFormat="false" ht="18" hidden="false" customHeight="true" outlineLevel="0" collapsed="false">
      <c r="A178" s="544" t="n">
        <v>173</v>
      </c>
      <c r="B178" s="180"/>
      <c r="C178" s="181"/>
      <c r="D178" s="182"/>
      <c r="E178" s="183"/>
      <c r="F178" s="540"/>
      <c r="H178" s="552"/>
      <c r="I178" s="547"/>
      <c r="J178" s="548"/>
      <c r="K178" s="549"/>
      <c r="L178" s="549"/>
    </row>
    <row r="179" customFormat="false" ht="18" hidden="false" customHeight="true" outlineLevel="0" collapsed="false">
      <c r="A179" s="544" t="n">
        <v>174</v>
      </c>
      <c r="B179" s="180"/>
      <c r="C179" s="181"/>
      <c r="D179" s="182"/>
      <c r="E179" s="183"/>
      <c r="F179" s="540"/>
      <c r="H179" s="232"/>
      <c r="I179" s="547"/>
      <c r="J179" s="548"/>
      <c r="K179" s="549"/>
      <c r="L179" s="549"/>
    </row>
    <row r="180" customFormat="false" ht="18" hidden="false" customHeight="true" outlineLevel="0" collapsed="false">
      <c r="A180" s="544" t="n">
        <v>175</v>
      </c>
      <c r="B180" s="180"/>
      <c r="C180" s="181"/>
      <c r="D180" s="182"/>
      <c r="E180" s="183"/>
      <c r="F180" s="540"/>
      <c r="H180" s="232"/>
      <c r="I180" s="547"/>
      <c r="J180" s="548"/>
      <c r="K180" s="549"/>
      <c r="L180" s="549"/>
    </row>
    <row r="181" customFormat="false" ht="18" hidden="false" customHeight="true" outlineLevel="0" collapsed="false">
      <c r="A181" s="544" t="n">
        <v>176</v>
      </c>
      <c r="B181" s="180"/>
      <c r="C181" s="181"/>
      <c r="D181" s="182"/>
      <c r="E181" s="183"/>
      <c r="F181" s="540"/>
      <c r="I181" s="547"/>
      <c r="J181" s="548"/>
      <c r="K181" s="549"/>
      <c r="L181" s="549"/>
    </row>
    <row r="182" customFormat="false" ht="18" hidden="false" customHeight="true" outlineLevel="0" collapsed="false">
      <c r="A182" s="544" t="n">
        <v>177</v>
      </c>
      <c r="B182" s="180"/>
      <c r="C182" s="181"/>
      <c r="D182" s="182"/>
      <c r="E182" s="183"/>
      <c r="F182" s="540"/>
      <c r="H182" s="232"/>
      <c r="I182" s="547"/>
      <c r="J182" s="548"/>
      <c r="K182" s="549"/>
      <c r="L182" s="549"/>
    </row>
    <row r="183" customFormat="false" ht="18" hidden="false" customHeight="true" outlineLevel="0" collapsed="false">
      <c r="A183" s="544" t="n">
        <v>178</v>
      </c>
      <c r="B183" s="180"/>
      <c r="C183" s="181"/>
      <c r="D183" s="182"/>
      <c r="E183" s="183"/>
      <c r="F183" s="540"/>
      <c r="H183" s="232"/>
      <c r="I183" s="547"/>
      <c r="J183" s="548"/>
      <c r="K183" s="549"/>
      <c r="L183" s="549"/>
    </row>
    <row r="184" customFormat="false" ht="18" hidden="false" customHeight="true" outlineLevel="0" collapsed="false">
      <c r="A184" s="544" t="n">
        <v>179</v>
      </c>
      <c r="B184" s="180"/>
      <c r="C184" s="181"/>
      <c r="D184" s="182"/>
      <c r="E184" s="183"/>
      <c r="F184" s="540"/>
      <c r="H184" s="232"/>
      <c r="I184" s="547"/>
      <c r="J184" s="548"/>
      <c r="K184" s="549"/>
      <c r="L184" s="549"/>
    </row>
    <row r="185" customFormat="false" ht="18" hidden="false" customHeight="true" outlineLevel="0" collapsed="false">
      <c r="A185" s="544" t="n">
        <v>180</v>
      </c>
      <c r="B185" s="180"/>
      <c r="C185" s="181"/>
      <c r="D185" s="182"/>
      <c r="E185" s="183"/>
      <c r="F185" s="540"/>
      <c r="H185" s="232"/>
      <c r="I185" s="547"/>
      <c r="J185" s="548"/>
      <c r="K185" s="549"/>
      <c r="L185" s="549"/>
    </row>
    <row r="186" customFormat="false" ht="18" hidden="false" customHeight="true" outlineLevel="0" collapsed="false">
      <c r="A186" s="544" t="n">
        <v>181</v>
      </c>
      <c r="B186" s="180"/>
      <c r="C186" s="181"/>
      <c r="D186" s="182"/>
      <c r="E186" s="183"/>
      <c r="F186" s="540"/>
      <c r="H186" s="232"/>
      <c r="I186" s="547"/>
      <c r="J186" s="548"/>
      <c r="K186" s="549"/>
      <c r="L186" s="549"/>
    </row>
    <row r="187" customFormat="false" ht="18" hidden="false" customHeight="true" outlineLevel="0" collapsed="false">
      <c r="A187" s="544" t="n">
        <v>182</v>
      </c>
      <c r="B187" s="180"/>
      <c r="C187" s="181"/>
      <c r="D187" s="182"/>
      <c r="E187" s="183"/>
      <c r="F187" s="540"/>
      <c r="H187" s="232"/>
      <c r="I187" s="547"/>
      <c r="J187" s="548"/>
      <c r="K187" s="549"/>
      <c r="L187" s="549"/>
    </row>
    <row r="188" customFormat="false" ht="18" hidden="false" customHeight="true" outlineLevel="0" collapsed="false">
      <c r="A188" s="544" t="n">
        <v>183</v>
      </c>
      <c r="B188" s="180"/>
      <c r="C188" s="181"/>
      <c r="D188" s="182"/>
      <c r="E188" s="183"/>
      <c r="F188" s="540"/>
      <c r="H188" s="232"/>
      <c r="I188" s="547"/>
      <c r="J188" s="548"/>
      <c r="K188" s="549"/>
      <c r="L188" s="549"/>
    </row>
    <row r="189" customFormat="false" ht="18" hidden="false" customHeight="true" outlineLevel="0" collapsed="false">
      <c r="A189" s="544" t="n">
        <v>184</v>
      </c>
      <c r="B189" s="180"/>
      <c r="C189" s="181"/>
      <c r="D189" s="182"/>
      <c r="E189" s="183"/>
      <c r="F189" s="540"/>
      <c r="H189" s="232"/>
      <c r="I189" s="547"/>
      <c r="J189" s="548"/>
      <c r="K189" s="549"/>
      <c r="L189" s="549"/>
    </row>
    <row r="190" customFormat="false" ht="18" hidden="false" customHeight="true" outlineLevel="0" collapsed="false">
      <c r="A190" s="544" t="n">
        <v>185</v>
      </c>
      <c r="B190" s="180"/>
      <c r="C190" s="181"/>
      <c r="D190" s="182"/>
      <c r="E190" s="183"/>
      <c r="F190" s="540"/>
      <c r="H190" s="232"/>
      <c r="I190" s="547"/>
      <c r="J190" s="548"/>
      <c r="K190" s="549"/>
      <c r="L190" s="549"/>
    </row>
    <row r="191" customFormat="false" ht="18" hidden="false" customHeight="true" outlineLevel="0" collapsed="false">
      <c r="A191" s="544" t="n">
        <v>186</v>
      </c>
      <c r="B191" s="180"/>
      <c r="C191" s="181"/>
      <c r="D191" s="182"/>
      <c r="E191" s="183"/>
      <c r="F191" s="540"/>
      <c r="H191" s="232"/>
      <c r="I191" s="547"/>
      <c r="J191" s="548"/>
      <c r="K191" s="549"/>
      <c r="L191" s="549"/>
    </row>
    <row r="192" customFormat="false" ht="18" hidden="false" customHeight="true" outlineLevel="0" collapsed="false">
      <c r="A192" s="544" t="n">
        <v>187</v>
      </c>
      <c r="B192" s="180"/>
      <c r="C192" s="181"/>
      <c r="D192" s="182"/>
      <c r="E192" s="183"/>
      <c r="F192" s="550"/>
      <c r="G192" s="551"/>
      <c r="H192" s="232"/>
      <c r="I192" s="547"/>
      <c r="J192" s="548"/>
      <c r="K192" s="549"/>
      <c r="L192" s="549"/>
      <c r="M192" s="551"/>
      <c r="N192" s="551"/>
      <c r="O192" s="551"/>
      <c r="P192" s="551"/>
      <c r="Q192" s="551"/>
      <c r="R192" s="551"/>
      <c r="S192" s="551"/>
      <c r="T192" s="551"/>
      <c r="U192" s="551"/>
      <c r="V192" s="551"/>
      <c r="W192" s="551"/>
      <c r="X192" s="551"/>
      <c r="Y192" s="551"/>
      <c r="Z192" s="551"/>
      <c r="AA192" s="551"/>
      <c r="AB192" s="551"/>
      <c r="AC192" s="551"/>
      <c r="AD192" s="551"/>
      <c r="AE192" s="551"/>
      <c r="AF192" s="551"/>
      <c r="AG192" s="551"/>
      <c r="AH192" s="551"/>
      <c r="AI192" s="551"/>
      <c r="AJ192" s="551"/>
      <c r="AK192" s="551"/>
      <c r="AL192" s="551"/>
      <c r="AM192" s="551"/>
      <c r="AN192" s="551"/>
      <c r="AO192" s="551"/>
      <c r="AP192" s="551"/>
      <c r="AQ192" s="551"/>
      <c r="AR192" s="551"/>
      <c r="AS192" s="551"/>
      <c r="AT192" s="551"/>
      <c r="AU192" s="551"/>
      <c r="AV192" s="551"/>
      <c r="AW192" s="551"/>
      <c r="AX192" s="551"/>
      <c r="AY192" s="551"/>
      <c r="AZ192" s="551"/>
      <c r="BA192" s="551"/>
      <c r="BB192" s="551"/>
      <c r="BC192" s="551"/>
      <c r="BD192" s="551"/>
      <c r="BE192" s="551"/>
      <c r="BF192" s="551"/>
      <c r="BG192" s="551"/>
      <c r="BH192" s="551"/>
      <c r="BI192" s="551"/>
      <c r="BJ192" s="551"/>
      <c r="BK192" s="551"/>
      <c r="BL192" s="551"/>
      <c r="BM192" s="551"/>
      <c r="BN192" s="551"/>
      <c r="BO192" s="551"/>
      <c r="BP192" s="551"/>
      <c r="BQ192" s="551"/>
      <c r="BR192" s="551"/>
      <c r="BS192" s="551"/>
      <c r="BT192" s="551"/>
      <c r="BU192" s="551"/>
      <c r="BV192" s="551"/>
      <c r="BW192" s="551"/>
      <c r="BX192" s="551"/>
      <c r="BY192" s="551"/>
      <c r="BZ192" s="551"/>
      <c r="CA192" s="551"/>
      <c r="CB192" s="551"/>
      <c r="CC192" s="551"/>
      <c r="CD192" s="551"/>
      <c r="CE192" s="551"/>
      <c r="CF192" s="551"/>
      <c r="CG192" s="551"/>
      <c r="CH192" s="551"/>
      <c r="CI192" s="551"/>
      <c r="CJ192" s="551"/>
      <c r="CK192" s="551"/>
      <c r="CL192" s="551"/>
      <c r="CM192" s="551"/>
      <c r="CN192" s="551"/>
      <c r="CO192" s="551"/>
      <c r="CP192" s="551"/>
      <c r="CQ192" s="551"/>
      <c r="CR192" s="551"/>
      <c r="CS192" s="551"/>
      <c r="CT192" s="551"/>
      <c r="CU192" s="551"/>
      <c r="CV192" s="551"/>
      <c r="CW192" s="551"/>
      <c r="CX192" s="551"/>
      <c r="CY192" s="551"/>
      <c r="CZ192" s="551"/>
      <c r="DA192" s="551"/>
      <c r="DB192" s="551"/>
      <c r="DC192" s="551"/>
      <c r="DD192" s="551"/>
      <c r="DE192" s="551"/>
      <c r="DF192" s="551"/>
      <c r="DG192" s="551"/>
      <c r="DH192" s="551"/>
      <c r="DI192" s="551"/>
      <c r="DJ192" s="551"/>
      <c r="DK192" s="551"/>
      <c r="DL192" s="551"/>
      <c r="DM192" s="551"/>
      <c r="DN192" s="551"/>
      <c r="DO192" s="551"/>
      <c r="DP192" s="551"/>
      <c r="DQ192" s="551"/>
      <c r="DR192" s="551"/>
      <c r="DS192" s="551"/>
      <c r="DT192" s="551"/>
      <c r="DU192" s="551"/>
      <c r="DV192" s="551"/>
      <c r="DW192" s="551"/>
      <c r="DX192" s="551"/>
      <c r="DY192" s="551"/>
      <c r="DZ192" s="551"/>
      <c r="EA192" s="551"/>
      <c r="EB192" s="551"/>
      <c r="EC192" s="551"/>
      <c r="ED192" s="551"/>
      <c r="EE192" s="551"/>
      <c r="EF192" s="551"/>
      <c r="EG192" s="551"/>
      <c r="EH192" s="551"/>
      <c r="EI192" s="551"/>
      <c r="EJ192" s="551"/>
      <c r="EK192" s="551"/>
      <c r="EL192" s="551"/>
      <c r="EM192" s="551"/>
      <c r="EN192" s="551"/>
      <c r="EO192" s="551"/>
      <c r="EP192" s="551"/>
      <c r="EQ192" s="551"/>
      <c r="ER192" s="551"/>
      <c r="ES192" s="551"/>
      <c r="ET192" s="551"/>
      <c r="EU192" s="551"/>
      <c r="EV192" s="551"/>
      <c r="EW192" s="551"/>
      <c r="EX192" s="551"/>
      <c r="EY192" s="551"/>
      <c r="EZ192" s="551"/>
      <c r="FA192" s="551"/>
      <c r="FB192" s="551"/>
      <c r="FC192" s="551"/>
      <c r="FD192" s="551"/>
      <c r="FE192" s="551"/>
      <c r="FF192" s="551"/>
      <c r="FG192" s="551"/>
      <c r="FH192" s="551"/>
      <c r="FI192" s="551"/>
      <c r="FJ192" s="551"/>
      <c r="FK192" s="551"/>
      <c r="FL192" s="551"/>
      <c r="FM192" s="551"/>
      <c r="FN192" s="551"/>
      <c r="FO192" s="551"/>
      <c r="FP192" s="551"/>
      <c r="FQ192" s="551"/>
      <c r="FR192" s="551"/>
      <c r="FS192" s="551"/>
      <c r="FT192" s="551"/>
      <c r="FU192" s="551"/>
      <c r="FV192" s="551"/>
      <c r="FW192" s="551"/>
      <c r="FX192" s="551"/>
      <c r="FY192" s="551"/>
      <c r="FZ192" s="551"/>
      <c r="GA192" s="551"/>
      <c r="GB192" s="551"/>
      <c r="GC192" s="551"/>
      <c r="GD192" s="551"/>
      <c r="GE192" s="551"/>
      <c r="GF192" s="551"/>
      <c r="GG192" s="551"/>
      <c r="GH192" s="551"/>
      <c r="GI192" s="551"/>
      <c r="GJ192" s="551"/>
      <c r="GK192" s="551"/>
      <c r="GL192" s="551"/>
      <c r="GM192" s="551"/>
      <c r="GN192" s="551"/>
      <c r="GO192" s="551"/>
      <c r="GP192" s="551"/>
      <c r="GQ192" s="551"/>
      <c r="GR192" s="551"/>
      <c r="GS192" s="551"/>
      <c r="GT192" s="551"/>
      <c r="GU192" s="551"/>
      <c r="GV192" s="551"/>
      <c r="GW192" s="551"/>
      <c r="GX192" s="551"/>
      <c r="GY192" s="551"/>
      <c r="GZ192" s="551"/>
      <c r="HA192" s="551"/>
      <c r="HB192" s="551"/>
      <c r="HC192" s="551"/>
      <c r="HD192" s="551"/>
      <c r="HE192" s="551"/>
      <c r="HF192" s="551"/>
      <c r="HG192" s="551"/>
      <c r="HH192" s="551"/>
      <c r="HI192" s="551"/>
      <c r="HJ192" s="551"/>
      <c r="HK192" s="551"/>
      <c r="HL192" s="551"/>
      <c r="HM192" s="551"/>
      <c r="HN192" s="551"/>
      <c r="HO192" s="551"/>
      <c r="HP192" s="551"/>
      <c r="HQ192" s="551"/>
      <c r="HR192" s="551"/>
      <c r="HS192" s="551"/>
      <c r="HT192" s="551"/>
      <c r="HU192" s="551"/>
      <c r="HV192" s="551"/>
      <c r="HW192" s="551"/>
      <c r="HX192" s="551"/>
      <c r="HY192" s="551"/>
      <c r="HZ192" s="551"/>
      <c r="IA192" s="551"/>
      <c r="IB192" s="551"/>
      <c r="IC192" s="551"/>
      <c r="ID192" s="551"/>
      <c r="IE192" s="551"/>
      <c r="IF192" s="551"/>
      <c r="IG192" s="551"/>
      <c r="IH192" s="551"/>
      <c r="II192" s="551"/>
      <c r="IJ192" s="551"/>
      <c r="IK192" s="551"/>
      <c r="IL192" s="551"/>
      <c r="IM192" s="551"/>
      <c r="IN192" s="551"/>
      <c r="IO192" s="551"/>
      <c r="IP192" s="551"/>
      <c r="IQ192" s="551"/>
      <c r="IR192" s="551"/>
      <c r="IS192" s="551"/>
      <c r="IT192" s="551"/>
      <c r="IU192" s="551"/>
      <c r="IV192" s="551"/>
      <c r="IW192" s="551"/>
    </row>
    <row r="193" customFormat="false" ht="18" hidden="false" customHeight="true" outlineLevel="0" collapsed="false">
      <c r="A193" s="544" t="n">
        <v>188</v>
      </c>
      <c r="B193" s="180"/>
      <c r="C193" s="181"/>
      <c r="D193" s="182"/>
      <c r="E193" s="183"/>
      <c r="F193" s="540"/>
      <c r="H193" s="232"/>
      <c r="I193" s="547"/>
      <c r="J193" s="548"/>
      <c r="K193" s="549"/>
      <c r="L193" s="549"/>
    </row>
    <row r="194" customFormat="false" ht="18" hidden="false" customHeight="true" outlineLevel="0" collapsed="false">
      <c r="A194" s="544" t="n">
        <v>189</v>
      </c>
      <c r="B194" s="180"/>
      <c r="C194" s="181"/>
      <c r="D194" s="182"/>
      <c r="E194" s="183"/>
      <c r="F194" s="540"/>
      <c r="H194" s="232"/>
      <c r="I194" s="547"/>
      <c r="J194" s="548"/>
      <c r="K194" s="549"/>
      <c r="L194" s="549"/>
    </row>
    <row r="195" customFormat="false" ht="18" hidden="false" customHeight="true" outlineLevel="0" collapsed="false">
      <c r="A195" s="544" t="n">
        <v>190</v>
      </c>
      <c r="B195" s="180"/>
      <c r="C195" s="181"/>
      <c r="D195" s="182"/>
      <c r="E195" s="183"/>
      <c r="F195" s="540"/>
      <c r="H195" s="232"/>
      <c r="I195" s="547"/>
      <c r="J195" s="548"/>
      <c r="K195" s="549"/>
      <c r="L195" s="549"/>
    </row>
    <row r="196" customFormat="false" ht="18" hidden="false" customHeight="true" outlineLevel="0" collapsed="false">
      <c r="A196" s="544" t="n">
        <v>191</v>
      </c>
      <c r="B196" s="180"/>
      <c r="C196" s="181"/>
      <c r="D196" s="182"/>
      <c r="E196" s="183"/>
      <c r="F196" s="540"/>
      <c r="H196" s="232"/>
      <c r="I196" s="547"/>
      <c r="J196" s="548"/>
      <c r="K196" s="549"/>
      <c r="L196" s="549"/>
    </row>
    <row r="197" customFormat="false" ht="18" hidden="false" customHeight="true" outlineLevel="0" collapsed="false">
      <c r="A197" s="544" t="n">
        <v>192</v>
      </c>
      <c r="B197" s="180"/>
      <c r="C197" s="181"/>
      <c r="D197" s="182"/>
      <c r="E197" s="183"/>
      <c r="F197" s="540"/>
      <c r="H197" s="232"/>
      <c r="I197" s="547"/>
      <c r="J197" s="548"/>
      <c r="K197" s="549"/>
      <c r="L197" s="549"/>
    </row>
    <row r="198" customFormat="false" ht="18" hidden="false" customHeight="true" outlineLevel="0" collapsed="false">
      <c r="A198" s="544" t="n">
        <v>193</v>
      </c>
      <c r="B198" s="180"/>
      <c r="C198" s="181"/>
      <c r="D198" s="182"/>
      <c r="E198" s="183"/>
      <c r="F198" s="540"/>
      <c r="H198" s="232"/>
      <c r="I198" s="547"/>
      <c r="J198" s="548"/>
      <c r="K198" s="549"/>
      <c r="L198" s="549"/>
    </row>
    <row r="199" customFormat="false" ht="18" hidden="false" customHeight="true" outlineLevel="0" collapsed="false">
      <c r="A199" s="544" t="n">
        <v>194</v>
      </c>
      <c r="B199" s="180"/>
      <c r="C199" s="181"/>
      <c r="D199" s="182"/>
      <c r="E199" s="183"/>
      <c r="F199" s="540"/>
      <c r="H199" s="232"/>
      <c r="I199" s="547"/>
      <c r="J199" s="548"/>
      <c r="K199" s="549"/>
      <c r="L199" s="549"/>
    </row>
    <row r="200" customFormat="false" ht="18" hidden="false" customHeight="true" outlineLevel="0" collapsed="false">
      <c r="A200" s="544" t="n">
        <v>195</v>
      </c>
      <c r="B200" s="180"/>
      <c r="C200" s="181"/>
      <c r="D200" s="182"/>
      <c r="E200" s="183"/>
      <c r="F200" s="540"/>
      <c r="H200" s="232"/>
      <c r="I200" s="547"/>
      <c r="J200" s="548"/>
      <c r="K200" s="549"/>
      <c r="L200" s="549"/>
    </row>
    <row r="201" customFormat="false" ht="18" hidden="false" customHeight="true" outlineLevel="0" collapsed="false">
      <c r="A201" s="544" t="n">
        <v>196</v>
      </c>
      <c r="B201" s="180"/>
      <c r="C201" s="181"/>
      <c r="D201" s="182"/>
      <c r="E201" s="183"/>
      <c r="F201" s="540"/>
      <c r="H201" s="232"/>
      <c r="I201" s="547"/>
      <c r="J201" s="548"/>
      <c r="K201" s="549"/>
      <c r="L201" s="549"/>
    </row>
    <row r="202" customFormat="false" ht="18" hidden="false" customHeight="true" outlineLevel="0" collapsed="false">
      <c r="A202" s="544" t="n">
        <v>197</v>
      </c>
      <c r="B202" s="180"/>
      <c r="C202" s="181"/>
      <c r="D202" s="182"/>
      <c r="E202" s="183"/>
      <c r="F202" s="540"/>
      <c r="H202" s="232"/>
      <c r="I202" s="547"/>
      <c r="J202" s="548"/>
      <c r="K202" s="549"/>
      <c r="L202" s="549"/>
    </row>
    <row r="203" customFormat="false" ht="18" hidden="false" customHeight="true" outlineLevel="0" collapsed="false">
      <c r="A203" s="544" t="n">
        <v>198</v>
      </c>
      <c r="B203" s="180"/>
      <c r="C203" s="181"/>
      <c r="D203" s="182"/>
      <c r="E203" s="183"/>
      <c r="F203" s="540"/>
      <c r="H203" s="232"/>
      <c r="I203" s="547"/>
      <c r="J203" s="548"/>
      <c r="K203" s="549"/>
      <c r="L203" s="549"/>
    </row>
    <row r="204" customFormat="false" ht="18" hidden="false" customHeight="true" outlineLevel="0" collapsed="false">
      <c r="A204" s="544" t="n">
        <v>199</v>
      </c>
      <c r="B204" s="180"/>
      <c r="C204" s="181"/>
      <c r="D204" s="182"/>
      <c r="E204" s="183"/>
      <c r="F204" s="540"/>
      <c r="H204" s="232"/>
      <c r="I204" s="547"/>
      <c r="J204" s="548"/>
      <c r="K204" s="549"/>
      <c r="L204" s="549"/>
    </row>
    <row r="205" customFormat="false" ht="18" hidden="false" customHeight="true" outlineLevel="0" collapsed="false">
      <c r="A205" s="544" t="n">
        <v>200</v>
      </c>
      <c r="B205" s="180"/>
      <c r="C205" s="181"/>
      <c r="D205" s="182"/>
      <c r="E205" s="183"/>
      <c r="F205" s="540"/>
      <c r="H205" s="232"/>
      <c r="I205" s="547"/>
      <c r="J205" s="548"/>
      <c r="K205" s="549"/>
      <c r="L205" s="549"/>
    </row>
    <row r="206" customFormat="false" ht="18" hidden="false" customHeight="true" outlineLevel="0" collapsed="false">
      <c r="A206" s="544" t="n">
        <v>201</v>
      </c>
      <c r="B206" s="180"/>
      <c r="C206" s="181"/>
      <c r="D206" s="182"/>
      <c r="E206" s="183"/>
      <c r="F206" s="540"/>
      <c r="H206" s="232"/>
      <c r="I206" s="547"/>
      <c r="J206" s="548"/>
      <c r="K206" s="549"/>
      <c r="L206" s="549"/>
    </row>
    <row r="207" customFormat="false" ht="18" hidden="false" customHeight="true" outlineLevel="0" collapsed="false">
      <c r="A207" s="544" t="n">
        <v>202</v>
      </c>
      <c r="B207" s="180"/>
      <c r="C207" s="181"/>
      <c r="D207" s="182"/>
      <c r="E207" s="183"/>
      <c r="F207" s="540"/>
      <c r="H207" s="552"/>
      <c r="I207" s="547"/>
      <c r="J207" s="548"/>
      <c r="K207" s="549"/>
      <c r="L207" s="549"/>
    </row>
    <row r="208" customFormat="false" ht="18" hidden="false" customHeight="true" outlineLevel="0" collapsed="false">
      <c r="A208" s="544" t="n">
        <v>203</v>
      </c>
      <c r="B208" s="180"/>
      <c r="C208" s="181"/>
      <c r="D208" s="182"/>
      <c r="E208" s="183"/>
      <c r="F208" s="540"/>
      <c r="H208" s="232"/>
      <c r="I208" s="547"/>
      <c r="J208" s="548"/>
      <c r="K208" s="549"/>
      <c r="L208" s="549"/>
    </row>
    <row r="209" customFormat="false" ht="18" hidden="false" customHeight="true" outlineLevel="0" collapsed="false">
      <c r="A209" s="544" t="n">
        <v>204</v>
      </c>
      <c r="B209" s="180"/>
      <c r="C209" s="181"/>
      <c r="D209" s="182"/>
      <c r="E209" s="183"/>
      <c r="F209" s="540"/>
      <c r="H209" s="232"/>
      <c r="I209" s="547"/>
      <c r="J209" s="548"/>
      <c r="K209" s="549"/>
      <c r="L209" s="549"/>
    </row>
    <row r="210" customFormat="false" ht="18" hidden="false" customHeight="true" outlineLevel="0" collapsed="false">
      <c r="A210" s="544" t="n">
        <v>205</v>
      </c>
      <c r="B210" s="180"/>
      <c r="C210" s="181"/>
      <c r="D210" s="182"/>
      <c r="E210" s="183"/>
      <c r="F210" s="540"/>
      <c r="I210" s="547"/>
      <c r="J210" s="548"/>
      <c r="K210" s="549"/>
      <c r="L210" s="549"/>
    </row>
    <row r="211" customFormat="false" ht="18" hidden="false" customHeight="true" outlineLevel="0" collapsed="false">
      <c r="A211" s="544" t="n">
        <v>206</v>
      </c>
      <c r="B211" s="180"/>
      <c r="C211" s="181"/>
      <c r="D211" s="182"/>
      <c r="E211" s="183"/>
      <c r="F211" s="540"/>
      <c r="H211" s="232"/>
      <c r="I211" s="547"/>
      <c r="J211" s="548"/>
      <c r="K211" s="549"/>
      <c r="L211" s="549"/>
    </row>
    <row r="212" customFormat="false" ht="18" hidden="false" customHeight="true" outlineLevel="0" collapsed="false">
      <c r="A212" s="544" t="n">
        <v>207</v>
      </c>
      <c r="B212" s="180"/>
      <c r="C212" s="181"/>
      <c r="D212" s="182"/>
      <c r="E212" s="183"/>
      <c r="F212" s="540"/>
      <c r="H212" s="232"/>
      <c r="I212" s="547"/>
      <c r="J212" s="548"/>
      <c r="K212" s="549"/>
      <c r="L212" s="549"/>
    </row>
    <row r="213" customFormat="false" ht="18" hidden="false" customHeight="true" outlineLevel="0" collapsed="false">
      <c r="A213" s="544" t="n">
        <v>208</v>
      </c>
      <c r="B213" s="180"/>
      <c r="C213" s="181"/>
      <c r="D213" s="182"/>
      <c r="E213" s="183"/>
      <c r="F213" s="540"/>
      <c r="H213" s="232"/>
      <c r="I213" s="547"/>
      <c r="J213" s="548"/>
      <c r="K213" s="549"/>
      <c r="L213" s="549"/>
    </row>
    <row r="214" customFormat="false" ht="18" hidden="false" customHeight="true" outlineLevel="0" collapsed="false">
      <c r="A214" s="544" t="n">
        <v>209</v>
      </c>
      <c r="B214" s="180"/>
      <c r="C214" s="181"/>
      <c r="D214" s="182"/>
      <c r="E214" s="183"/>
      <c r="F214" s="540"/>
      <c r="H214" s="232"/>
      <c r="I214" s="547"/>
      <c r="J214" s="548"/>
      <c r="K214" s="549"/>
      <c r="L214" s="549"/>
    </row>
    <row r="215" customFormat="false" ht="18" hidden="false" customHeight="true" outlineLevel="0" collapsed="false">
      <c r="A215" s="544" t="n">
        <v>210</v>
      </c>
      <c r="B215" s="180"/>
      <c r="C215" s="181"/>
      <c r="D215" s="182"/>
      <c r="E215" s="183"/>
      <c r="F215" s="540"/>
      <c r="H215" s="232"/>
      <c r="I215" s="547"/>
      <c r="J215" s="548"/>
      <c r="K215" s="549"/>
      <c r="L215" s="549"/>
    </row>
    <row r="216" customFormat="false" ht="18" hidden="false" customHeight="true" outlineLevel="0" collapsed="false">
      <c r="A216" s="544" t="n">
        <v>211</v>
      </c>
      <c r="B216" s="180"/>
      <c r="C216" s="181"/>
      <c r="D216" s="182"/>
      <c r="E216" s="183"/>
      <c r="F216" s="540"/>
      <c r="H216" s="232"/>
      <c r="I216" s="547"/>
      <c r="J216" s="548"/>
      <c r="K216" s="549"/>
      <c r="L216" s="549"/>
    </row>
    <row r="217" customFormat="false" ht="18" hidden="false" customHeight="true" outlineLevel="0" collapsed="false">
      <c r="A217" s="544" t="n">
        <v>212</v>
      </c>
      <c r="B217" s="180"/>
      <c r="C217" s="181"/>
      <c r="D217" s="182"/>
      <c r="E217" s="183"/>
      <c r="F217" s="540"/>
      <c r="H217" s="232"/>
      <c r="I217" s="547"/>
      <c r="J217" s="548"/>
      <c r="K217" s="549"/>
      <c r="L217" s="549"/>
    </row>
    <row r="218" customFormat="false" ht="18" hidden="false" customHeight="true" outlineLevel="0" collapsed="false">
      <c r="A218" s="544" t="n">
        <v>213</v>
      </c>
      <c r="B218" s="180"/>
      <c r="C218" s="181"/>
      <c r="D218" s="182"/>
      <c r="E218" s="183"/>
      <c r="F218" s="540"/>
      <c r="H218" s="232"/>
      <c r="I218" s="547"/>
      <c r="J218" s="548"/>
      <c r="K218" s="549"/>
      <c r="L218" s="549"/>
    </row>
    <row r="219" customFormat="false" ht="18" hidden="false" customHeight="true" outlineLevel="0" collapsed="false">
      <c r="A219" s="544" t="n">
        <v>214</v>
      </c>
      <c r="B219" s="180"/>
      <c r="C219" s="181"/>
      <c r="D219" s="182"/>
      <c r="E219" s="183"/>
      <c r="F219" s="540"/>
      <c r="H219" s="232"/>
      <c r="I219" s="547"/>
      <c r="J219" s="548"/>
      <c r="K219" s="549"/>
      <c r="L219" s="549"/>
    </row>
    <row r="220" customFormat="false" ht="18" hidden="false" customHeight="true" outlineLevel="0" collapsed="false">
      <c r="A220" s="544" t="n">
        <v>215</v>
      </c>
      <c r="B220" s="180"/>
      <c r="C220" s="181"/>
      <c r="D220" s="182"/>
      <c r="E220" s="183"/>
      <c r="F220" s="540"/>
      <c r="H220" s="232"/>
      <c r="I220" s="547"/>
      <c r="J220" s="548"/>
      <c r="K220" s="549"/>
      <c r="L220" s="549"/>
    </row>
    <row r="221" customFormat="false" ht="18" hidden="false" customHeight="true" outlineLevel="0" collapsed="false">
      <c r="A221" s="544" t="n">
        <v>216</v>
      </c>
      <c r="B221" s="180"/>
      <c r="C221" s="181"/>
      <c r="D221" s="182"/>
      <c r="E221" s="183"/>
      <c r="F221" s="550"/>
      <c r="G221" s="551"/>
      <c r="H221" s="232"/>
      <c r="I221" s="547"/>
      <c r="J221" s="548"/>
      <c r="K221" s="549"/>
      <c r="L221" s="549"/>
      <c r="M221" s="551"/>
      <c r="N221" s="551"/>
      <c r="O221" s="551"/>
      <c r="P221" s="551"/>
      <c r="Q221" s="551"/>
      <c r="R221" s="551"/>
      <c r="S221" s="551"/>
      <c r="T221" s="551"/>
      <c r="U221" s="551"/>
      <c r="V221" s="551"/>
      <c r="W221" s="551"/>
      <c r="X221" s="551"/>
      <c r="Y221" s="551"/>
      <c r="Z221" s="551"/>
      <c r="AA221" s="551"/>
      <c r="AB221" s="551"/>
      <c r="AC221" s="551"/>
      <c r="AD221" s="551"/>
      <c r="AE221" s="551"/>
      <c r="AF221" s="551"/>
      <c r="AG221" s="551"/>
      <c r="AH221" s="551"/>
      <c r="AI221" s="551"/>
      <c r="AJ221" s="551"/>
      <c r="AK221" s="551"/>
      <c r="AL221" s="551"/>
      <c r="AM221" s="551"/>
      <c r="AN221" s="551"/>
      <c r="AO221" s="551"/>
      <c r="AP221" s="551"/>
      <c r="AQ221" s="551"/>
      <c r="AR221" s="551"/>
      <c r="AS221" s="551"/>
      <c r="AT221" s="551"/>
      <c r="AU221" s="551"/>
      <c r="AV221" s="551"/>
      <c r="AW221" s="551"/>
      <c r="AX221" s="551"/>
      <c r="AY221" s="551"/>
      <c r="AZ221" s="551"/>
      <c r="BA221" s="551"/>
      <c r="BB221" s="551"/>
      <c r="BC221" s="551"/>
      <c r="BD221" s="551"/>
      <c r="BE221" s="551"/>
      <c r="BF221" s="551"/>
      <c r="BG221" s="551"/>
      <c r="BH221" s="551"/>
      <c r="BI221" s="551"/>
      <c r="BJ221" s="551"/>
      <c r="BK221" s="551"/>
      <c r="BL221" s="551"/>
      <c r="BM221" s="551"/>
      <c r="BN221" s="551"/>
      <c r="BO221" s="551"/>
      <c r="BP221" s="551"/>
      <c r="BQ221" s="551"/>
      <c r="BR221" s="551"/>
      <c r="BS221" s="551"/>
      <c r="BT221" s="551"/>
      <c r="BU221" s="551"/>
      <c r="BV221" s="551"/>
      <c r="BW221" s="551"/>
      <c r="BX221" s="551"/>
      <c r="BY221" s="551"/>
      <c r="BZ221" s="551"/>
      <c r="CA221" s="551"/>
      <c r="CB221" s="551"/>
      <c r="CC221" s="551"/>
      <c r="CD221" s="551"/>
      <c r="CE221" s="551"/>
      <c r="CF221" s="551"/>
      <c r="CG221" s="551"/>
      <c r="CH221" s="551"/>
      <c r="CI221" s="551"/>
      <c r="CJ221" s="551"/>
      <c r="CK221" s="551"/>
      <c r="CL221" s="551"/>
      <c r="CM221" s="551"/>
      <c r="CN221" s="551"/>
      <c r="CO221" s="551"/>
      <c r="CP221" s="551"/>
      <c r="CQ221" s="551"/>
      <c r="CR221" s="551"/>
      <c r="CS221" s="551"/>
      <c r="CT221" s="551"/>
      <c r="CU221" s="551"/>
      <c r="CV221" s="551"/>
      <c r="CW221" s="551"/>
      <c r="CX221" s="551"/>
      <c r="CY221" s="551"/>
      <c r="CZ221" s="551"/>
      <c r="DA221" s="551"/>
      <c r="DB221" s="551"/>
      <c r="DC221" s="551"/>
      <c r="DD221" s="551"/>
      <c r="DE221" s="551"/>
      <c r="DF221" s="551"/>
      <c r="DG221" s="551"/>
      <c r="DH221" s="551"/>
      <c r="DI221" s="551"/>
      <c r="DJ221" s="551"/>
      <c r="DK221" s="551"/>
      <c r="DL221" s="551"/>
      <c r="DM221" s="551"/>
      <c r="DN221" s="551"/>
      <c r="DO221" s="551"/>
      <c r="DP221" s="551"/>
      <c r="DQ221" s="551"/>
      <c r="DR221" s="551"/>
      <c r="DS221" s="551"/>
      <c r="DT221" s="551"/>
      <c r="DU221" s="551"/>
      <c r="DV221" s="551"/>
      <c r="DW221" s="551"/>
      <c r="DX221" s="551"/>
      <c r="DY221" s="551"/>
      <c r="DZ221" s="551"/>
      <c r="EA221" s="551"/>
      <c r="EB221" s="551"/>
      <c r="EC221" s="551"/>
      <c r="ED221" s="551"/>
      <c r="EE221" s="551"/>
      <c r="EF221" s="551"/>
      <c r="EG221" s="551"/>
      <c r="EH221" s="551"/>
      <c r="EI221" s="551"/>
      <c r="EJ221" s="551"/>
      <c r="EK221" s="551"/>
      <c r="EL221" s="551"/>
      <c r="EM221" s="551"/>
      <c r="EN221" s="551"/>
      <c r="EO221" s="551"/>
      <c r="EP221" s="551"/>
      <c r="EQ221" s="551"/>
      <c r="ER221" s="551"/>
      <c r="ES221" s="551"/>
      <c r="ET221" s="551"/>
      <c r="EU221" s="551"/>
      <c r="EV221" s="551"/>
      <c r="EW221" s="551"/>
      <c r="EX221" s="551"/>
      <c r="EY221" s="551"/>
      <c r="EZ221" s="551"/>
      <c r="FA221" s="551"/>
      <c r="FB221" s="551"/>
      <c r="FC221" s="551"/>
      <c r="FD221" s="551"/>
      <c r="FE221" s="551"/>
      <c r="FF221" s="551"/>
      <c r="FG221" s="551"/>
      <c r="FH221" s="551"/>
      <c r="FI221" s="551"/>
      <c r="FJ221" s="551"/>
      <c r="FK221" s="551"/>
      <c r="FL221" s="551"/>
      <c r="FM221" s="551"/>
      <c r="FN221" s="551"/>
      <c r="FO221" s="551"/>
      <c r="FP221" s="551"/>
      <c r="FQ221" s="551"/>
      <c r="FR221" s="551"/>
      <c r="FS221" s="551"/>
      <c r="FT221" s="551"/>
      <c r="FU221" s="551"/>
      <c r="FV221" s="551"/>
      <c r="FW221" s="551"/>
      <c r="FX221" s="551"/>
      <c r="FY221" s="551"/>
      <c r="FZ221" s="551"/>
      <c r="GA221" s="551"/>
      <c r="GB221" s="551"/>
      <c r="GC221" s="551"/>
      <c r="GD221" s="551"/>
      <c r="GE221" s="551"/>
      <c r="GF221" s="551"/>
      <c r="GG221" s="551"/>
      <c r="GH221" s="551"/>
      <c r="GI221" s="551"/>
      <c r="GJ221" s="551"/>
      <c r="GK221" s="551"/>
      <c r="GL221" s="551"/>
      <c r="GM221" s="551"/>
      <c r="GN221" s="551"/>
      <c r="GO221" s="551"/>
      <c r="GP221" s="551"/>
      <c r="GQ221" s="551"/>
      <c r="GR221" s="551"/>
      <c r="GS221" s="551"/>
      <c r="GT221" s="551"/>
      <c r="GU221" s="551"/>
      <c r="GV221" s="551"/>
      <c r="GW221" s="551"/>
      <c r="GX221" s="551"/>
      <c r="GY221" s="551"/>
      <c r="GZ221" s="551"/>
      <c r="HA221" s="551"/>
      <c r="HB221" s="551"/>
      <c r="HC221" s="551"/>
      <c r="HD221" s="551"/>
      <c r="HE221" s="551"/>
      <c r="HF221" s="551"/>
      <c r="HG221" s="551"/>
      <c r="HH221" s="551"/>
      <c r="HI221" s="551"/>
      <c r="HJ221" s="551"/>
      <c r="HK221" s="551"/>
      <c r="HL221" s="551"/>
      <c r="HM221" s="551"/>
      <c r="HN221" s="551"/>
      <c r="HO221" s="551"/>
      <c r="HP221" s="551"/>
      <c r="HQ221" s="551"/>
      <c r="HR221" s="551"/>
      <c r="HS221" s="551"/>
      <c r="HT221" s="551"/>
      <c r="HU221" s="551"/>
      <c r="HV221" s="551"/>
      <c r="HW221" s="551"/>
      <c r="HX221" s="551"/>
      <c r="HY221" s="551"/>
      <c r="HZ221" s="551"/>
      <c r="IA221" s="551"/>
      <c r="IB221" s="551"/>
      <c r="IC221" s="551"/>
      <c r="ID221" s="551"/>
      <c r="IE221" s="551"/>
      <c r="IF221" s="551"/>
      <c r="IG221" s="551"/>
      <c r="IH221" s="551"/>
      <c r="II221" s="551"/>
      <c r="IJ221" s="551"/>
      <c r="IK221" s="551"/>
      <c r="IL221" s="551"/>
      <c r="IM221" s="551"/>
      <c r="IN221" s="551"/>
      <c r="IO221" s="551"/>
      <c r="IP221" s="551"/>
      <c r="IQ221" s="551"/>
      <c r="IR221" s="551"/>
      <c r="IS221" s="551"/>
      <c r="IT221" s="551"/>
      <c r="IU221" s="551"/>
      <c r="IV221" s="551"/>
      <c r="IW221" s="551"/>
    </row>
    <row r="222" customFormat="false" ht="18.75" hidden="false" customHeight="true" outlineLevel="0" collapsed="false">
      <c r="A222" s="544" t="n">
        <v>217</v>
      </c>
      <c r="B222" s="180"/>
      <c r="C222" s="181"/>
      <c r="D222" s="182"/>
      <c r="E222" s="183"/>
      <c r="F222" s="540"/>
      <c r="H222" s="232"/>
      <c r="I222" s="547"/>
      <c r="J222" s="548"/>
      <c r="K222" s="549"/>
      <c r="L222" s="549"/>
    </row>
    <row r="223" customFormat="false" ht="18" hidden="false" customHeight="true" outlineLevel="0" collapsed="false">
      <c r="A223" s="544" t="n">
        <v>218</v>
      </c>
      <c r="B223" s="180"/>
      <c r="C223" s="181"/>
      <c r="D223" s="182"/>
      <c r="E223" s="183"/>
      <c r="F223" s="540"/>
      <c r="H223" s="232"/>
      <c r="I223" s="547"/>
      <c r="J223" s="548"/>
      <c r="K223" s="549"/>
      <c r="L223" s="549"/>
    </row>
    <row r="224" customFormat="false" ht="18" hidden="false" customHeight="true" outlineLevel="0" collapsed="false">
      <c r="A224" s="544" t="n">
        <v>219</v>
      </c>
      <c r="B224" s="180"/>
      <c r="C224" s="181"/>
      <c r="D224" s="182"/>
      <c r="E224" s="183"/>
      <c r="F224" s="540"/>
      <c r="H224" s="232"/>
      <c r="I224" s="547"/>
      <c r="J224" s="548"/>
      <c r="K224" s="549"/>
      <c r="L224" s="549"/>
    </row>
    <row r="225" customFormat="false" ht="18" hidden="false" customHeight="true" outlineLevel="0" collapsed="false">
      <c r="A225" s="544" t="n">
        <v>220</v>
      </c>
      <c r="B225" s="180"/>
      <c r="C225" s="181"/>
      <c r="D225" s="182"/>
      <c r="E225" s="183"/>
      <c r="F225" s="540"/>
      <c r="H225" s="232"/>
      <c r="I225" s="547"/>
      <c r="J225" s="548"/>
      <c r="K225" s="549"/>
      <c r="L225" s="549"/>
    </row>
    <row r="226" customFormat="false" ht="18" hidden="false" customHeight="true" outlineLevel="0" collapsed="false">
      <c r="A226" s="544" t="n">
        <v>221</v>
      </c>
      <c r="B226" s="180"/>
      <c r="C226" s="181"/>
      <c r="D226" s="182"/>
      <c r="E226" s="183"/>
      <c r="F226" s="540"/>
      <c r="H226" s="232"/>
      <c r="I226" s="547"/>
      <c r="J226" s="548"/>
      <c r="K226" s="549"/>
      <c r="L226" s="549"/>
    </row>
    <row r="227" customFormat="false" ht="18" hidden="false" customHeight="true" outlineLevel="0" collapsed="false">
      <c r="A227" s="544" t="n">
        <v>222</v>
      </c>
      <c r="B227" s="180"/>
      <c r="C227" s="181"/>
      <c r="D227" s="182"/>
      <c r="E227" s="183"/>
      <c r="F227" s="540"/>
      <c r="H227" s="232"/>
      <c r="I227" s="547"/>
      <c r="J227" s="548"/>
      <c r="K227" s="549"/>
      <c r="L227" s="549"/>
    </row>
    <row r="228" customFormat="false" ht="18" hidden="false" customHeight="true" outlineLevel="0" collapsed="false">
      <c r="A228" s="544" t="n">
        <v>223</v>
      </c>
      <c r="B228" s="180"/>
      <c r="C228" s="181"/>
      <c r="D228" s="182"/>
      <c r="E228" s="183"/>
      <c r="F228" s="540"/>
      <c r="H228" s="232"/>
      <c r="I228" s="547"/>
      <c r="J228" s="548"/>
      <c r="K228" s="549"/>
      <c r="L228" s="549"/>
    </row>
    <row r="229" customFormat="false" ht="18" hidden="false" customHeight="true" outlineLevel="0" collapsed="false">
      <c r="A229" s="544" t="n">
        <v>224</v>
      </c>
      <c r="B229" s="180"/>
      <c r="C229" s="181"/>
      <c r="D229" s="182"/>
      <c r="E229" s="183"/>
      <c r="F229" s="540"/>
      <c r="H229" s="232"/>
      <c r="I229" s="547"/>
      <c r="J229" s="548"/>
      <c r="K229" s="549"/>
      <c r="L229" s="549"/>
    </row>
    <row r="230" customFormat="false" ht="18" hidden="false" customHeight="true" outlineLevel="0" collapsed="false">
      <c r="A230" s="544" t="n">
        <v>225</v>
      </c>
      <c r="B230" s="180"/>
      <c r="C230" s="181"/>
      <c r="D230" s="182"/>
      <c r="E230" s="183"/>
      <c r="F230" s="540"/>
      <c r="H230" s="232"/>
      <c r="I230" s="547"/>
      <c r="J230" s="548"/>
      <c r="K230" s="549"/>
      <c r="L230" s="549"/>
    </row>
    <row r="231" customFormat="false" ht="18" hidden="false" customHeight="true" outlineLevel="0" collapsed="false">
      <c r="A231" s="544" t="n">
        <v>226</v>
      </c>
      <c r="B231" s="180"/>
      <c r="C231" s="181"/>
      <c r="D231" s="182"/>
      <c r="E231" s="183"/>
      <c r="F231" s="540"/>
      <c r="H231" s="232"/>
      <c r="I231" s="547"/>
      <c r="J231" s="548"/>
      <c r="K231" s="549"/>
      <c r="L231" s="549"/>
    </row>
    <row r="232" customFormat="false" ht="18" hidden="false" customHeight="true" outlineLevel="0" collapsed="false">
      <c r="A232" s="544" t="n">
        <v>227</v>
      </c>
      <c r="B232" s="180"/>
      <c r="C232" s="181"/>
      <c r="D232" s="182"/>
      <c r="E232" s="183"/>
      <c r="F232" s="540"/>
      <c r="H232" s="232"/>
      <c r="I232" s="547"/>
      <c r="J232" s="548"/>
      <c r="K232" s="549"/>
      <c r="L232" s="549"/>
    </row>
    <row r="233" customFormat="false" ht="18" hidden="false" customHeight="true" outlineLevel="0" collapsed="false">
      <c r="A233" s="544" t="n">
        <v>228</v>
      </c>
      <c r="B233" s="180"/>
      <c r="C233" s="181"/>
      <c r="D233" s="182"/>
      <c r="E233" s="183"/>
      <c r="F233" s="540"/>
      <c r="H233" s="232"/>
      <c r="I233" s="547"/>
      <c r="J233" s="548"/>
      <c r="K233" s="549"/>
      <c r="L233" s="549"/>
    </row>
    <row r="234" customFormat="false" ht="18" hidden="false" customHeight="true" outlineLevel="0" collapsed="false">
      <c r="A234" s="544" t="n">
        <v>229</v>
      </c>
      <c r="B234" s="180"/>
      <c r="C234" s="181"/>
      <c r="D234" s="182"/>
      <c r="E234" s="183"/>
      <c r="F234" s="540"/>
      <c r="H234" s="552"/>
      <c r="I234" s="547"/>
      <c r="J234" s="548"/>
      <c r="K234" s="549"/>
      <c r="L234" s="549"/>
    </row>
    <row r="235" customFormat="false" ht="18" hidden="false" customHeight="true" outlineLevel="0" collapsed="false">
      <c r="A235" s="544" t="n">
        <v>230</v>
      </c>
      <c r="B235" s="180"/>
      <c r="C235" s="181"/>
      <c r="D235" s="182"/>
      <c r="E235" s="183"/>
      <c r="F235" s="540"/>
      <c r="H235" s="232"/>
      <c r="I235" s="547"/>
      <c r="J235" s="548"/>
      <c r="K235" s="549"/>
      <c r="L235" s="549"/>
    </row>
    <row r="236" customFormat="false" ht="18" hidden="false" customHeight="true" outlineLevel="0" collapsed="false">
      <c r="A236" s="544" t="n">
        <v>231</v>
      </c>
      <c r="B236" s="180"/>
      <c r="C236" s="181"/>
      <c r="D236" s="182"/>
      <c r="E236" s="183"/>
      <c r="F236" s="540"/>
      <c r="H236" s="232"/>
      <c r="I236" s="547"/>
      <c r="J236" s="548"/>
      <c r="K236" s="549"/>
      <c r="L236" s="549"/>
    </row>
    <row r="237" customFormat="false" ht="18" hidden="false" customHeight="true" outlineLevel="0" collapsed="false">
      <c r="A237" s="544" t="n">
        <v>232</v>
      </c>
      <c r="B237" s="180"/>
      <c r="C237" s="181"/>
      <c r="D237" s="182"/>
      <c r="E237" s="183"/>
      <c r="F237" s="540"/>
      <c r="I237" s="547"/>
      <c r="J237" s="548"/>
      <c r="K237" s="549"/>
      <c r="L237" s="549"/>
    </row>
    <row r="238" customFormat="false" ht="18" hidden="false" customHeight="true" outlineLevel="0" collapsed="false">
      <c r="A238" s="544" t="n">
        <v>233</v>
      </c>
      <c r="B238" s="180"/>
      <c r="C238" s="181"/>
      <c r="D238" s="182"/>
      <c r="E238" s="183"/>
      <c r="F238" s="540"/>
      <c r="H238" s="232"/>
      <c r="I238" s="547"/>
      <c r="J238" s="548"/>
      <c r="K238" s="549"/>
      <c r="L238" s="549"/>
    </row>
    <row r="239" customFormat="false" ht="18" hidden="false" customHeight="true" outlineLevel="0" collapsed="false">
      <c r="A239" s="544" t="n">
        <v>234</v>
      </c>
      <c r="B239" s="180"/>
      <c r="C239" s="181"/>
      <c r="D239" s="182"/>
      <c r="E239" s="183"/>
      <c r="F239" s="540"/>
      <c r="H239" s="232"/>
      <c r="I239" s="547"/>
      <c r="J239" s="548"/>
      <c r="K239" s="549"/>
      <c r="L239" s="549"/>
    </row>
    <row r="240" customFormat="false" ht="18" hidden="false" customHeight="true" outlineLevel="0" collapsed="false">
      <c r="A240" s="544" t="n">
        <v>235</v>
      </c>
      <c r="B240" s="180"/>
      <c r="C240" s="181"/>
      <c r="D240" s="182"/>
      <c r="E240" s="183"/>
      <c r="F240" s="540"/>
      <c r="H240" s="232"/>
      <c r="I240" s="547"/>
      <c r="J240" s="548"/>
      <c r="K240" s="549"/>
      <c r="L240" s="549"/>
    </row>
    <row r="241" customFormat="false" ht="18" hidden="false" customHeight="true" outlineLevel="0" collapsed="false">
      <c r="A241" s="544" t="n">
        <v>236</v>
      </c>
      <c r="B241" s="180"/>
      <c r="C241" s="181"/>
      <c r="D241" s="182"/>
      <c r="E241" s="183"/>
      <c r="F241" s="540"/>
      <c r="H241" s="232"/>
      <c r="I241" s="547"/>
      <c r="J241" s="548"/>
      <c r="K241" s="549"/>
      <c r="L241" s="549"/>
    </row>
    <row r="242" customFormat="false" ht="18" hidden="false" customHeight="true" outlineLevel="0" collapsed="false">
      <c r="A242" s="544" t="n">
        <v>237</v>
      </c>
      <c r="B242" s="180"/>
      <c r="C242" s="181"/>
      <c r="D242" s="182"/>
      <c r="E242" s="183"/>
      <c r="F242" s="540"/>
      <c r="H242" s="232"/>
      <c r="I242" s="547"/>
      <c r="J242" s="548"/>
      <c r="K242" s="549"/>
      <c r="L242" s="549"/>
    </row>
    <row r="243" customFormat="false" ht="18" hidden="false" customHeight="true" outlineLevel="0" collapsed="false">
      <c r="A243" s="544" t="n">
        <v>238</v>
      </c>
      <c r="B243" s="180"/>
      <c r="C243" s="181"/>
      <c r="D243" s="182"/>
      <c r="E243" s="183"/>
      <c r="F243" s="540"/>
      <c r="H243" s="232"/>
      <c r="I243" s="547"/>
      <c r="J243" s="548"/>
      <c r="K243" s="549"/>
      <c r="L243" s="549"/>
    </row>
    <row r="244" customFormat="false" ht="18" hidden="false" customHeight="true" outlineLevel="0" collapsed="false">
      <c r="A244" s="544" t="n">
        <v>239</v>
      </c>
      <c r="B244" s="180"/>
      <c r="C244" s="181"/>
      <c r="D244" s="182"/>
      <c r="E244" s="183"/>
      <c r="F244" s="540"/>
      <c r="H244" s="232"/>
      <c r="I244" s="547"/>
      <c r="J244" s="548"/>
      <c r="K244" s="549"/>
      <c r="L244" s="549"/>
    </row>
    <row r="245" customFormat="false" ht="18" hidden="false" customHeight="true" outlineLevel="0" collapsed="false">
      <c r="A245" s="544" t="n">
        <v>240</v>
      </c>
      <c r="B245" s="180"/>
      <c r="C245" s="181"/>
      <c r="D245" s="182"/>
      <c r="E245" s="183"/>
      <c r="F245" s="540"/>
      <c r="H245" s="232"/>
      <c r="I245" s="547"/>
      <c r="J245" s="548"/>
      <c r="K245" s="549"/>
      <c r="L245" s="549"/>
    </row>
    <row r="246" customFormat="false" ht="18" hidden="false" customHeight="true" outlineLevel="0" collapsed="false">
      <c r="A246" s="544" t="n">
        <v>241</v>
      </c>
      <c r="B246" s="180"/>
      <c r="C246" s="181"/>
      <c r="D246" s="182"/>
      <c r="E246" s="183"/>
      <c r="F246" s="540"/>
      <c r="H246" s="232"/>
      <c r="I246" s="545"/>
      <c r="J246" s="546"/>
    </row>
    <row r="247" customFormat="false" ht="18" hidden="false" customHeight="true" outlineLevel="0" collapsed="false">
      <c r="A247" s="544" t="n">
        <v>242</v>
      </c>
      <c r="B247" s="180"/>
      <c r="C247" s="181"/>
      <c r="D247" s="182"/>
      <c r="E247" s="183"/>
      <c r="F247" s="540"/>
      <c r="H247" s="232"/>
      <c r="I247" s="545"/>
      <c r="J247" s="546"/>
    </row>
    <row r="248" customFormat="false" ht="18" hidden="false" customHeight="true" outlineLevel="0" collapsed="false">
      <c r="A248" s="544" t="n">
        <v>243</v>
      </c>
      <c r="B248" s="180"/>
      <c r="C248" s="181"/>
      <c r="D248" s="182"/>
      <c r="E248" s="183"/>
      <c r="F248" s="550"/>
      <c r="G248" s="551"/>
      <c r="H248" s="232"/>
      <c r="I248" s="545"/>
      <c r="J248" s="553"/>
      <c r="K248" s="551"/>
      <c r="L248" s="551"/>
      <c r="M248" s="551"/>
      <c r="N248" s="551"/>
      <c r="O248" s="551"/>
      <c r="P248" s="551"/>
      <c r="Q248" s="551"/>
      <c r="R248" s="551"/>
      <c r="S248" s="551"/>
      <c r="T248" s="551"/>
      <c r="U248" s="551"/>
      <c r="V248" s="551"/>
      <c r="W248" s="551"/>
      <c r="X248" s="551"/>
      <c r="Y248" s="551"/>
      <c r="Z248" s="551"/>
      <c r="AA248" s="551"/>
      <c r="AB248" s="551"/>
      <c r="AC248" s="551"/>
      <c r="AD248" s="551"/>
      <c r="AE248" s="551"/>
      <c r="AF248" s="551"/>
      <c r="AG248" s="551"/>
      <c r="AH248" s="551"/>
      <c r="AI248" s="551"/>
      <c r="AJ248" s="551"/>
      <c r="AK248" s="551"/>
      <c r="AL248" s="551"/>
      <c r="AM248" s="551"/>
      <c r="AN248" s="551"/>
      <c r="AO248" s="551"/>
      <c r="AP248" s="551"/>
      <c r="AQ248" s="551"/>
      <c r="AR248" s="551"/>
      <c r="AS248" s="551"/>
      <c r="AT248" s="551"/>
      <c r="AU248" s="551"/>
      <c r="AV248" s="551"/>
      <c r="AW248" s="551"/>
      <c r="AX248" s="551"/>
      <c r="AY248" s="551"/>
      <c r="AZ248" s="551"/>
      <c r="BA248" s="551"/>
      <c r="BB248" s="551"/>
      <c r="BC248" s="551"/>
      <c r="BD248" s="551"/>
      <c r="BE248" s="551"/>
      <c r="BF248" s="551"/>
      <c r="BG248" s="551"/>
      <c r="BH248" s="551"/>
      <c r="BI248" s="551"/>
      <c r="BJ248" s="551"/>
      <c r="BK248" s="551"/>
      <c r="BL248" s="551"/>
      <c r="BM248" s="551"/>
      <c r="BN248" s="551"/>
      <c r="BO248" s="551"/>
      <c r="BP248" s="551"/>
      <c r="BQ248" s="551"/>
      <c r="BR248" s="551"/>
      <c r="BS248" s="551"/>
      <c r="BT248" s="551"/>
      <c r="BU248" s="551"/>
      <c r="BV248" s="551"/>
      <c r="BW248" s="551"/>
      <c r="BX248" s="551"/>
      <c r="BY248" s="551"/>
      <c r="BZ248" s="551"/>
      <c r="CA248" s="551"/>
      <c r="CB248" s="551"/>
      <c r="CC248" s="551"/>
      <c r="CD248" s="551"/>
      <c r="CE248" s="551"/>
      <c r="CF248" s="551"/>
      <c r="CG248" s="551"/>
      <c r="CH248" s="551"/>
      <c r="CI248" s="551"/>
      <c r="CJ248" s="551"/>
      <c r="CK248" s="551"/>
      <c r="CL248" s="551"/>
      <c r="CM248" s="551"/>
      <c r="CN248" s="551"/>
      <c r="CO248" s="551"/>
      <c r="CP248" s="551"/>
      <c r="CQ248" s="551"/>
      <c r="CR248" s="551"/>
      <c r="CS248" s="551"/>
      <c r="CT248" s="551"/>
      <c r="CU248" s="551"/>
      <c r="CV248" s="551"/>
      <c r="CW248" s="551"/>
      <c r="CX248" s="551"/>
      <c r="CY248" s="551"/>
      <c r="CZ248" s="551"/>
      <c r="DA248" s="551"/>
      <c r="DB248" s="551"/>
      <c r="DC248" s="551"/>
      <c r="DD248" s="551"/>
      <c r="DE248" s="551"/>
      <c r="DF248" s="551"/>
      <c r="DG248" s="551"/>
      <c r="DH248" s="551"/>
      <c r="DI248" s="551"/>
      <c r="DJ248" s="551"/>
      <c r="DK248" s="551"/>
      <c r="DL248" s="551"/>
      <c r="DM248" s="551"/>
      <c r="DN248" s="551"/>
      <c r="DO248" s="551"/>
      <c r="DP248" s="551"/>
      <c r="DQ248" s="551"/>
      <c r="DR248" s="551"/>
      <c r="DS248" s="551"/>
      <c r="DT248" s="551"/>
      <c r="DU248" s="551"/>
      <c r="DV248" s="551"/>
      <c r="DW248" s="551"/>
      <c r="DX248" s="551"/>
      <c r="DY248" s="551"/>
      <c r="DZ248" s="551"/>
      <c r="EA248" s="551"/>
      <c r="EB248" s="551"/>
      <c r="EC248" s="551"/>
      <c r="ED248" s="551"/>
      <c r="EE248" s="551"/>
      <c r="EF248" s="551"/>
      <c r="EG248" s="551"/>
      <c r="EH248" s="551"/>
      <c r="EI248" s="551"/>
      <c r="EJ248" s="551"/>
      <c r="EK248" s="551"/>
      <c r="EL248" s="551"/>
      <c r="EM248" s="551"/>
      <c r="EN248" s="551"/>
      <c r="EO248" s="551"/>
      <c r="EP248" s="551"/>
      <c r="EQ248" s="551"/>
      <c r="ER248" s="551"/>
      <c r="ES248" s="551"/>
      <c r="ET248" s="551"/>
      <c r="EU248" s="551"/>
      <c r="EV248" s="551"/>
      <c r="EW248" s="551"/>
      <c r="EX248" s="551"/>
      <c r="EY248" s="551"/>
      <c r="EZ248" s="551"/>
      <c r="FA248" s="551"/>
      <c r="FB248" s="551"/>
      <c r="FC248" s="551"/>
      <c r="FD248" s="551"/>
      <c r="FE248" s="551"/>
      <c r="FF248" s="551"/>
      <c r="FG248" s="551"/>
      <c r="FH248" s="551"/>
      <c r="FI248" s="551"/>
      <c r="FJ248" s="551"/>
      <c r="FK248" s="551"/>
      <c r="FL248" s="551"/>
      <c r="FM248" s="551"/>
      <c r="FN248" s="551"/>
      <c r="FO248" s="551"/>
      <c r="FP248" s="551"/>
      <c r="FQ248" s="551"/>
      <c r="FR248" s="551"/>
      <c r="FS248" s="551"/>
      <c r="FT248" s="551"/>
      <c r="FU248" s="551"/>
      <c r="FV248" s="551"/>
      <c r="FW248" s="551"/>
      <c r="FX248" s="551"/>
      <c r="FY248" s="551"/>
      <c r="FZ248" s="551"/>
      <c r="GA248" s="551"/>
      <c r="GB248" s="551"/>
      <c r="GC248" s="551"/>
      <c r="GD248" s="551"/>
      <c r="GE248" s="551"/>
      <c r="GF248" s="551"/>
      <c r="GG248" s="551"/>
      <c r="GH248" s="551"/>
      <c r="GI248" s="551"/>
      <c r="GJ248" s="551"/>
      <c r="GK248" s="551"/>
      <c r="GL248" s="551"/>
      <c r="GM248" s="551"/>
      <c r="GN248" s="551"/>
      <c r="GO248" s="551"/>
      <c r="GP248" s="551"/>
      <c r="GQ248" s="551"/>
      <c r="GR248" s="551"/>
      <c r="GS248" s="551"/>
      <c r="GT248" s="551"/>
      <c r="GU248" s="551"/>
      <c r="GV248" s="551"/>
      <c r="GW248" s="551"/>
      <c r="GX248" s="551"/>
      <c r="GY248" s="551"/>
      <c r="GZ248" s="551"/>
      <c r="HA248" s="551"/>
      <c r="HB248" s="551"/>
      <c r="HC248" s="551"/>
      <c r="HD248" s="551"/>
      <c r="HE248" s="551"/>
      <c r="HF248" s="551"/>
      <c r="HG248" s="551"/>
      <c r="HH248" s="551"/>
      <c r="HI248" s="551"/>
      <c r="HJ248" s="551"/>
      <c r="HK248" s="551"/>
      <c r="HL248" s="551"/>
      <c r="HM248" s="551"/>
      <c r="HN248" s="551"/>
      <c r="HO248" s="551"/>
      <c r="HP248" s="551"/>
      <c r="HQ248" s="551"/>
      <c r="HR248" s="551"/>
      <c r="HS248" s="551"/>
      <c r="HT248" s="551"/>
      <c r="HU248" s="551"/>
      <c r="HV248" s="551"/>
      <c r="HW248" s="551"/>
      <c r="HX248" s="551"/>
      <c r="HY248" s="551"/>
      <c r="HZ248" s="551"/>
      <c r="IA248" s="551"/>
      <c r="IB248" s="551"/>
      <c r="IC248" s="551"/>
      <c r="ID248" s="551"/>
      <c r="IE248" s="551"/>
      <c r="IF248" s="551"/>
      <c r="IG248" s="551"/>
      <c r="IH248" s="551"/>
      <c r="II248" s="551"/>
      <c r="IJ248" s="551"/>
      <c r="IK248" s="551"/>
      <c r="IL248" s="551"/>
      <c r="IM248" s="551"/>
      <c r="IN248" s="551"/>
      <c r="IO248" s="551"/>
      <c r="IP248" s="551"/>
      <c r="IQ248" s="551"/>
      <c r="IR248" s="551"/>
      <c r="IS248" s="551"/>
      <c r="IT248" s="551"/>
      <c r="IU248" s="551"/>
      <c r="IV248" s="551"/>
      <c r="IW248" s="551"/>
    </row>
    <row r="249" customFormat="false" ht="18.75" hidden="false" customHeight="true" outlineLevel="0" collapsed="false">
      <c r="A249" s="544" t="n">
        <v>244</v>
      </c>
      <c r="B249" s="180"/>
      <c r="C249" s="181"/>
      <c r="D249" s="182"/>
      <c r="E249" s="183"/>
      <c r="F249" s="540"/>
      <c r="H249" s="232"/>
      <c r="I249" s="545"/>
      <c r="J249" s="546"/>
    </row>
    <row r="250" customFormat="false" ht="15.75" hidden="false" customHeight="false" outlineLevel="0" collapsed="false">
      <c r="A250" s="554" t="s">
        <v>216</v>
      </c>
      <c r="B250" s="554"/>
      <c r="C250" s="554"/>
      <c r="D250" s="555" t="n">
        <f aca="false">SUM(D6:D249)</f>
        <v>0</v>
      </c>
      <c r="E250" s="555" t="n">
        <f aca="false">SUM(E6:E249)</f>
        <v>0</v>
      </c>
      <c r="F250" s="540"/>
      <c r="H250" s="545"/>
      <c r="I250" s="207"/>
      <c r="J250" s="556"/>
      <c r="K250" s="557"/>
      <c r="M250" s="558"/>
    </row>
    <row r="251" customFormat="false" ht="12.75" hidden="false" customHeight="false" outlineLevel="0" collapsed="false">
      <c r="A251" s="540" t="s">
        <v>217</v>
      </c>
      <c r="B251" s="540"/>
      <c r="C251" s="540"/>
      <c r="D251" s="540"/>
      <c r="E251" s="540"/>
      <c r="F251" s="540"/>
      <c r="H251" s="232"/>
      <c r="I251" s="206"/>
      <c r="J251" s="546"/>
      <c r="K251" s="546"/>
      <c r="M251" s="558"/>
    </row>
    <row r="252" customFormat="false" ht="12.75" hidden="false" customHeight="false" outlineLevel="0" collapsed="false">
      <c r="A252" s="540" t="s">
        <v>218</v>
      </c>
      <c r="B252" s="540"/>
      <c r="C252" s="540"/>
      <c r="D252" s="540"/>
      <c r="E252" s="540"/>
      <c r="F252" s="540"/>
      <c r="H252" s="552"/>
      <c r="I252" s="559"/>
      <c r="J252" s="546"/>
      <c r="K252" s="546"/>
    </row>
    <row r="253" customFormat="false" ht="15" hidden="false" customHeight="false" outlineLevel="0" collapsed="false">
      <c r="A253" s="550" t="s">
        <v>219</v>
      </c>
      <c r="B253" s="550"/>
      <c r="C253" s="560" t="n">
        <f aca="false">'Přehled akce'!D57</f>
        <v>0</v>
      </c>
      <c r="D253" s="550"/>
      <c r="E253" s="550"/>
      <c r="F253" s="540"/>
      <c r="H253" s="232"/>
      <c r="I253" s="206"/>
      <c r="J253" s="546"/>
    </row>
    <row r="254" customFormat="false" ht="12.75" hidden="false" customHeight="false" outlineLevel="0" collapsed="false">
      <c r="A254" s="540"/>
      <c r="B254" s="540"/>
      <c r="C254" s="540"/>
      <c r="D254" s="540"/>
      <c r="E254" s="540"/>
      <c r="F254" s="540"/>
      <c r="H254" s="232"/>
      <c r="I254" s="206"/>
      <c r="J254" s="546"/>
    </row>
    <row r="255" customFormat="false" ht="12.75" hidden="false" customHeight="false" outlineLevel="0" collapsed="false">
      <c r="H255" s="232"/>
      <c r="I255" s="545"/>
      <c r="J255" s="546"/>
    </row>
    <row r="256" customFormat="false" ht="12.75" hidden="false" customHeight="false" outlineLevel="0" collapsed="false">
      <c r="H256" s="232"/>
      <c r="I256" s="545"/>
      <c r="J256" s="546"/>
    </row>
    <row r="257" customFormat="false" ht="12.75" hidden="false" customHeight="false" outlineLevel="0" collapsed="false">
      <c r="H257" s="232"/>
      <c r="I257" s="545"/>
      <c r="J257" s="546"/>
    </row>
    <row r="258" customFormat="false" ht="12.75" hidden="false" customHeight="false" outlineLevel="0" collapsed="false">
      <c r="H258" s="232"/>
      <c r="I258" s="206"/>
      <c r="J258" s="546"/>
    </row>
    <row r="259" customFormat="false" ht="12.75" hidden="false" customHeight="false" outlineLevel="0" collapsed="false">
      <c r="H259" s="232"/>
      <c r="I259" s="206"/>
      <c r="J259" s="546"/>
    </row>
    <row r="260" customFormat="false" ht="12.75" hidden="false" customHeight="false" outlineLevel="0" collapsed="false">
      <c r="H260" s="552"/>
      <c r="I260" s="561"/>
      <c r="J260" s="546"/>
    </row>
    <row r="261" customFormat="false" ht="12.75" hidden="false" customHeight="false" outlineLevel="0" collapsed="false">
      <c r="H261" s="232"/>
      <c r="I261" s="206"/>
      <c r="J261" s="546"/>
    </row>
    <row r="262" customFormat="false" ht="12.75" hidden="false" customHeight="false" outlineLevel="0" collapsed="false">
      <c r="H262" s="552"/>
      <c r="I262" s="561"/>
      <c r="J262" s="546"/>
    </row>
    <row r="263" customFormat="false" ht="12.75" hidden="false" customHeight="false" outlineLevel="0" collapsed="false">
      <c r="H263" s="232"/>
      <c r="I263" s="206"/>
      <c r="J263" s="546"/>
    </row>
    <row r="264" customFormat="false" ht="12.75" hidden="false" customHeight="false" outlineLevel="0" collapsed="false">
      <c r="H264" s="232"/>
      <c r="I264" s="206"/>
      <c r="J264" s="546"/>
    </row>
    <row r="265" customFormat="false" ht="12.75" hidden="false" customHeight="false" outlineLevel="0" collapsed="false">
      <c r="H265" s="232"/>
      <c r="I265" s="206"/>
      <c r="J265" s="546"/>
    </row>
    <row r="266" customFormat="false" ht="12.75" hidden="false" customHeight="false" outlineLevel="0" collapsed="false">
      <c r="H266" s="232"/>
      <c r="I266" s="206"/>
      <c r="J266" s="546"/>
    </row>
    <row r="267" customFormat="false" ht="12.75" hidden="false" customHeight="false" outlineLevel="0" collapsed="false">
      <c r="H267" s="232"/>
      <c r="I267" s="206"/>
      <c r="J267" s="546"/>
    </row>
    <row r="268" customFormat="false" ht="12.75" hidden="false" customHeight="false" outlineLevel="0" collapsed="false">
      <c r="H268" s="232"/>
      <c r="I268" s="206"/>
      <c r="J268" s="546"/>
    </row>
    <row r="269" customFormat="false" ht="12.75" hidden="false" customHeight="false" outlineLevel="0" collapsed="false">
      <c r="H269" s="232"/>
      <c r="I269" s="545"/>
      <c r="J269" s="546"/>
    </row>
    <row r="270" customFormat="false" ht="12.75" hidden="false" customHeight="false" outlineLevel="0" collapsed="false">
      <c r="H270" s="232"/>
      <c r="I270" s="206"/>
      <c r="J270" s="546"/>
    </row>
    <row r="271" customFormat="false" ht="12.75" hidden="false" customHeight="false" outlineLevel="0" collapsed="false">
      <c r="H271" s="232"/>
      <c r="I271" s="206"/>
      <c r="J271" s="546"/>
    </row>
    <row r="272" customFormat="false" ht="12.75" hidden="false" customHeight="false" outlineLevel="0" collapsed="false">
      <c r="H272" s="232"/>
      <c r="I272" s="206"/>
      <c r="J272" s="546"/>
    </row>
    <row r="273" customFormat="false" ht="12.75" hidden="false" customHeight="false" outlineLevel="0" collapsed="false">
      <c r="H273" s="232"/>
      <c r="I273" s="206"/>
      <c r="J273" s="546"/>
    </row>
    <row r="274" customFormat="false" ht="12.75" hidden="false" customHeight="false" outlineLevel="0" collapsed="false">
      <c r="H274" s="232"/>
      <c r="I274" s="206"/>
      <c r="J274" s="546"/>
    </row>
    <row r="275" customFormat="false" ht="12.75" hidden="false" customHeight="false" outlineLevel="0" collapsed="false">
      <c r="H275" s="232"/>
      <c r="I275" s="545"/>
      <c r="J275" s="546"/>
    </row>
    <row r="276" customFormat="false" ht="12.75" hidden="false" customHeight="false" outlineLevel="0" collapsed="false">
      <c r="H276" s="232"/>
      <c r="I276" s="545"/>
      <c r="J276" s="546"/>
    </row>
    <row r="277" customFormat="false" ht="12.75" hidden="false" customHeight="false" outlineLevel="0" collapsed="false">
      <c r="H277" s="232"/>
      <c r="I277" s="206"/>
      <c r="J277" s="546"/>
    </row>
    <row r="278" customFormat="false" ht="12.75" hidden="false" customHeight="false" outlineLevel="0" collapsed="false">
      <c r="H278" s="232"/>
      <c r="I278" s="206"/>
      <c r="J278" s="546"/>
    </row>
    <row r="279" customFormat="false" ht="12.75" hidden="false" customHeight="false" outlineLevel="0" collapsed="false">
      <c r="H279" s="552"/>
      <c r="I279" s="561"/>
      <c r="J279" s="546"/>
    </row>
    <row r="280" customFormat="false" ht="12.75" hidden="false" customHeight="false" outlineLevel="0" collapsed="false">
      <c r="H280" s="232"/>
      <c r="I280" s="545"/>
      <c r="J280" s="546"/>
    </row>
    <row r="281" customFormat="false" ht="12.75" hidden="false" customHeight="false" outlineLevel="0" collapsed="false">
      <c r="H281" s="232"/>
      <c r="I281" s="545"/>
      <c r="J281" s="546"/>
    </row>
    <row r="282" customFormat="false" ht="12.75" hidden="false" customHeight="false" outlineLevel="0" collapsed="false">
      <c r="H282" s="232"/>
      <c r="I282" s="545"/>
      <c r="J282" s="546"/>
    </row>
    <row r="283" customFormat="false" ht="12.75" hidden="false" customHeight="false" outlineLevel="0" collapsed="false">
      <c r="H283" s="546"/>
      <c r="I283" s="546"/>
      <c r="J283" s="546"/>
    </row>
    <row r="284" customFormat="false" ht="12.75" hidden="false" customHeight="false" outlineLevel="0" collapsed="false">
      <c r="H284" s="546"/>
      <c r="I284" s="546"/>
      <c r="J284" s="546"/>
    </row>
    <row r="285" customFormat="false" ht="12.75" hidden="false" customHeight="false" outlineLevel="0" collapsed="false">
      <c r="H285" s="546"/>
      <c r="I285" s="546"/>
      <c r="J285" s="546"/>
    </row>
    <row r="286" customFormat="false" ht="12.75" hidden="false" customHeight="false" outlineLevel="0" collapsed="false">
      <c r="H286" s="546"/>
      <c r="I286" s="546"/>
      <c r="J286" s="546"/>
    </row>
    <row r="287" customFormat="false" ht="12.75" hidden="false" customHeight="false" outlineLevel="0" collapsed="false">
      <c r="H287" s="546"/>
      <c r="I287" s="546"/>
      <c r="J287" s="546"/>
    </row>
    <row r="288" customFormat="false" ht="12.75" hidden="false" customHeight="false" outlineLevel="0" collapsed="false">
      <c r="H288" s="546"/>
      <c r="I288" s="546"/>
      <c r="J288" s="546"/>
    </row>
    <row r="289" customFormat="false" ht="12.75" hidden="false" customHeight="false" outlineLevel="0" collapsed="false">
      <c r="H289" s="546"/>
      <c r="I289" s="546"/>
      <c r="J289" s="546"/>
    </row>
    <row r="290" customFormat="false" ht="12.75" hidden="false" customHeight="false" outlineLevel="0" collapsed="false">
      <c r="H290" s="546"/>
      <c r="I290" s="546"/>
      <c r="J290" s="546"/>
    </row>
    <row r="291" customFormat="false" ht="12.75" hidden="false" customHeight="false" outlineLevel="0" collapsed="false">
      <c r="H291" s="546"/>
      <c r="I291" s="546"/>
      <c r="J291" s="546"/>
    </row>
    <row r="292" customFormat="false" ht="12.75" hidden="false" customHeight="false" outlineLevel="0" collapsed="false">
      <c r="H292" s="546"/>
      <c r="I292" s="546"/>
      <c r="J292" s="546"/>
    </row>
    <row r="293" customFormat="false" ht="12.75" hidden="false" customHeight="false" outlineLevel="0" collapsed="false">
      <c r="H293" s="546"/>
      <c r="I293" s="546"/>
      <c r="J293" s="546"/>
    </row>
  </sheetData>
  <mergeCells count="3">
    <mergeCell ref="A2:E2"/>
    <mergeCell ref="A3:E3"/>
    <mergeCell ref="A250:C250"/>
  </mergeCells>
  <conditionalFormatting sqref="I4">
    <cfRule type="cellIs" priority="2" operator="greaterThan" aboveAverage="0" equalAverage="0" bottom="0" percent="0" rank="0" text="" dxfId="19">
      <formula>0</formula>
    </cfRule>
    <cfRule type="cellIs" priority="3" operator="lessThan" aboveAverage="0" equalAverage="0" bottom="0" percent="0" rank="0" text="" dxfId="20">
      <formula>0</formula>
    </cfRule>
  </conditionalFormatting>
  <printOptions headings="false" gridLines="false" gridLinesSet="true" horizontalCentered="false" verticalCentered="false"/>
  <pageMargins left="0.747916666666667" right="0.472222222222222" top="0.747916666666667" bottom="0.629861111111111" header="0.551388888888889" footer="0.511811023622047"/>
  <pageSetup paperSize="9" scale="91" fitToWidth="1" fitToHeight="1" pageOrder="downThenOver" orientation="portrait" blackAndWhite="false" draft="false" cellComments="none" horizontalDpi="300" verticalDpi="300" copies="1"/>
  <headerFooter differentFirst="false" differentOddEven="false">
    <oddHeader>&amp;L&amp;12Junák - svaz skautů a skautek ČR</oddHeader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1">
              <controlPr defaultSize="0" print="false" autoFill="0" autoPict="0" macro="Module1.Makro6">
                <anchor moveWithCells="true" sizeWithCells="false">
                  <from>
                    <xdr:col>7</xdr:col>
                    <xdr:colOff>242280</xdr:colOff>
                    <xdr:row>7</xdr:row>
                    <xdr:rowOff>28800</xdr:rowOff>
                  </from>
                  <to>
                    <xdr:col>8</xdr:col>
                    <xdr:colOff>594720</xdr:colOff>
                    <xdr:row>8</xdr:row>
                    <xdr:rowOff>152640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69696"/>
    <pageSetUpPr fitToPage="true"/>
  </sheetPr>
  <dimension ref="A1:IW9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F22" activeCellId="0" sqref="AF22"/>
    </sheetView>
  </sheetViews>
  <sheetFormatPr defaultColWidth="3.70703125" defaultRowHeight="12.75" customHeight="true" zeroHeight="false" outlineLevelRow="0" outlineLevelCol="0"/>
  <cols>
    <col collapsed="false" customWidth="true" hidden="false" outlineLevel="0" max="1" min="1" style="562" width="4.41"/>
    <col collapsed="false" customWidth="true" hidden="false" outlineLevel="0" max="2" min="2" style="562" width="4.14"/>
    <col collapsed="false" customWidth="false" hidden="false" outlineLevel="0" max="7" min="3" style="562" width="3.7"/>
    <col collapsed="false" customWidth="true" hidden="false" outlineLevel="0" max="8" min="8" style="562" width="3.85"/>
    <col collapsed="false" customWidth="false" hidden="false" outlineLevel="0" max="10" min="9" style="562" width="3.7"/>
    <col collapsed="false" customWidth="true" hidden="false" outlineLevel="0" max="11" min="11" style="562" width="3.99"/>
    <col collapsed="false" customWidth="false" hidden="false" outlineLevel="0" max="13" min="12" style="562" width="3.7"/>
    <col collapsed="false" customWidth="true" hidden="false" outlineLevel="0" max="14" min="14" style="562" width="2.84"/>
    <col collapsed="false" customWidth="true" hidden="false" outlineLevel="0" max="15" min="15" style="562" width="4.14"/>
    <col collapsed="false" customWidth="true" hidden="false" outlineLevel="0" max="16" min="16" style="562" width="3.85"/>
    <col collapsed="false" customWidth="true" hidden="false" outlineLevel="0" max="17" min="17" style="562" width="3.99"/>
    <col collapsed="false" customWidth="false" hidden="false" outlineLevel="0" max="18" min="18" style="562" width="3.7"/>
    <col collapsed="false" customWidth="true" hidden="false" outlineLevel="0" max="19" min="19" style="562" width="7.85"/>
    <col collapsed="false" customWidth="false" hidden="false" outlineLevel="0" max="257" min="20" style="562" width="3.7"/>
  </cols>
  <sheetData>
    <row r="1" customFormat="false" ht="21.75" hidden="false" customHeight="true" outlineLevel="0" collapsed="false">
      <c r="B1" s="563"/>
      <c r="C1" s="563"/>
      <c r="D1" s="563"/>
      <c r="E1" s="564" t="s">
        <v>220</v>
      </c>
      <c r="F1" s="564"/>
      <c r="G1" s="564"/>
      <c r="H1" s="564"/>
      <c r="I1" s="564"/>
      <c r="J1" s="564"/>
      <c r="K1" s="564"/>
      <c r="L1" s="564"/>
      <c r="M1" s="564"/>
      <c r="N1" s="564"/>
      <c r="O1" s="564"/>
      <c r="P1" s="564"/>
      <c r="Q1" s="564"/>
      <c r="R1" s="564"/>
      <c r="S1" s="564"/>
      <c r="T1" s="564"/>
      <c r="U1" s="564"/>
      <c r="V1" s="564"/>
      <c r="W1" s="564"/>
    </row>
    <row r="2" customFormat="false" ht="23.25" hidden="false" customHeight="false" outlineLevel="0" collapsed="false">
      <c r="A2" s="563"/>
      <c r="B2" s="563"/>
      <c r="C2" s="563"/>
      <c r="D2" s="563"/>
      <c r="E2" s="565" t="s">
        <v>221</v>
      </c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</row>
    <row r="3" customFormat="false" ht="13.5" hidden="false" customHeight="true" outlineLevel="0" collapsed="false">
      <c r="B3" s="566"/>
      <c r="C3" s="566"/>
      <c r="D3" s="566"/>
      <c r="E3" s="566"/>
      <c r="F3" s="566"/>
      <c r="G3" s="566"/>
      <c r="H3" s="566"/>
      <c r="I3" s="566"/>
      <c r="J3" s="566"/>
      <c r="K3" s="566"/>
    </row>
    <row r="4" customFormat="false" ht="15" hidden="false" customHeight="false" outlineLevel="0" collapsed="false">
      <c r="A4" s="567" t="s">
        <v>222</v>
      </c>
      <c r="B4" s="567"/>
      <c r="C4" s="567"/>
      <c r="D4" s="567"/>
      <c r="E4" s="567"/>
      <c r="F4" s="567"/>
      <c r="G4" s="567"/>
      <c r="H4" s="567"/>
      <c r="I4" s="567"/>
      <c r="J4" s="567"/>
      <c r="K4" s="567"/>
      <c r="L4" s="567"/>
      <c r="M4" s="567"/>
      <c r="N4" s="567"/>
      <c r="O4" s="567"/>
      <c r="P4" s="567"/>
      <c r="Q4" s="567"/>
      <c r="R4" s="567"/>
      <c r="S4" s="567"/>
      <c r="T4" s="567"/>
      <c r="U4" s="567"/>
      <c r="V4" s="567"/>
      <c r="W4" s="567"/>
    </row>
    <row r="5" customFormat="false" ht="8.25" hidden="false" customHeight="true" outlineLevel="0" collapsed="false">
      <c r="A5" s="567"/>
      <c r="B5" s="567"/>
      <c r="C5" s="567"/>
      <c r="D5" s="567"/>
      <c r="E5" s="567"/>
      <c r="F5" s="567"/>
      <c r="G5" s="567"/>
      <c r="H5" s="567"/>
      <c r="I5" s="567"/>
      <c r="J5" s="567"/>
      <c r="K5" s="567"/>
      <c r="L5" s="567"/>
      <c r="M5" s="567"/>
      <c r="N5" s="567"/>
      <c r="O5" s="567"/>
      <c r="P5" s="567"/>
      <c r="Q5" s="567"/>
      <c r="R5" s="567"/>
      <c r="S5" s="567"/>
      <c r="T5" s="567"/>
      <c r="U5" s="567"/>
      <c r="V5" s="567"/>
      <c r="W5" s="567"/>
    </row>
    <row r="6" customFormat="false" ht="20.1" hidden="false" customHeight="true" outlineLevel="0" collapsed="false">
      <c r="B6" s="568"/>
      <c r="C6" s="568"/>
      <c r="D6" s="568"/>
      <c r="E6" s="568"/>
      <c r="F6" s="568"/>
      <c r="G6" s="568"/>
      <c r="H6" s="568"/>
      <c r="I6" s="568"/>
      <c r="J6" s="568"/>
      <c r="K6" s="568"/>
      <c r="L6" s="568"/>
      <c r="M6" s="568"/>
      <c r="N6" s="568"/>
      <c r="O6" s="568"/>
      <c r="P6" s="568"/>
      <c r="Q6" s="568"/>
      <c r="R6" s="568"/>
      <c r="S6" s="568"/>
      <c r="T6" s="568"/>
      <c r="U6" s="568"/>
      <c r="V6" s="568"/>
      <c r="W6" s="568"/>
    </row>
    <row r="7" customFormat="false" ht="10.5" hidden="false" customHeight="true" outlineLevel="0" collapsed="false">
      <c r="B7" s="569"/>
      <c r="C7" s="569"/>
      <c r="D7" s="569"/>
      <c r="K7" s="570"/>
      <c r="AX7" s="571" t="s">
        <v>223</v>
      </c>
    </row>
    <row r="8" customFormat="false" ht="15" hidden="false" customHeight="false" outlineLevel="0" collapsed="false">
      <c r="A8" s="564" t="s">
        <v>224</v>
      </c>
      <c r="B8" s="564"/>
      <c r="C8" s="564"/>
      <c r="D8" s="564"/>
      <c r="E8" s="564"/>
      <c r="F8" s="564"/>
      <c r="G8" s="564"/>
      <c r="H8" s="564"/>
      <c r="I8" s="564"/>
      <c r="J8" s="564"/>
      <c r="K8" s="564"/>
      <c r="L8" s="564"/>
      <c r="M8" s="564"/>
      <c r="N8" s="564"/>
      <c r="O8" s="564"/>
      <c r="P8" s="564"/>
      <c r="Q8" s="564"/>
      <c r="R8" s="564"/>
      <c r="S8" s="564"/>
      <c r="T8" s="564"/>
      <c r="U8" s="564"/>
      <c r="V8" s="564"/>
      <c r="W8" s="564"/>
    </row>
    <row r="9" customFormat="false" ht="6.75" hidden="false" customHeight="true" outlineLevel="0" collapsed="false"/>
    <row r="10" customFormat="false" ht="12.75" hidden="false" customHeight="false" outlineLevel="0" collapsed="false">
      <c r="A10" s="572"/>
      <c r="B10" s="573" t="s">
        <v>225</v>
      </c>
      <c r="C10" s="573"/>
      <c r="D10" s="573"/>
      <c r="E10" s="573"/>
      <c r="F10" s="573"/>
      <c r="G10" s="573"/>
      <c r="H10" s="573"/>
      <c r="I10" s="573"/>
      <c r="J10" s="573"/>
      <c r="K10" s="573"/>
      <c r="Q10" s="574" t="s">
        <v>226</v>
      </c>
      <c r="R10" s="574"/>
      <c r="S10" s="574"/>
      <c r="T10" s="574"/>
      <c r="U10" s="574"/>
      <c r="V10" s="574"/>
      <c r="W10" s="574"/>
      <c r="X10" s="574"/>
      <c r="Y10" s="574"/>
      <c r="Z10" s="574"/>
      <c r="AA10" s="574"/>
    </row>
    <row r="11" customFormat="false" ht="12.75" hidden="false" customHeight="false" outlineLevel="0" collapsed="false">
      <c r="A11" s="572"/>
      <c r="B11" s="573" t="s">
        <v>227</v>
      </c>
      <c r="C11" s="573"/>
      <c r="D11" s="573"/>
      <c r="E11" s="573"/>
      <c r="F11" s="573"/>
      <c r="G11" s="573"/>
      <c r="H11" s="573"/>
      <c r="I11" s="573"/>
      <c r="J11" s="573"/>
      <c r="K11" s="573"/>
      <c r="Q11" s="574" t="s">
        <v>228</v>
      </c>
      <c r="R11" s="574"/>
      <c r="S11" s="574"/>
      <c r="T11" s="574"/>
      <c r="U11" s="574"/>
      <c r="V11" s="574"/>
      <c r="W11" s="574"/>
      <c r="X11" s="574"/>
      <c r="Y11" s="574"/>
      <c r="Z11" s="574"/>
      <c r="AA11" s="574"/>
    </row>
    <row r="12" customFormat="false" ht="12.75" hidden="false" customHeight="false" outlineLevel="0" collapsed="false">
      <c r="A12" s="572"/>
      <c r="B12" s="573" t="s">
        <v>229</v>
      </c>
      <c r="C12" s="573"/>
      <c r="D12" s="573"/>
      <c r="E12" s="573"/>
      <c r="F12" s="573"/>
      <c r="G12" s="573"/>
      <c r="H12" s="573"/>
      <c r="I12" s="573"/>
      <c r="J12" s="573"/>
      <c r="K12" s="573"/>
      <c r="Q12" s="574" t="s">
        <v>230</v>
      </c>
      <c r="R12" s="574"/>
      <c r="S12" s="574"/>
      <c r="T12" s="574"/>
      <c r="U12" s="574"/>
      <c r="V12" s="574"/>
      <c r="W12" s="574"/>
      <c r="X12" s="574"/>
      <c r="Y12" s="574"/>
      <c r="Z12" s="574"/>
      <c r="AA12" s="574"/>
    </row>
    <row r="13" customFormat="false" ht="12.75" hidden="false" customHeight="false" outlineLevel="0" collapsed="false">
      <c r="A13" s="572"/>
      <c r="B13" s="573" t="s">
        <v>231</v>
      </c>
      <c r="C13" s="573"/>
      <c r="D13" s="573"/>
      <c r="E13" s="573"/>
      <c r="F13" s="573"/>
      <c r="G13" s="573"/>
      <c r="H13" s="573"/>
      <c r="I13" s="573"/>
      <c r="J13" s="573"/>
      <c r="K13" s="573"/>
      <c r="Q13" s="573" t="s">
        <v>232</v>
      </c>
      <c r="R13" s="573"/>
      <c r="S13" s="573"/>
      <c r="T13" s="573"/>
      <c r="U13" s="573"/>
      <c r="V13" s="573"/>
      <c r="W13" s="573"/>
      <c r="X13" s="573"/>
      <c r="Y13" s="573"/>
      <c r="Z13" s="573"/>
      <c r="AA13" s="575"/>
    </row>
    <row r="14" customFormat="false" ht="12.75" hidden="false" customHeight="false" outlineLevel="0" collapsed="false">
      <c r="A14" s="572"/>
      <c r="B14" s="573" t="s">
        <v>233</v>
      </c>
      <c r="C14" s="573"/>
      <c r="D14" s="573"/>
      <c r="E14" s="573"/>
      <c r="F14" s="573"/>
      <c r="G14" s="573"/>
      <c r="H14" s="573"/>
      <c r="I14" s="573"/>
      <c r="J14" s="573"/>
      <c r="K14" s="573"/>
      <c r="Q14" s="573" t="s">
        <v>234</v>
      </c>
      <c r="R14" s="573"/>
      <c r="S14" s="573"/>
      <c r="T14" s="573"/>
      <c r="U14" s="573"/>
      <c r="V14" s="573"/>
      <c r="W14" s="573"/>
      <c r="X14" s="573"/>
      <c r="Y14" s="573"/>
      <c r="Z14" s="573"/>
      <c r="AA14" s="575"/>
    </row>
    <row r="15" customFormat="false" ht="12.75" hidden="false" customHeight="false" outlineLevel="0" collapsed="false">
      <c r="A15" s="572"/>
      <c r="B15" s="573" t="s">
        <v>235</v>
      </c>
      <c r="C15" s="573"/>
      <c r="D15" s="573"/>
      <c r="E15" s="573"/>
      <c r="F15" s="573"/>
      <c r="G15" s="573"/>
      <c r="H15" s="573"/>
      <c r="I15" s="573"/>
      <c r="J15" s="573"/>
      <c r="K15" s="573"/>
      <c r="Q15" s="573" t="s">
        <v>236</v>
      </c>
      <c r="R15" s="573"/>
      <c r="S15" s="573"/>
      <c r="T15" s="573"/>
      <c r="U15" s="573"/>
      <c r="V15" s="573"/>
      <c r="W15" s="573"/>
      <c r="X15" s="573"/>
      <c r="Y15" s="573"/>
      <c r="Z15" s="573"/>
      <c r="AA15" s="575"/>
    </row>
    <row r="16" customFormat="false" ht="12.75" hidden="false" customHeight="false" outlineLevel="0" collapsed="false">
      <c r="A16" s="572"/>
      <c r="B16" s="573" t="s">
        <v>237</v>
      </c>
      <c r="C16" s="573"/>
      <c r="D16" s="573"/>
      <c r="E16" s="573"/>
      <c r="F16" s="573"/>
      <c r="G16" s="573"/>
      <c r="H16" s="573"/>
      <c r="I16" s="573"/>
      <c r="J16" s="573"/>
      <c r="K16" s="573"/>
      <c r="Q16" s="573" t="s">
        <v>238</v>
      </c>
      <c r="R16" s="573"/>
      <c r="S16" s="573"/>
      <c r="T16" s="573"/>
      <c r="U16" s="573"/>
      <c r="V16" s="573"/>
      <c r="W16" s="573"/>
      <c r="X16" s="573"/>
      <c r="Y16" s="573"/>
      <c r="Z16" s="573"/>
      <c r="AA16" s="575"/>
    </row>
    <row r="17" customFormat="false" ht="12.75" hidden="false" customHeight="false" outlineLevel="0" collapsed="false">
      <c r="A17" s="572"/>
      <c r="B17" s="573" t="s">
        <v>239</v>
      </c>
      <c r="C17" s="573"/>
      <c r="D17" s="573"/>
      <c r="E17" s="573"/>
      <c r="F17" s="573"/>
      <c r="G17" s="573"/>
      <c r="H17" s="573"/>
      <c r="I17" s="573"/>
      <c r="J17" s="573"/>
      <c r="K17" s="573"/>
      <c r="L17" s="574"/>
      <c r="Q17" s="573"/>
      <c r="R17" s="573"/>
      <c r="S17" s="573"/>
      <c r="T17" s="573"/>
      <c r="U17" s="573"/>
      <c r="V17" s="573"/>
      <c r="W17" s="573"/>
      <c r="X17" s="573"/>
      <c r="Y17" s="573"/>
      <c r="Z17" s="573"/>
      <c r="AA17" s="573"/>
    </row>
    <row r="18" customFormat="false" ht="19.5" hidden="false" customHeight="true" outlineLevel="0" collapsed="false">
      <c r="A18" s="572"/>
      <c r="M18" s="576"/>
      <c r="N18" s="576"/>
      <c r="O18" s="576"/>
      <c r="P18" s="576"/>
      <c r="Q18" s="576"/>
      <c r="R18" s="576"/>
      <c r="S18" s="576"/>
      <c r="T18" s="576"/>
      <c r="U18" s="576"/>
      <c r="V18" s="576"/>
      <c r="W18" s="576"/>
      <c r="X18" s="576"/>
      <c r="Y18" s="576"/>
      <c r="Z18" s="576"/>
      <c r="AA18" s="573"/>
    </row>
    <row r="19" customFormat="false" ht="6.75" hidden="false" customHeight="true" outlineLevel="0" collapsed="false">
      <c r="AA19" s="573"/>
    </row>
    <row r="20" customFormat="false" ht="15" hidden="false" customHeight="false" outlineLevel="0" collapsed="false">
      <c r="A20" s="564" t="s">
        <v>240</v>
      </c>
      <c r="B20" s="564"/>
      <c r="C20" s="564"/>
      <c r="D20" s="564"/>
      <c r="E20" s="564"/>
      <c r="F20" s="564"/>
      <c r="G20" s="564"/>
      <c r="H20" s="564"/>
      <c r="I20" s="564"/>
      <c r="J20" s="564"/>
      <c r="K20" s="564"/>
    </row>
    <row r="21" customFormat="false" ht="6.75" hidden="false" customHeight="true" outlineLevel="0" collapsed="false"/>
    <row r="22" customFormat="false" ht="23.25" hidden="false" customHeight="true" outlineLevel="0" collapsed="false">
      <c r="A22" s="572"/>
      <c r="B22" s="577" t="s">
        <v>241</v>
      </c>
      <c r="C22" s="577"/>
      <c r="D22" s="577"/>
      <c r="E22" s="578" t="s">
        <v>242</v>
      </c>
      <c r="F22" s="578"/>
      <c r="G22" s="578"/>
      <c r="H22" s="578"/>
      <c r="I22" s="578"/>
      <c r="J22" s="578"/>
      <c r="K22" s="578"/>
      <c r="L22" s="578"/>
      <c r="M22" s="577" t="s">
        <v>243</v>
      </c>
      <c r="N22" s="577"/>
      <c r="O22" s="577"/>
      <c r="P22" s="577"/>
      <c r="Q22" s="577"/>
      <c r="R22" s="577" t="s">
        <v>244</v>
      </c>
      <c r="S22" s="577"/>
      <c r="T22" s="577"/>
      <c r="U22" s="577"/>
      <c r="V22" s="577" t="s">
        <v>245</v>
      </c>
      <c r="W22" s="577"/>
      <c r="X22" s="579"/>
      <c r="Y22" s="580"/>
      <c r="Z22" s="580"/>
      <c r="AA22" s="580"/>
    </row>
    <row r="23" customFormat="false" ht="20.1" hidden="false" customHeight="true" outlineLevel="0" collapsed="false">
      <c r="A23" s="581"/>
      <c r="B23" s="582"/>
      <c r="C23" s="582"/>
      <c r="D23" s="582"/>
      <c r="E23" s="583"/>
      <c r="F23" s="583"/>
      <c r="G23" s="583"/>
      <c r="H23" s="583"/>
      <c r="I23" s="583"/>
      <c r="J23" s="583"/>
      <c r="K23" s="583"/>
      <c r="L23" s="583"/>
      <c r="M23" s="584"/>
      <c r="N23" s="584"/>
      <c r="O23" s="584"/>
      <c r="P23" s="584"/>
      <c r="Q23" s="584"/>
      <c r="R23" s="585"/>
      <c r="S23" s="585"/>
      <c r="T23" s="585"/>
      <c r="U23" s="585"/>
      <c r="V23" s="586" t="str">
        <f aca="false">IF(M23="","",R23-M23+1)</f>
        <v/>
      </c>
      <c r="W23" s="586"/>
      <c r="X23" s="587"/>
      <c r="Y23" s="588"/>
      <c r="Z23" s="588"/>
      <c r="AA23" s="588"/>
      <c r="AB23" s="581"/>
      <c r="AC23" s="581"/>
      <c r="AD23" s="581"/>
      <c r="AE23" s="581"/>
      <c r="AF23" s="581"/>
      <c r="AG23" s="581"/>
      <c r="AH23" s="581"/>
      <c r="AI23" s="581"/>
      <c r="AJ23" s="581"/>
      <c r="AK23" s="581"/>
      <c r="AL23" s="581"/>
      <c r="AM23" s="581"/>
      <c r="AN23" s="581"/>
      <c r="AO23" s="581"/>
      <c r="AP23" s="581"/>
      <c r="AQ23" s="581"/>
      <c r="AR23" s="581"/>
      <c r="AS23" s="581"/>
      <c r="AT23" s="581"/>
      <c r="AU23" s="581"/>
      <c r="AV23" s="581"/>
      <c r="AW23" s="581"/>
      <c r="AX23" s="581"/>
      <c r="AY23" s="581"/>
      <c r="AZ23" s="581"/>
      <c r="BA23" s="581"/>
      <c r="BB23" s="581"/>
      <c r="BC23" s="581"/>
      <c r="BD23" s="581"/>
      <c r="BE23" s="581"/>
      <c r="BF23" s="581"/>
      <c r="BG23" s="581"/>
      <c r="BH23" s="581"/>
      <c r="BI23" s="581"/>
      <c r="BJ23" s="581"/>
      <c r="BK23" s="581"/>
      <c r="BL23" s="581"/>
      <c r="BM23" s="581"/>
      <c r="BN23" s="581"/>
      <c r="BO23" s="581"/>
      <c r="BP23" s="581"/>
      <c r="BQ23" s="581"/>
      <c r="BR23" s="581"/>
      <c r="BS23" s="581"/>
      <c r="BT23" s="581"/>
      <c r="BU23" s="581"/>
      <c r="BV23" s="581"/>
      <c r="BW23" s="581"/>
      <c r="BX23" s="581"/>
      <c r="BY23" s="581"/>
      <c r="BZ23" s="581"/>
      <c r="CA23" s="581"/>
      <c r="CB23" s="581"/>
      <c r="CC23" s="581"/>
      <c r="CD23" s="581"/>
      <c r="CE23" s="581"/>
      <c r="CF23" s="581"/>
      <c r="CG23" s="581"/>
      <c r="CH23" s="581"/>
      <c r="CI23" s="581"/>
      <c r="CJ23" s="581"/>
      <c r="CK23" s="581"/>
      <c r="CL23" s="581"/>
      <c r="CM23" s="581"/>
      <c r="CN23" s="581"/>
      <c r="CO23" s="581"/>
      <c r="CP23" s="581"/>
      <c r="CQ23" s="581"/>
      <c r="CR23" s="581"/>
      <c r="CS23" s="581"/>
      <c r="CT23" s="581"/>
      <c r="CU23" s="581"/>
      <c r="CV23" s="581"/>
      <c r="CW23" s="581"/>
      <c r="CX23" s="581"/>
      <c r="CY23" s="581"/>
      <c r="CZ23" s="581"/>
      <c r="DA23" s="581"/>
      <c r="DB23" s="581"/>
      <c r="DC23" s="581"/>
      <c r="DD23" s="581"/>
      <c r="DE23" s="581"/>
      <c r="DF23" s="581"/>
      <c r="DG23" s="581"/>
      <c r="DH23" s="581"/>
      <c r="DI23" s="581"/>
      <c r="DJ23" s="581"/>
      <c r="DK23" s="581"/>
      <c r="DL23" s="581"/>
      <c r="DM23" s="581"/>
      <c r="DN23" s="581"/>
      <c r="DO23" s="581"/>
      <c r="DP23" s="581"/>
      <c r="DQ23" s="581"/>
      <c r="DR23" s="581"/>
      <c r="DS23" s="581"/>
      <c r="DT23" s="581"/>
      <c r="DU23" s="581"/>
      <c r="DV23" s="581"/>
      <c r="DW23" s="581"/>
      <c r="DX23" s="581"/>
      <c r="DY23" s="581"/>
      <c r="DZ23" s="581"/>
      <c r="EA23" s="581"/>
      <c r="EB23" s="581"/>
      <c r="EC23" s="581"/>
      <c r="ED23" s="581"/>
      <c r="EE23" s="581"/>
      <c r="EF23" s="581"/>
      <c r="EG23" s="581"/>
      <c r="EH23" s="581"/>
      <c r="EI23" s="581"/>
      <c r="EJ23" s="581"/>
      <c r="EK23" s="581"/>
      <c r="EL23" s="581"/>
      <c r="EM23" s="581"/>
      <c r="EN23" s="581"/>
      <c r="EO23" s="581"/>
      <c r="EP23" s="581"/>
      <c r="EQ23" s="581"/>
      <c r="ER23" s="581"/>
      <c r="ES23" s="581"/>
      <c r="ET23" s="581"/>
      <c r="EU23" s="581"/>
      <c r="EV23" s="581"/>
      <c r="EW23" s="581"/>
      <c r="EX23" s="581"/>
      <c r="EY23" s="581"/>
      <c r="EZ23" s="581"/>
      <c r="FA23" s="581"/>
      <c r="FB23" s="581"/>
      <c r="FC23" s="581"/>
      <c r="FD23" s="581"/>
      <c r="FE23" s="581"/>
      <c r="FF23" s="581"/>
      <c r="FG23" s="581"/>
      <c r="FH23" s="581"/>
      <c r="FI23" s="581"/>
      <c r="FJ23" s="581"/>
      <c r="FK23" s="581"/>
      <c r="FL23" s="581"/>
      <c r="FM23" s="581"/>
      <c r="FN23" s="581"/>
      <c r="FO23" s="581"/>
      <c r="FP23" s="581"/>
      <c r="FQ23" s="581"/>
      <c r="FR23" s="581"/>
      <c r="FS23" s="581"/>
      <c r="FT23" s="581"/>
      <c r="FU23" s="581"/>
      <c r="FV23" s="581"/>
      <c r="FW23" s="581"/>
      <c r="FX23" s="581"/>
      <c r="FY23" s="581"/>
      <c r="FZ23" s="581"/>
      <c r="GA23" s="581"/>
      <c r="GB23" s="581"/>
      <c r="GC23" s="581"/>
      <c r="GD23" s="581"/>
      <c r="GE23" s="581"/>
      <c r="GF23" s="581"/>
      <c r="GG23" s="581"/>
      <c r="GH23" s="581"/>
      <c r="GI23" s="581"/>
      <c r="GJ23" s="581"/>
      <c r="GK23" s="581"/>
      <c r="GL23" s="581"/>
      <c r="GM23" s="581"/>
      <c r="GN23" s="581"/>
      <c r="GO23" s="581"/>
      <c r="GP23" s="581"/>
      <c r="GQ23" s="581"/>
      <c r="GR23" s="581"/>
      <c r="GS23" s="581"/>
      <c r="GT23" s="581"/>
      <c r="GU23" s="581"/>
      <c r="GV23" s="581"/>
      <c r="GW23" s="581"/>
      <c r="GX23" s="581"/>
      <c r="GY23" s="581"/>
      <c r="GZ23" s="581"/>
      <c r="HA23" s="581"/>
      <c r="HB23" s="581"/>
      <c r="HC23" s="581"/>
      <c r="HD23" s="581"/>
      <c r="HE23" s="581"/>
      <c r="HF23" s="581"/>
      <c r="HG23" s="581"/>
      <c r="HH23" s="581"/>
      <c r="HI23" s="581"/>
      <c r="HJ23" s="581"/>
      <c r="HK23" s="581"/>
      <c r="HL23" s="581"/>
      <c r="HM23" s="581"/>
      <c r="HN23" s="581"/>
      <c r="HO23" s="581"/>
      <c r="HP23" s="581"/>
      <c r="HQ23" s="581"/>
      <c r="HR23" s="581"/>
      <c r="HS23" s="581"/>
      <c r="HT23" s="581"/>
      <c r="HU23" s="581"/>
      <c r="HV23" s="581"/>
      <c r="HW23" s="581"/>
      <c r="HX23" s="581"/>
      <c r="HY23" s="581"/>
      <c r="HZ23" s="581"/>
      <c r="IA23" s="581"/>
      <c r="IB23" s="581"/>
      <c r="IC23" s="581"/>
      <c r="ID23" s="581"/>
      <c r="IE23" s="581"/>
      <c r="IF23" s="581"/>
      <c r="IG23" s="581"/>
      <c r="IH23" s="581"/>
      <c r="II23" s="581"/>
      <c r="IJ23" s="581"/>
      <c r="IK23" s="581"/>
      <c r="IL23" s="581"/>
      <c r="IM23" s="581"/>
      <c r="IN23" s="581"/>
      <c r="IO23" s="581"/>
      <c r="IP23" s="581"/>
      <c r="IQ23" s="581"/>
      <c r="IR23" s="581"/>
      <c r="IS23" s="581"/>
      <c r="IT23" s="581"/>
      <c r="IU23" s="581"/>
      <c r="IV23" s="581"/>
      <c r="IW23" s="581"/>
    </row>
    <row r="24" customFormat="false" ht="20.1" hidden="false" customHeight="true" outlineLevel="0" collapsed="false">
      <c r="A24" s="581"/>
      <c r="B24" s="589"/>
      <c r="C24" s="589"/>
      <c r="D24" s="589"/>
      <c r="E24" s="590"/>
      <c r="F24" s="590"/>
      <c r="G24" s="590"/>
      <c r="H24" s="590"/>
      <c r="I24" s="590"/>
      <c r="J24" s="590"/>
      <c r="K24" s="590"/>
      <c r="L24" s="590"/>
      <c r="M24" s="591"/>
      <c r="N24" s="591"/>
      <c r="O24" s="591"/>
      <c r="P24" s="591"/>
      <c r="Q24" s="591"/>
      <c r="R24" s="592"/>
      <c r="S24" s="592"/>
      <c r="T24" s="592"/>
      <c r="U24" s="592"/>
      <c r="V24" s="593" t="str">
        <f aca="false">IF(M24="","",R24-M24+1)</f>
        <v/>
      </c>
      <c r="W24" s="593"/>
      <c r="X24" s="587"/>
      <c r="Y24" s="588"/>
      <c r="Z24" s="588"/>
      <c r="AA24" s="588"/>
      <c r="AB24" s="581"/>
      <c r="AC24" s="581"/>
      <c r="AD24" s="581"/>
      <c r="AE24" s="581"/>
      <c r="AF24" s="581"/>
      <c r="AG24" s="581"/>
      <c r="AH24" s="581"/>
      <c r="AI24" s="581"/>
      <c r="AJ24" s="581"/>
      <c r="AK24" s="581"/>
      <c r="AL24" s="581"/>
      <c r="AM24" s="581"/>
      <c r="AN24" s="581"/>
      <c r="AO24" s="581"/>
      <c r="AP24" s="581"/>
      <c r="AQ24" s="581"/>
      <c r="AR24" s="581"/>
      <c r="AS24" s="581"/>
      <c r="AT24" s="581"/>
      <c r="AU24" s="581"/>
      <c r="AV24" s="581"/>
      <c r="AW24" s="581"/>
      <c r="AX24" s="581"/>
      <c r="AY24" s="581"/>
      <c r="AZ24" s="581"/>
      <c r="BA24" s="581"/>
      <c r="BB24" s="581"/>
      <c r="BC24" s="581"/>
      <c r="BD24" s="581"/>
      <c r="BE24" s="581"/>
      <c r="BF24" s="581"/>
      <c r="BG24" s="581"/>
      <c r="BH24" s="581"/>
      <c r="BI24" s="581"/>
      <c r="BJ24" s="581"/>
      <c r="BK24" s="581"/>
      <c r="BL24" s="581"/>
      <c r="BM24" s="581"/>
      <c r="BN24" s="581"/>
      <c r="BO24" s="581"/>
      <c r="BP24" s="581"/>
      <c r="BQ24" s="581"/>
      <c r="BR24" s="581"/>
      <c r="BS24" s="581"/>
      <c r="BT24" s="581"/>
      <c r="BU24" s="581"/>
      <c r="BV24" s="581"/>
      <c r="BW24" s="581"/>
      <c r="BX24" s="581"/>
      <c r="BY24" s="581"/>
      <c r="BZ24" s="581"/>
      <c r="CA24" s="581"/>
      <c r="CB24" s="581"/>
      <c r="CC24" s="581"/>
      <c r="CD24" s="581"/>
      <c r="CE24" s="581"/>
      <c r="CF24" s="581"/>
      <c r="CG24" s="581"/>
      <c r="CH24" s="581"/>
      <c r="CI24" s="581"/>
      <c r="CJ24" s="581"/>
      <c r="CK24" s="581"/>
      <c r="CL24" s="581"/>
      <c r="CM24" s="581"/>
      <c r="CN24" s="581"/>
      <c r="CO24" s="581"/>
      <c r="CP24" s="581"/>
      <c r="CQ24" s="581"/>
      <c r="CR24" s="581"/>
      <c r="CS24" s="581"/>
      <c r="CT24" s="581"/>
      <c r="CU24" s="581"/>
      <c r="CV24" s="581"/>
      <c r="CW24" s="581"/>
      <c r="CX24" s="581"/>
      <c r="CY24" s="581"/>
      <c r="CZ24" s="581"/>
      <c r="DA24" s="581"/>
      <c r="DB24" s="581"/>
      <c r="DC24" s="581"/>
      <c r="DD24" s="581"/>
      <c r="DE24" s="581"/>
      <c r="DF24" s="581"/>
      <c r="DG24" s="581"/>
      <c r="DH24" s="581"/>
      <c r="DI24" s="581"/>
      <c r="DJ24" s="581"/>
      <c r="DK24" s="581"/>
      <c r="DL24" s="581"/>
      <c r="DM24" s="581"/>
      <c r="DN24" s="581"/>
      <c r="DO24" s="581"/>
      <c r="DP24" s="581"/>
      <c r="DQ24" s="581"/>
      <c r="DR24" s="581"/>
      <c r="DS24" s="581"/>
      <c r="DT24" s="581"/>
      <c r="DU24" s="581"/>
      <c r="DV24" s="581"/>
      <c r="DW24" s="581"/>
      <c r="DX24" s="581"/>
      <c r="DY24" s="581"/>
      <c r="DZ24" s="581"/>
      <c r="EA24" s="581"/>
      <c r="EB24" s="581"/>
      <c r="EC24" s="581"/>
      <c r="ED24" s="581"/>
      <c r="EE24" s="581"/>
      <c r="EF24" s="581"/>
      <c r="EG24" s="581"/>
      <c r="EH24" s="581"/>
      <c r="EI24" s="581"/>
      <c r="EJ24" s="581"/>
      <c r="EK24" s="581"/>
      <c r="EL24" s="581"/>
      <c r="EM24" s="581"/>
      <c r="EN24" s="581"/>
      <c r="EO24" s="581"/>
      <c r="EP24" s="581"/>
      <c r="EQ24" s="581"/>
      <c r="ER24" s="581"/>
      <c r="ES24" s="581"/>
      <c r="ET24" s="581"/>
      <c r="EU24" s="581"/>
      <c r="EV24" s="581"/>
      <c r="EW24" s="581"/>
      <c r="EX24" s="581"/>
      <c r="EY24" s="581"/>
      <c r="EZ24" s="581"/>
      <c r="FA24" s="581"/>
      <c r="FB24" s="581"/>
      <c r="FC24" s="581"/>
      <c r="FD24" s="581"/>
      <c r="FE24" s="581"/>
      <c r="FF24" s="581"/>
      <c r="FG24" s="581"/>
      <c r="FH24" s="581"/>
      <c r="FI24" s="581"/>
      <c r="FJ24" s="581"/>
      <c r="FK24" s="581"/>
      <c r="FL24" s="581"/>
      <c r="FM24" s="581"/>
      <c r="FN24" s="581"/>
      <c r="FO24" s="581"/>
      <c r="FP24" s="581"/>
      <c r="FQ24" s="581"/>
      <c r="FR24" s="581"/>
      <c r="FS24" s="581"/>
      <c r="FT24" s="581"/>
      <c r="FU24" s="581"/>
      <c r="FV24" s="581"/>
      <c r="FW24" s="581"/>
      <c r="FX24" s="581"/>
      <c r="FY24" s="581"/>
      <c r="FZ24" s="581"/>
      <c r="GA24" s="581"/>
      <c r="GB24" s="581"/>
      <c r="GC24" s="581"/>
      <c r="GD24" s="581"/>
      <c r="GE24" s="581"/>
      <c r="GF24" s="581"/>
      <c r="GG24" s="581"/>
      <c r="GH24" s="581"/>
      <c r="GI24" s="581"/>
      <c r="GJ24" s="581"/>
      <c r="GK24" s="581"/>
      <c r="GL24" s="581"/>
      <c r="GM24" s="581"/>
      <c r="GN24" s="581"/>
      <c r="GO24" s="581"/>
      <c r="GP24" s="581"/>
      <c r="GQ24" s="581"/>
      <c r="GR24" s="581"/>
      <c r="GS24" s="581"/>
      <c r="GT24" s="581"/>
      <c r="GU24" s="581"/>
      <c r="GV24" s="581"/>
      <c r="GW24" s="581"/>
      <c r="GX24" s="581"/>
      <c r="GY24" s="581"/>
      <c r="GZ24" s="581"/>
      <c r="HA24" s="581"/>
      <c r="HB24" s="581"/>
      <c r="HC24" s="581"/>
      <c r="HD24" s="581"/>
      <c r="HE24" s="581"/>
      <c r="HF24" s="581"/>
      <c r="HG24" s="581"/>
      <c r="HH24" s="581"/>
      <c r="HI24" s="581"/>
      <c r="HJ24" s="581"/>
      <c r="HK24" s="581"/>
      <c r="HL24" s="581"/>
      <c r="HM24" s="581"/>
      <c r="HN24" s="581"/>
      <c r="HO24" s="581"/>
      <c r="HP24" s="581"/>
      <c r="HQ24" s="581"/>
      <c r="HR24" s="581"/>
      <c r="HS24" s="581"/>
      <c r="HT24" s="581"/>
      <c r="HU24" s="581"/>
      <c r="HV24" s="581"/>
      <c r="HW24" s="581"/>
      <c r="HX24" s="581"/>
      <c r="HY24" s="581"/>
      <c r="HZ24" s="581"/>
      <c r="IA24" s="581"/>
      <c r="IB24" s="581"/>
      <c r="IC24" s="581"/>
      <c r="ID24" s="581"/>
      <c r="IE24" s="581"/>
      <c r="IF24" s="581"/>
      <c r="IG24" s="581"/>
      <c r="IH24" s="581"/>
      <c r="II24" s="581"/>
      <c r="IJ24" s="581"/>
      <c r="IK24" s="581"/>
      <c r="IL24" s="581"/>
      <c r="IM24" s="581"/>
      <c r="IN24" s="581"/>
      <c r="IO24" s="581"/>
      <c r="IP24" s="581"/>
      <c r="IQ24" s="581"/>
      <c r="IR24" s="581"/>
      <c r="IS24" s="581"/>
      <c r="IT24" s="581"/>
      <c r="IU24" s="581"/>
      <c r="IV24" s="581"/>
      <c r="IW24" s="581"/>
    </row>
    <row r="25" customFormat="false" ht="20.1" hidden="false" customHeight="true" outlineLevel="0" collapsed="false">
      <c r="A25" s="581"/>
      <c r="B25" s="589"/>
      <c r="C25" s="589"/>
      <c r="D25" s="589"/>
      <c r="E25" s="590"/>
      <c r="F25" s="590"/>
      <c r="G25" s="590"/>
      <c r="H25" s="590"/>
      <c r="I25" s="590"/>
      <c r="J25" s="590"/>
      <c r="K25" s="590"/>
      <c r="L25" s="590"/>
      <c r="M25" s="591"/>
      <c r="N25" s="591"/>
      <c r="O25" s="591"/>
      <c r="P25" s="591"/>
      <c r="Q25" s="591"/>
      <c r="R25" s="592"/>
      <c r="S25" s="592"/>
      <c r="T25" s="592"/>
      <c r="U25" s="592"/>
      <c r="V25" s="593" t="str">
        <f aca="false">IF(M25="","",R25-M25+1)</f>
        <v/>
      </c>
      <c r="W25" s="593"/>
      <c r="X25" s="587"/>
      <c r="Y25" s="588"/>
      <c r="Z25" s="588"/>
      <c r="AA25" s="588"/>
      <c r="AB25" s="581"/>
      <c r="AC25" s="581"/>
      <c r="AD25" s="581"/>
      <c r="AE25" s="581"/>
      <c r="AF25" s="581"/>
      <c r="AG25" s="581"/>
      <c r="AH25" s="581"/>
      <c r="AI25" s="581"/>
      <c r="AJ25" s="581"/>
      <c r="AK25" s="581"/>
      <c r="AL25" s="581"/>
      <c r="AM25" s="581"/>
      <c r="AN25" s="581"/>
      <c r="AO25" s="581"/>
      <c r="AP25" s="581"/>
      <c r="AQ25" s="581"/>
      <c r="AR25" s="581"/>
      <c r="AS25" s="581"/>
      <c r="AT25" s="581"/>
      <c r="AU25" s="581"/>
      <c r="AV25" s="581"/>
      <c r="AW25" s="581"/>
      <c r="AX25" s="581"/>
      <c r="AY25" s="581"/>
      <c r="AZ25" s="581"/>
      <c r="BA25" s="581"/>
      <c r="BB25" s="581"/>
      <c r="BC25" s="581"/>
      <c r="BD25" s="581"/>
      <c r="BE25" s="581"/>
      <c r="BF25" s="581"/>
      <c r="BG25" s="581"/>
      <c r="BH25" s="581"/>
      <c r="BI25" s="581"/>
      <c r="BJ25" s="581"/>
      <c r="BK25" s="581"/>
      <c r="BL25" s="581"/>
      <c r="BM25" s="581"/>
      <c r="BN25" s="581"/>
      <c r="BO25" s="581"/>
      <c r="BP25" s="581"/>
      <c r="BQ25" s="581"/>
      <c r="BR25" s="581"/>
      <c r="BS25" s="581"/>
      <c r="BT25" s="581"/>
      <c r="BU25" s="581"/>
      <c r="BV25" s="581"/>
      <c r="BW25" s="581"/>
      <c r="BX25" s="581"/>
      <c r="BY25" s="581"/>
      <c r="BZ25" s="581"/>
      <c r="CA25" s="581"/>
      <c r="CB25" s="581"/>
      <c r="CC25" s="581"/>
      <c r="CD25" s="581"/>
      <c r="CE25" s="581"/>
      <c r="CF25" s="581"/>
      <c r="CG25" s="581"/>
      <c r="CH25" s="581"/>
      <c r="CI25" s="581"/>
      <c r="CJ25" s="581"/>
      <c r="CK25" s="581"/>
      <c r="CL25" s="581"/>
      <c r="CM25" s="581"/>
      <c r="CN25" s="581"/>
      <c r="CO25" s="581"/>
      <c r="CP25" s="581"/>
      <c r="CQ25" s="581"/>
      <c r="CR25" s="581"/>
      <c r="CS25" s="581"/>
      <c r="CT25" s="581"/>
      <c r="CU25" s="581"/>
      <c r="CV25" s="581"/>
      <c r="CW25" s="581"/>
      <c r="CX25" s="581"/>
      <c r="CY25" s="581"/>
      <c r="CZ25" s="581"/>
      <c r="DA25" s="581"/>
      <c r="DB25" s="581"/>
      <c r="DC25" s="581"/>
      <c r="DD25" s="581"/>
      <c r="DE25" s="581"/>
      <c r="DF25" s="581"/>
      <c r="DG25" s="581"/>
      <c r="DH25" s="581"/>
      <c r="DI25" s="581"/>
      <c r="DJ25" s="581"/>
      <c r="DK25" s="581"/>
      <c r="DL25" s="581"/>
      <c r="DM25" s="581"/>
      <c r="DN25" s="581"/>
      <c r="DO25" s="581"/>
      <c r="DP25" s="581"/>
      <c r="DQ25" s="581"/>
      <c r="DR25" s="581"/>
      <c r="DS25" s="581"/>
      <c r="DT25" s="581"/>
      <c r="DU25" s="581"/>
      <c r="DV25" s="581"/>
      <c r="DW25" s="581"/>
      <c r="DX25" s="581"/>
      <c r="DY25" s="581"/>
      <c r="DZ25" s="581"/>
      <c r="EA25" s="581"/>
      <c r="EB25" s="581"/>
      <c r="EC25" s="581"/>
      <c r="ED25" s="581"/>
      <c r="EE25" s="581"/>
      <c r="EF25" s="581"/>
      <c r="EG25" s="581"/>
      <c r="EH25" s="581"/>
      <c r="EI25" s="581"/>
      <c r="EJ25" s="581"/>
      <c r="EK25" s="581"/>
      <c r="EL25" s="581"/>
      <c r="EM25" s="581"/>
      <c r="EN25" s="581"/>
      <c r="EO25" s="581"/>
      <c r="EP25" s="581"/>
      <c r="EQ25" s="581"/>
      <c r="ER25" s="581"/>
      <c r="ES25" s="581"/>
      <c r="ET25" s="581"/>
      <c r="EU25" s="581"/>
      <c r="EV25" s="581"/>
      <c r="EW25" s="581"/>
      <c r="EX25" s="581"/>
      <c r="EY25" s="581"/>
      <c r="EZ25" s="581"/>
      <c r="FA25" s="581"/>
      <c r="FB25" s="581"/>
      <c r="FC25" s="581"/>
      <c r="FD25" s="581"/>
      <c r="FE25" s="581"/>
      <c r="FF25" s="581"/>
      <c r="FG25" s="581"/>
      <c r="FH25" s="581"/>
      <c r="FI25" s="581"/>
      <c r="FJ25" s="581"/>
      <c r="FK25" s="581"/>
      <c r="FL25" s="581"/>
      <c r="FM25" s="581"/>
      <c r="FN25" s="581"/>
      <c r="FO25" s="581"/>
      <c r="FP25" s="581"/>
      <c r="FQ25" s="581"/>
      <c r="FR25" s="581"/>
      <c r="FS25" s="581"/>
      <c r="FT25" s="581"/>
      <c r="FU25" s="581"/>
      <c r="FV25" s="581"/>
      <c r="FW25" s="581"/>
      <c r="FX25" s="581"/>
      <c r="FY25" s="581"/>
      <c r="FZ25" s="581"/>
      <c r="GA25" s="581"/>
      <c r="GB25" s="581"/>
      <c r="GC25" s="581"/>
      <c r="GD25" s="581"/>
      <c r="GE25" s="581"/>
      <c r="GF25" s="581"/>
      <c r="GG25" s="581"/>
      <c r="GH25" s="581"/>
      <c r="GI25" s="581"/>
      <c r="GJ25" s="581"/>
      <c r="GK25" s="581"/>
      <c r="GL25" s="581"/>
      <c r="GM25" s="581"/>
      <c r="GN25" s="581"/>
      <c r="GO25" s="581"/>
      <c r="GP25" s="581"/>
      <c r="GQ25" s="581"/>
      <c r="GR25" s="581"/>
      <c r="GS25" s="581"/>
      <c r="GT25" s="581"/>
      <c r="GU25" s="581"/>
      <c r="GV25" s="581"/>
      <c r="GW25" s="581"/>
      <c r="GX25" s="581"/>
      <c r="GY25" s="581"/>
      <c r="GZ25" s="581"/>
      <c r="HA25" s="581"/>
      <c r="HB25" s="581"/>
      <c r="HC25" s="581"/>
      <c r="HD25" s="581"/>
      <c r="HE25" s="581"/>
      <c r="HF25" s="581"/>
      <c r="HG25" s="581"/>
      <c r="HH25" s="581"/>
      <c r="HI25" s="581"/>
      <c r="HJ25" s="581"/>
      <c r="HK25" s="581"/>
      <c r="HL25" s="581"/>
      <c r="HM25" s="581"/>
      <c r="HN25" s="581"/>
      <c r="HO25" s="581"/>
      <c r="HP25" s="581"/>
      <c r="HQ25" s="581"/>
      <c r="HR25" s="581"/>
      <c r="HS25" s="581"/>
      <c r="HT25" s="581"/>
      <c r="HU25" s="581"/>
      <c r="HV25" s="581"/>
      <c r="HW25" s="581"/>
      <c r="HX25" s="581"/>
      <c r="HY25" s="581"/>
      <c r="HZ25" s="581"/>
      <c r="IA25" s="581"/>
      <c r="IB25" s="581"/>
      <c r="IC25" s="581"/>
      <c r="ID25" s="581"/>
      <c r="IE25" s="581"/>
      <c r="IF25" s="581"/>
      <c r="IG25" s="581"/>
      <c r="IH25" s="581"/>
      <c r="II25" s="581"/>
      <c r="IJ25" s="581"/>
      <c r="IK25" s="581"/>
      <c r="IL25" s="581"/>
      <c r="IM25" s="581"/>
      <c r="IN25" s="581"/>
      <c r="IO25" s="581"/>
      <c r="IP25" s="581"/>
      <c r="IQ25" s="581"/>
      <c r="IR25" s="581"/>
      <c r="IS25" s="581"/>
      <c r="IT25" s="581"/>
      <c r="IU25" s="581"/>
      <c r="IV25" s="581"/>
      <c r="IW25" s="581"/>
    </row>
    <row r="26" customFormat="false" ht="20.1" hidden="false" customHeight="true" outlineLevel="0" collapsed="false">
      <c r="A26" s="581"/>
      <c r="B26" s="589"/>
      <c r="C26" s="589"/>
      <c r="D26" s="589"/>
      <c r="E26" s="590"/>
      <c r="F26" s="590"/>
      <c r="G26" s="590"/>
      <c r="H26" s="590"/>
      <c r="I26" s="590"/>
      <c r="J26" s="590"/>
      <c r="K26" s="590"/>
      <c r="L26" s="590"/>
      <c r="M26" s="591"/>
      <c r="N26" s="591"/>
      <c r="O26" s="591"/>
      <c r="P26" s="591"/>
      <c r="Q26" s="591"/>
      <c r="R26" s="592"/>
      <c r="S26" s="592"/>
      <c r="T26" s="592"/>
      <c r="U26" s="592"/>
      <c r="V26" s="593" t="str">
        <f aca="false">IF(M26="","",R26-M26+1)</f>
        <v/>
      </c>
      <c r="W26" s="593"/>
      <c r="X26" s="587"/>
      <c r="Y26" s="588"/>
      <c r="Z26" s="588"/>
      <c r="AA26" s="588"/>
      <c r="AB26" s="581"/>
      <c r="AC26" s="581"/>
      <c r="AD26" s="581"/>
      <c r="AE26" s="581"/>
      <c r="AF26" s="581"/>
      <c r="AG26" s="581"/>
      <c r="AH26" s="581"/>
      <c r="AI26" s="581"/>
      <c r="AJ26" s="581"/>
      <c r="AK26" s="581"/>
      <c r="AL26" s="581"/>
      <c r="AM26" s="581"/>
      <c r="AN26" s="581"/>
      <c r="AO26" s="581"/>
      <c r="AP26" s="581"/>
      <c r="AQ26" s="581"/>
      <c r="AR26" s="581"/>
      <c r="AS26" s="581"/>
      <c r="AT26" s="581"/>
      <c r="AU26" s="581"/>
      <c r="AV26" s="581"/>
      <c r="AW26" s="581"/>
      <c r="AX26" s="581"/>
      <c r="AY26" s="581"/>
      <c r="AZ26" s="581"/>
      <c r="BA26" s="581"/>
      <c r="BB26" s="581"/>
      <c r="BC26" s="581"/>
      <c r="BD26" s="581"/>
      <c r="BE26" s="581"/>
      <c r="BF26" s="581"/>
      <c r="BG26" s="581"/>
      <c r="BH26" s="581"/>
      <c r="BI26" s="581"/>
      <c r="BJ26" s="581"/>
      <c r="BK26" s="581"/>
      <c r="BL26" s="581"/>
      <c r="BM26" s="581"/>
      <c r="BN26" s="581"/>
      <c r="BO26" s="581"/>
      <c r="BP26" s="581"/>
      <c r="BQ26" s="581"/>
      <c r="BR26" s="581"/>
      <c r="BS26" s="581"/>
      <c r="BT26" s="581"/>
      <c r="BU26" s="581"/>
      <c r="BV26" s="581"/>
      <c r="BW26" s="581"/>
      <c r="BX26" s="581"/>
      <c r="BY26" s="581"/>
      <c r="BZ26" s="581"/>
      <c r="CA26" s="581"/>
      <c r="CB26" s="581"/>
      <c r="CC26" s="581"/>
      <c r="CD26" s="581"/>
      <c r="CE26" s="581"/>
      <c r="CF26" s="581"/>
      <c r="CG26" s="581"/>
      <c r="CH26" s="581"/>
      <c r="CI26" s="581"/>
      <c r="CJ26" s="581"/>
      <c r="CK26" s="581"/>
      <c r="CL26" s="581"/>
      <c r="CM26" s="581"/>
      <c r="CN26" s="581"/>
      <c r="CO26" s="581"/>
      <c r="CP26" s="581"/>
      <c r="CQ26" s="581"/>
      <c r="CR26" s="581"/>
      <c r="CS26" s="581"/>
      <c r="CT26" s="581"/>
      <c r="CU26" s="581"/>
      <c r="CV26" s="581"/>
      <c r="CW26" s="581"/>
      <c r="CX26" s="581"/>
      <c r="CY26" s="581"/>
      <c r="CZ26" s="581"/>
      <c r="DA26" s="581"/>
      <c r="DB26" s="581"/>
      <c r="DC26" s="581"/>
      <c r="DD26" s="581"/>
      <c r="DE26" s="581"/>
      <c r="DF26" s="581"/>
      <c r="DG26" s="581"/>
      <c r="DH26" s="581"/>
      <c r="DI26" s="581"/>
      <c r="DJ26" s="581"/>
      <c r="DK26" s="581"/>
      <c r="DL26" s="581"/>
      <c r="DM26" s="581"/>
      <c r="DN26" s="581"/>
      <c r="DO26" s="581"/>
      <c r="DP26" s="581"/>
      <c r="DQ26" s="581"/>
      <c r="DR26" s="581"/>
      <c r="DS26" s="581"/>
      <c r="DT26" s="581"/>
      <c r="DU26" s="581"/>
      <c r="DV26" s="581"/>
      <c r="DW26" s="581"/>
      <c r="DX26" s="581"/>
      <c r="DY26" s="581"/>
      <c r="DZ26" s="581"/>
      <c r="EA26" s="581"/>
      <c r="EB26" s="581"/>
      <c r="EC26" s="581"/>
      <c r="ED26" s="581"/>
      <c r="EE26" s="581"/>
      <c r="EF26" s="581"/>
      <c r="EG26" s="581"/>
      <c r="EH26" s="581"/>
      <c r="EI26" s="581"/>
      <c r="EJ26" s="581"/>
      <c r="EK26" s="581"/>
      <c r="EL26" s="581"/>
      <c r="EM26" s="581"/>
      <c r="EN26" s="581"/>
      <c r="EO26" s="581"/>
      <c r="EP26" s="581"/>
      <c r="EQ26" s="581"/>
      <c r="ER26" s="581"/>
      <c r="ES26" s="581"/>
      <c r="ET26" s="581"/>
      <c r="EU26" s="581"/>
      <c r="EV26" s="581"/>
      <c r="EW26" s="581"/>
      <c r="EX26" s="581"/>
      <c r="EY26" s="581"/>
      <c r="EZ26" s="581"/>
      <c r="FA26" s="581"/>
      <c r="FB26" s="581"/>
      <c r="FC26" s="581"/>
      <c r="FD26" s="581"/>
      <c r="FE26" s="581"/>
      <c r="FF26" s="581"/>
      <c r="FG26" s="581"/>
      <c r="FH26" s="581"/>
      <c r="FI26" s="581"/>
      <c r="FJ26" s="581"/>
      <c r="FK26" s="581"/>
      <c r="FL26" s="581"/>
      <c r="FM26" s="581"/>
      <c r="FN26" s="581"/>
      <c r="FO26" s="581"/>
      <c r="FP26" s="581"/>
      <c r="FQ26" s="581"/>
      <c r="FR26" s="581"/>
      <c r="FS26" s="581"/>
      <c r="FT26" s="581"/>
      <c r="FU26" s="581"/>
      <c r="FV26" s="581"/>
      <c r="FW26" s="581"/>
      <c r="FX26" s="581"/>
      <c r="FY26" s="581"/>
      <c r="FZ26" s="581"/>
      <c r="GA26" s="581"/>
      <c r="GB26" s="581"/>
      <c r="GC26" s="581"/>
      <c r="GD26" s="581"/>
      <c r="GE26" s="581"/>
      <c r="GF26" s="581"/>
      <c r="GG26" s="581"/>
      <c r="GH26" s="581"/>
      <c r="GI26" s="581"/>
      <c r="GJ26" s="581"/>
      <c r="GK26" s="581"/>
      <c r="GL26" s="581"/>
      <c r="GM26" s="581"/>
      <c r="GN26" s="581"/>
      <c r="GO26" s="581"/>
      <c r="GP26" s="581"/>
      <c r="GQ26" s="581"/>
      <c r="GR26" s="581"/>
      <c r="GS26" s="581"/>
      <c r="GT26" s="581"/>
      <c r="GU26" s="581"/>
      <c r="GV26" s="581"/>
      <c r="GW26" s="581"/>
      <c r="GX26" s="581"/>
      <c r="GY26" s="581"/>
      <c r="GZ26" s="581"/>
      <c r="HA26" s="581"/>
      <c r="HB26" s="581"/>
      <c r="HC26" s="581"/>
      <c r="HD26" s="581"/>
      <c r="HE26" s="581"/>
      <c r="HF26" s="581"/>
      <c r="HG26" s="581"/>
      <c r="HH26" s="581"/>
      <c r="HI26" s="581"/>
      <c r="HJ26" s="581"/>
      <c r="HK26" s="581"/>
      <c r="HL26" s="581"/>
      <c r="HM26" s="581"/>
      <c r="HN26" s="581"/>
      <c r="HO26" s="581"/>
      <c r="HP26" s="581"/>
      <c r="HQ26" s="581"/>
      <c r="HR26" s="581"/>
      <c r="HS26" s="581"/>
      <c r="HT26" s="581"/>
      <c r="HU26" s="581"/>
      <c r="HV26" s="581"/>
      <c r="HW26" s="581"/>
      <c r="HX26" s="581"/>
      <c r="HY26" s="581"/>
      <c r="HZ26" s="581"/>
      <c r="IA26" s="581"/>
      <c r="IB26" s="581"/>
      <c r="IC26" s="581"/>
      <c r="ID26" s="581"/>
      <c r="IE26" s="581"/>
      <c r="IF26" s="581"/>
      <c r="IG26" s="581"/>
      <c r="IH26" s="581"/>
      <c r="II26" s="581"/>
      <c r="IJ26" s="581"/>
      <c r="IK26" s="581"/>
      <c r="IL26" s="581"/>
      <c r="IM26" s="581"/>
      <c r="IN26" s="581"/>
      <c r="IO26" s="581"/>
      <c r="IP26" s="581"/>
      <c r="IQ26" s="581"/>
      <c r="IR26" s="581"/>
      <c r="IS26" s="581"/>
      <c r="IT26" s="581"/>
      <c r="IU26" s="581"/>
      <c r="IV26" s="581"/>
      <c r="IW26" s="581"/>
    </row>
    <row r="27" customFormat="false" ht="18" hidden="false" customHeight="true" outlineLevel="0" collapsed="false">
      <c r="B27" s="594" t="s">
        <v>246</v>
      </c>
      <c r="C27" s="594"/>
      <c r="D27" s="594"/>
      <c r="E27" s="594"/>
      <c r="F27" s="594"/>
      <c r="G27" s="594"/>
      <c r="H27" s="594"/>
      <c r="I27" s="594"/>
      <c r="J27" s="594"/>
      <c r="K27" s="594"/>
      <c r="L27" s="594"/>
      <c r="M27" s="594"/>
      <c r="N27" s="594"/>
      <c r="O27" s="594"/>
      <c r="P27" s="594"/>
      <c r="Q27" s="594"/>
      <c r="R27" s="594"/>
      <c r="S27" s="594"/>
      <c r="T27" s="594"/>
      <c r="U27" s="594"/>
      <c r="V27" s="595" t="str">
        <f aca="false">IF(V23="","",SUM(V23:V26))</f>
        <v/>
      </c>
      <c r="W27" s="595"/>
    </row>
    <row r="28" customFormat="false" ht="28.5" hidden="false" customHeight="true" outlineLevel="0" collapsed="false">
      <c r="B28" s="596" t="s">
        <v>247</v>
      </c>
      <c r="C28" s="596"/>
      <c r="D28" s="596"/>
      <c r="E28" s="596"/>
      <c r="F28" s="596"/>
      <c r="G28" s="596"/>
      <c r="H28" s="596"/>
      <c r="I28" s="596"/>
      <c r="J28" s="596"/>
      <c r="K28" s="596"/>
      <c r="L28" s="596"/>
      <c r="M28" s="596"/>
      <c r="N28" s="596"/>
      <c r="O28" s="596"/>
      <c r="P28" s="596"/>
      <c r="Q28" s="596"/>
      <c r="R28" s="596"/>
      <c r="S28" s="596"/>
      <c r="T28" s="596"/>
      <c r="U28" s="596"/>
      <c r="V28" s="596"/>
      <c r="W28" s="596"/>
      <c r="X28" s="597"/>
    </row>
    <row r="29" customFormat="false" ht="10.5" hidden="false" customHeight="true" outlineLevel="0" collapsed="false">
      <c r="A29" s="596"/>
      <c r="B29" s="596"/>
      <c r="C29" s="596"/>
      <c r="D29" s="596"/>
      <c r="E29" s="596"/>
      <c r="F29" s="596"/>
      <c r="G29" s="596"/>
      <c r="H29" s="596"/>
      <c r="I29" s="596"/>
      <c r="J29" s="596"/>
      <c r="K29" s="596"/>
      <c r="L29" s="596"/>
      <c r="M29" s="596"/>
      <c r="N29" s="596"/>
      <c r="O29" s="596"/>
      <c r="P29" s="596"/>
      <c r="Q29" s="596"/>
      <c r="R29" s="596"/>
      <c r="S29" s="596"/>
      <c r="T29" s="596"/>
      <c r="U29" s="596"/>
      <c r="V29" s="596"/>
      <c r="W29" s="596"/>
    </row>
    <row r="30" customFormat="false" ht="15" hidden="false" customHeight="true" outlineLevel="0" collapsed="false">
      <c r="A30" s="598" t="s">
        <v>248</v>
      </c>
      <c r="B30" s="598"/>
      <c r="C30" s="598"/>
      <c r="D30" s="598"/>
      <c r="E30" s="598"/>
      <c r="F30" s="598"/>
      <c r="G30" s="598"/>
      <c r="H30" s="598"/>
      <c r="I30" s="598"/>
      <c r="J30" s="598"/>
      <c r="K30" s="598"/>
      <c r="L30" s="598"/>
      <c r="M30" s="598"/>
      <c r="N30" s="598"/>
      <c r="O30" s="598"/>
      <c r="P30" s="598"/>
      <c r="Q30" s="598"/>
      <c r="R30" s="598"/>
      <c r="S30" s="598"/>
      <c r="T30" s="598"/>
      <c r="U30" s="598"/>
      <c r="V30" s="598"/>
      <c r="W30" s="598"/>
    </row>
    <row r="31" customFormat="false" ht="27.75" hidden="false" customHeight="true" outlineLevel="0" collapsed="false">
      <c r="A31" s="598"/>
      <c r="B31" s="599" t="s">
        <v>249</v>
      </c>
      <c r="C31" s="599"/>
      <c r="D31" s="599"/>
      <c r="E31" s="599"/>
      <c r="F31" s="599"/>
      <c r="G31" s="599"/>
      <c r="H31" s="599"/>
      <c r="I31" s="599"/>
      <c r="J31" s="599"/>
      <c r="K31" s="599"/>
      <c r="L31" s="599"/>
      <c r="M31" s="599"/>
      <c r="N31" s="599"/>
      <c r="O31" s="599"/>
      <c r="P31" s="599"/>
      <c r="Q31" s="599"/>
      <c r="R31" s="599"/>
      <c r="S31" s="599"/>
      <c r="T31" s="599"/>
      <c r="U31" s="599"/>
      <c r="V31" s="599"/>
      <c r="W31" s="599"/>
    </row>
    <row r="32" customFormat="false" ht="13.5" hidden="false" customHeight="true" outlineLevel="0" collapsed="false">
      <c r="A32" s="600"/>
      <c r="B32" s="601" t="s">
        <v>250</v>
      </c>
      <c r="C32" s="601"/>
      <c r="D32" s="601"/>
      <c r="E32" s="601"/>
      <c r="F32" s="602"/>
      <c r="G32" s="602"/>
      <c r="H32" s="603"/>
      <c r="I32" s="603"/>
      <c r="J32" s="603"/>
      <c r="K32" s="603"/>
      <c r="L32" s="603"/>
      <c r="M32" s="603"/>
      <c r="N32" s="603"/>
      <c r="O32" s="603"/>
      <c r="P32" s="604" t="s">
        <v>251</v>
      </c>
      <c r="Q32" s="604"/>
      <c r="R32" s="604"/>
      <c r="S32" s="604"/>
      <c r="T32" s="604" t="s">
        <v>252</v>
      </c>
      <c r="U32" s="604"/>
      <c r="V32" s="604"/>
      <c r="W32" s="604"/>
      <c r="X32" s="605"/>
      <c r="Y32" s="605"/>
      <c r="Z32" s="605"/>
      <c r="AA32" s="605"/>
      <c r="AB32" s="605"/>
      <c r="AC32" s="605"/>
      <c r="AD32" s="605"/>
      <c r="AE32" s="605"/>
      <c r="AF32" s="605"/>
      <c r="AG32" s="605"/>
      <c r="AH32" s="605"/>
      <c r="AI32" s="605"/>
      <c r="AJ32" s="605"/>
      <c r="AK32" s="605"/>
      <c r="AL32" s="605"/>
      <c r="AM32" s="605"/>
      <c r="AN32" s="605"/>
      <c r="AO32" s="605"/>
      <c r="AP32" s="605"/>
      <c r="AQ32" s="605"/>
      <c r="AR32" s="605"/>
      <c r="AS32" s="605"/>
      <c r="AT32" s="605"/>
      <c r="AU32" s="605"/>
      <c r="AV32" s="605"/>
      <c r="AW32" s="605"/>
      <c r="AX32" s="605"/>
      <c r="AY32" s="605"/>
      <c r="AZ32" s="605"/>
      <c r="BA32" s="605"/>
      <c r="BB32" s="605"/>
      <c r="BC32" s="605"/>
      <c r="BD32" s="605"/>
      <c r="BE32" s="605"/>
      <c r="BF32" s="605"/>
      <c r="BG32" s="605"/>
      <c r="BH32" s="605"/>
      <c r="BI32" s="605"/>
      <c r="BJ32" s="605"/>
      <c r="BK32" s="605"/>
      <c r="BL32" s="605"/>
      <c r="BM32" s="605"/>
      <c r="BN32" s="605"/>
      <c r="BO32" s="605"/>
      <c r="BP32" s="605"/>
      <c r="BQ32" s="605"/>
      <c r="BR32" s="605"/>
      <c r="BS32" s="605"/>
      <c r="BT32" s="605"/>
      <c r="BU32" s="605"/>
      <c r="BV32" s="605"/>
      <c r="BW32" s="605"/>
      <c r="BX32" s="605"/>
      <c r="BY32" s="605"/>
      <c r="BZ32" s="605"/>
      <c r="CA32" s="605"/>
      <c r="CB32" s="605"/>
      <c r="CC32" s="605"/>
      <c r="CD32" s="605"/>
      <c r="CE32" s="605"/>
      <c r="CF32" s="605"/>
      <c r="CG32" s="605"/>
      <c r="CH32" s="605"/>
      <c r="CI32" s="605"/>
      <c r="CJ32" s="605"/>
      <c r="CK32" s="605"/>
      <c r="CL32" s="605"/>
      <c r="CM32" s="605"/>
      <c r="CN32" s="605"/>
      <c r="CO32" s="605"/>
      <c r="CP32" s="605"/>
      <c r="CQ32" s="605"/>
      <c r="CR32" s="605"/>
      <c r="CS32" s="605"/>
      <c r="CT32" s="605"/>
      <c r="CU32" s="605"/>
      <c r="CV32" s="605"/>
      <c r="CW32" s="605"/>
      <c r="CX32" s="605"/>
      <c r="CY32" s="605"/>
      <c r="CZ32" s="605"/>
      <c r="DA32" s="605"/>
      <c r="DB32" s="605"/>
      <c r="DC32" s="605"/>
      <c r="DD32" s="605"/>
      <c r="DE32" s="605"/>
      <c r="DF32" s="605"/>
      <c r="DG32" s="605"/>
      <c r="DH32" s="605"/>
      <c r="DI32" s="605"/>
      <c r="DJ32" s="605"/>
      <c r="DK32" s="605"/>
      <c r="DL32" s="605"/>
      <c r="DM32" s="605"/>
      <c r="DN32" s="605"/>
      <c r="DO32" s="605"/>
      <c r="DP32" s="605"/>
      <c r="DQ32" s="605"/>
      <c r="DR32" s="605"/>
      <c r="DS32" s="605"/>
      <c r="DT32" s="605"/>
      <c r="DU32" s="605"/>
      <c r="DV32" s="605"/>
      <c r="DW32" s="605"/>
      <c r="DX32" s="605"/>
      <c r="DY32" s="605"/>
      <c r="DZ32" s="605"/>
      <c r="EA32" s="605"/>
      <c r="EB32" s="605"/>
      <c r="EC32" s="605"/>
      <c r="ED32" s="605"/>
      <c r="EE32" s="605"/>
      <c r="EF32" s="605"/>
      <c r="EG32" s="605"/>
      <c r="EH32" s="605"/>
      <c r="EI32" s="605"/>
      <c r="EJ32" s="605"/>
      <c r="EK32" s="605"/>
      <c r="EL32" s="605"/>
      <c r="EM32" s="605"/>
      <c r="EN32" s="605"/>
      <c r="EO32" s="605"/>
      <c r="EP32" s="605"/>
      <c r="EQ32" s="605"/>
      <c r="ER32" s="605"/>
      <c r="ES32" s="605"/>
      <c r="ET32" s="605"/>
      <c r="EU32" s="605"/>
      <c r="EV32" s="605"/>
      <c r="EW32" s="605"/>
      <c r="EX32" s="605"/>
      <c r="EY32" s="605"/>
      <c r="EZ32" s="605"/>
      <c r="FA32" s="605"/>
      <c r="FB32" s="605"/>
      <c r="FC32" s="605"/>
      <c r="FD32" s="605"/>
      <c r="FE32" s="605"/>
      <c r="FF32" s="605"/>
      <c r="FG32" s="605"/>
      <c r="FH32" s="605"/>
      <c r="FI32" s="605"/>
      <c r="FJ32" s="605"/>
      <c r="FK32" s="605"/>
      <c r="FL32" s="605"/>
      <c r="FM32" s="605"/>
      <c r="FN32" s="605"/>
      <c r="FO32" s="605"/>
      <c r="FP32" s="605"/>
      <c r="FQ32" s="605"/>
      <c r="FR32" s="605"/>
      <c r="FS32" s="605"/>
      <c r="FT32" s="605"/>
      <c r="FU32" s="605"/>
      <c r="FV32" s="605"/>
      <c r="FW32" s="605"/>
      <c r="FX32" s="605"/>
      <c r="FY32" s="605"/>
      <c r="FZ32" s="605"/>
      <c r="GA32" s="605"/>
      <c r="GB32" s="605"/>
      <c r="GC32" s="605"/>
      <c r="GD32" s="605"/>
      <c r="GE32" s="605"/>
      <c r="GF32" s="605"/>
      <c r="GG32" s="605"/>
      <c r="GH32" s="605"/>
      <c r="GI32" s="605"/>
      <c r="GJ32" s="605"/>
      <c r="GK32" s="605"/>
      <c r="GL32" s="605"/>
      <c r="GM32" s="605"/>
      <c r="GN32" s="605"/>
      <c r="GO32" s="605"/>
      <c r="GP32" s="605"/>
      <c r="GQ32" s="605"/>
      <c r="GR32" s="605"/>
      <c r="GS32" s="605"/>
      <c r="GT32" s="605"/>
      <c r="GU32" s="605"/>
      <c r="GV32" s="605"/>
      <c r="GW32" s="605"/>
      <c r="GX32" s="605"/>
      <c r="GY32" s="605"/>
      <c r="GZ32" s="605"/>
      <c r="HA32" s="605"/>
      <c r="HB32" s="605"/>
      <c r="HC32" s="605"/>
      <c r="HD32" s="605"/>
      <c r="HE32" s="605"/>
      <c r="HF32" s="605"/>
      <c r="HG32" s="605"/>
      <c r="HH32" s="605"/>
      <c r="HI32" s="605"/>
      <c r="HJ32" s="605"/>
      <c r="HK32" s="605"/>
      <c r="HL32" s="605"/>
      <c r="HM32" s="605"/>
      <c r="HN32" s="605"/>
      <c r="HO32" s="605"/>
      <c r="HP32" s="605"/>
      <c r="HQ32" s="605"/>
      <c r="HR32" s="605"/>
      <c r="HS32" s="605"/>
      <c r="HT32" s="605"/>
      <c r="HU32" s="605"/>
      <c r="HV32" s="605"/>
      <c r="HW32" s="605"/>
      <c r="HX32" s="605"/>
      <c r="HY32" s="605"/>
      <c r="HZ32" s="605"/>
      <c r="IA32" s="605"/>
      <c r="IB32" s="605"/>
      <c r="IC32" s="605"/>
      <c r="ID32" s="605"/>
      <c r="IE32" s="605"/>
      <c r="IF32" s="605"/>
      <c r="IG32" s="605"/>
      <c r="IH32" s="605"/>
      <c r="II32" s="605"/>
      <c r="IJ32" s="605"/>
      <c r="IK32" s="605"/>
      <c r="IL32" s="605"/>
      <c r="IM32" s="605"/>
      <c r="IN32" s="605"/>
      <c r="IO32" s="605"/>
      <c r="IP32" s="605"/>
      <c r="IQ32" s="605"/>
      <c r="IR32" s="605"/>
      <c r="IS32" s="605"/>
      <c r="IT32" s="605"/>
      <c r="IU32" s="605"/>
      <c r="IV32" s="605"/>
      <c r="IW32" s="605"/>
    </row>
    <row r="33" customFormat="false" ht="17.1" hidden="false" customHeight="true" outlineLevel="0" collapsed="false">
      <c r="A33" s="606"/>
      <c r="B33" s="601"/>
      <c r="C33" s="601"/>
      <c r="D33" s="601"/>
      <c r="E33" s="601"/>
      <c r="F33" s="602"/>
      <c r="G33" s="602"/>
      <c r="H33" s="607" t="s">
        <v>253</v>
      </c>
      <c r="I33" s="607"/>
      <c r="J33" s="607"/>
      <c r="K33" s="607"/>
      <c r="L33" s="607"/>
      <c r="M33" s="607"/>
      <c r="N33" s="607"/>
      <c r="O33" s="607"/>
      <c r="P33" s="608" t="n">
        <f aca="false">COUNTA('Seznam účastníků'!H5:H64)</f>
        <v>0</v>
      </c>
      <c r="Q33" s="608"/>
      <c r="R33" s="608"/>
      <c r="S33" s="608"/>
      <c r="T33" s="608" t="n">
        <f aca="false">'Seznam účastníků'!H66</f>
        <v>0</v>
      </c>
      <c r="U33" s="608"/>
      <c r="V33" s="608"/>
      <c r="W33" s="608"/>
      <c r="X33" s="609"/>
      <c r="Y33" s="609"/>
      <c r="Z33" s="609"/>
      <c r="AA33" s="609"/>
      <c r="AB33" s="609"/>
      <c r="AC33" s="609"/>
      <c r="AD33" s="609"/>
      <c r="AE33" s="609"/>
      <c r="AF33" s="609"/>
      <c r="AG33" s="609"/>
      <c r="AH33" s="609"/>
      <c r="AI33" s="609"/>
      <c r="AJ33" s="609"/>
      <c r="AK33" s="609"/>
      <c r="AL33" s="609"/>
      <c r="AM33" s="609"/>
      <c r="AN33" s="609"/>
      <c r="AO33" s="609"/>
      <c r="AP33" s="609"/>
      <c r="AQ33" s="609"/>
      <c r="AR33" s="609"/>
      <c r="AS33" s="609"/>
      <c r="AT33" s="609"/>
      <c r="AU33" s="609"/>
      <c r="AV33" s="609"/>
      <c r="AW33" s="609"/>
      <c r="AX33" s="609"/>
      <c r="AY33" s="609"/>
      <c r="AZ33" s="609"/>
      <c r="BA33" s="609"/>
      <c r="BB33" s="609"/>
      <c r="BC33" s="609"/>
      <c r="BD33" s="609"/>
      <c r="BE33" s="609"/>
      <c r="BF33" s="609"/>
      <c r="BG33" s="609"/>
      <c r="BH33" s="609"/>
      <c r="BI33" s="609"/>
      <c r="BJ33" s="609"/>
      <c r="BK33" s="609"/>
      <c r="BL33" s="609"/>
      <c r="BM33" s="609"/>
      <c r="BN33" s="609"/>
      <c r="BO33" s="609"/>
      <c r="BP33" s="609"/>
      <c r="BQ33" s="609"/>
      <c r="BR33" s="609"/>
      <c r="BS33" s="609"/>
      <c r="BT33" s="609"/>
      <c r="BU33" s="609"/>
      <c r="BV33" s="609"/>
      <c r="BW33" s="609"/>
      <c r="BX33" s="609"/>
      <c r="BY33" s="609"/>
      <c r="BZ33" s="609"/>
      <c r="CA33" s="609"/>
      <c r="CB33" s="609"/>
      <c r="CC33" s="609"/>
      <c r="CD33" s="609"/>
      <c r="CE33" s="609"/>
      <c r="CF33" s="609"/>
      <c r="CG33" s="609"/>
      <c r="CH33" s="609"/>
      <c r="CI33" s="609"/>
      <c r="CJ33" s="609"/>
      <c r="CK33" s="609"/>
      <c r="CL33" s="609"/>
      <c r="CM33" s="609"/>
      <c r="CN33" s="609"/>
      <c r="CO33" s="609"/>
      <c r="CP33" s="609"/>
      <c r="CQ33" s="609"/>
      <c r="CR33" s="609"/>
      <c r="CS33" s="609"/>
      <c r="CT33" s="609"/>
      <c r="CU33" s="609"/>
      <c r="CV33" s="609"/>
      <c r="CW33" s="609"/>
      <c r="CX33" s="609"/>
      <c r="CY33" s="609"/>
      <c r="CZ33" s="609"/>
      <c r="DA33" s="609"/>
      <c r="DB33" s="609"/>
      <c r="DC33" s="609"/>
      <c r="DD33" s="609"/>
      <c r="DE33" s="609"/>
      <c r="DF33" s="609"/>
      <c r="DG33" s="609"/>
      <c r="DH33" s="609"/>
      <c r="DI33" s="609"/>
      <c r="DJ33" s="609"/>
      <c r="DK33" s="609"/>
      <c r="DL33" s="609"/>
      <c r="DM33" s="609"/>
      <c r="DN33" s="609"/>
      <c r="DO33" s="609"/>
      <c r="DP33" s="609"/>
      <c r="DQ33" s="609"/>
      <c r="DR33" s="609"/>
      <c r="DS33" s="609"/>
      <c r="DT33" s="609"/>
      <c r="DU33" s="609"/>
      <c r="DV33" s="609"/>
      <c r="DW33" s="609"/>
      <c r="DX33" s="609"/>
      <c r="DY33" s="609"/>
      <c r="DZ33" s="609"/>
      <c r="EA33" s="609"/>
      <c r="EB33" s="609"/>
      <c r="EC33" s="609"/>
      <c r="ED33" s="609"/>
      <c r="EE33" s="609"/>
      <c r="EF33" s="609"/>
      <c r="EG33" s="609"/>
      <c r="EH33" s="609"/>
      <c r="EI33" s="609"/>
      <c r="EJ33" s="609"/>
      <c r="EK33" s="609"/>
      <c r="EL33" s="609"/>
      <c r="EM33" s="609"/>
      <c r="EN33" s="609"/>
      <c r="EO33" s="609"/>
      <c r="EP33" s="609"/>
      <c r="EQ33" s="609"/>
      <c r="ER33" s="609"/>
      <c r="ES33" s="609"/>
      <c r="ET33" s="609"/>
      <c r="EU33" s="609"/>
      <c r="EV33" s="609"/>
      <c r="EW33" s="609"/>
      <c r="EX33" s="609"/>
      <c r="EY33" s="609"/>
      <c r="EZ33" s="609"/>
      <c r="FA33" s="609"/>
      <c r="FB33" s="609"/>
      <c r="FC33" s="609"/>
      <c r="FD33" s="609"/>
      <c r="FE33" s="609"/>
      <c r="FF33" s="609"/>
      <c r="FG33" s="609"/>
      <c r="FH33" s="609"/>
      <c r="FI33" s="609"/>
      <c r="FJ33" s="609"/>
      <c r="FK33" s="609"/>
      <c r="FL33" s="609"/>
      <c r="FM33" s="609"/>
      <c r="FN33" s="609"/>
      <c r="FO33" s="609"/>
      <c r="FP33" s="609"/>
      <c r="FQ33" s="609"/>
      <c r="FR33" s="609"/>
      <c r="FS33" s="609"/>
      <c r="FT33" s="609"/>
      <c r="FU33" s="609"/>
      <c r="FV33" s="609"/>
      <c r="FW33" s="609"/>
      <c r="FX33" s="609"/>
      <c r="FY33" s="609"/>
      <c r="FZ33" s="609"/>
      <c r="GA33" s="609"/>
      <c r="GB33" s="609"/>
      <c r="GC33" s="609"/>
      <c r="GD33" s="609"/>
      <c r="GE33" s="609"/>
      <c r="GF33" s="609"/>
      <c r="GG33" s="609"/>
      <c r="GH33" s="609"/>
      <c r="GI33" s="609"/>
      <c r="GJ33" s="609"/>
      <c r="GK33" s="609"/>
      <c r="GL33" s="609"/>
      <c r="GM33" s="609"/>
      <c r="GN33" s="609"/>
      <c r="GO33" s="609"/>
      <c r="GP33" s="609"/>
      <c r="GQ33" s="609"/>
      <c r="GR33" s="609"/>
      <c r="GS33" s="609"/>
      <c r="GT33" s="609"/>
      <c r="GU33" s="609"/>
      <c r="GV33" s="609"/>
      <c r="GW33" s="609"/>
      <c r="GX33" s="609"/>
      <c r="GY33" s="609"/>
      <c r="GZ33" s="609"/>
      <c r="HA33" s="609"/>
      <c r="HB33" s="609"/>
      <c r="HC33" s="609"/>
      <c r="HD33" s="609"/>
      <c r="HE33" s="609"/>
      <c r="HF33" s="609"/>
      <c r="HG33" s="609"/>
      <c r="HH33" s="609"/>
      <c r="HI33" s="609"/>
      <c r="HJ33" s="609"/>
      <c r="HK33" s="609"/>
      <c r="HL33" s="609"/>
      <c r="HM33" s="609"/>
      <c r="HN33" s="609"/>
      <c r="HO33" s="609"/>
      <c r="HP33" s="609"/>
      <c r="HQ33" s="609"/>
      <c r="HR33" s="609"/>
      <c r="HS33" s="609"/>
      <c r="HT33" s="609"/>
      <c r="HU33" s="609"/>
      <c r="HV33" s="609"/>
      <c r="HW33" s="609"/>
      <c r="HX33" s="609"/>
      <c r="HY33" s="609"/>
      <c r="HZ33" s="609"/>
      <c r="IA33" s="609"/>
      <c r="IB33" s="609"/>
      <c r="IC33" s="609"/>
      <c r="ID33" s="609"/>
      <c r="IE33" s="609"/>
      <c r="IF33" s="609"/>
      <c r="IG33" s="609"/>
      <c r="IH33" s="609"/>
      <c r="II33" s="609"/>
      <c r="IJ33" s="609"/>
      <c r="IK33" s="609"/>
      <c r="IL33" s="609"/>
      <c r="IM33" s="609"/>
      <c r="IN33" s="609"/>
      <c r="IO33" s="609"/>
      <c r="IP33" s="609"/>
      <c r="IQ33" s="609"/>
      <c r="IR33" s="609"/>
      <c r="IS33" s="609"/>
      <c r="IT33" s="609"/>
      <c r="IU33" s="609"/>
      <c r="IV33" s="609"/>
      <c r="IW33" s="609"/>
    </row>
    <row r="34" customFormat="false" ht="8.25" hidden="false" customHeight="true" outlineLevel="0" collapsed="false">
      <c r="A34" s="606"/>
      <c r="B34" s="601"/>
      <c r="C34" s="601"/>
      <c r="D34" s="601"/>
      <c r="E34" s="601"/>
      <c r="F34" s="602"/>
      <c r="G34" s="602"/>
      <c r="H34" s="607"/>
      <c r="I34" s="607"/>
      <c r="J34" s="607"/>
      <c r="K34" s="607"/>
      <c r="L34" s="607"/>
      <c r="M34" s="607"/>
      <c r="N34" s="607"/>
      <c r="O34" s="607"/>
      <c r="P34" s="608"/>
      <c r="Q34" s="608"/>
      <c r="R34" s="608"/>
      <c r="S34" s="608"/>
      <c r="T34" s="608"/>
      <c r="U34" s="608"/>
      <c r="V34" s="608"/>
      <c r="W34" s="608"/>
      <c r="X34" s="609"/>
      <c r="Y34" s="609"/>
      <c r="Z34" s="609"/>
      <c r="AA34" s="609"/>
      <c r="AB34" s="609"/>
      <c r="AC34" s="609"/>
      <c r="AD34" s="609"/>
      <c r="AE34" s="609"/>
      <c r="AF34" s="609"/>
      <c r="AG34" s="609"/>
      <c r="AH34" s="609"/>
      <c r="AI34" s="609"/>
      <c r="AJ34" s="609"/>
      <c r="AK34" s="609"/>
      <c r="AL34" s="609"/>
      <c r="AM34" s="609"/>
      <c r="AN34" s="609"/>
      <c r="AO34" s="609"/>
      <c r="AP34" s="609"/>
      <c r="AQ34" s="609"/>
      <c r="AR34" s="609"/>
      <c r="AS34" s="609"/>
      <c r="AT34" s="609"/>
      <c r="AU34" s="609"/>
      <c r="AV34" s="609"/>
      <c r="AW34" s="609"/>
      <c r="AX34" s="609"/>
      <c r="AY34" s="609"/>
      <c r="AZ34" s="609"/>
      <c r="BA34" s="609"/>
      <c r="BB34" s="609"/>
      <c r="BC34" s="609"/>
      <c r="BD34" s="609"/>
      <c r="BE34" s="609"/>
      <c r="BF34" s="609"/>
      <c r="BG34" s="609"/>
      <c r="BH34" s="609"/>
      <c r="BI34" s="609"/>
      <c r="BJ34" s="609"/>
      <c r="BK34" s="609"/>
      <c r="BL34" s="609"/>
      <c r="BM34" s="609"/>
      <c r="BN34" s="609"/>
      <c r="BO34" s="609"/>
      <c r="BP34" s="609"/>
      <c r="BQ34" s="609"/>
      <c r="BR34" s="609"/>
      <c r="BS34" s="609"/>
      <c r="BT34" s="609"/>
      <c r="BU34" s="609"/>
      <c r="BV34" s="609"/>
      <c r="BW34" s="609"/>
      <c r="BX34" s="609"/>
      <c r="BY34" s="609"/>
      <c r="BZ34" s="609"/>
      <c r="CA34" s="609"/>
      <c r="CB34" s="609"/>
      <c r="CC34" s="609"/>
      <c r="CD34" s="609"/>
      <c r="CE34" s="609"/>
      <c r="CF34" s="609"/>
      <c r="CG34" s="609"/>
      <c r="CH34" s="609"/>
      <c r="CI34" s="609"/>
      <c r="CJ34" s="609"/>
      <c r="CK34" s="609"/>
      <c r="CL34" s="609"/>
      <c r="CM34" s="609"/>
      <c r="CN34" s="609"/>
      <c r="CO34" s="609"/>
      <c r="CP34" s="609"/>
      <c r="CQ34" s="609"/>
      <c r="CR34" s="609"/>
      <c r="CS34" s="609"/>
      <c r="CT34" s="609"/>
      <c r="CU34" s="609"/>
      <c r="CV34" s="609"/>
      <c r="CW34" s="609"/>
      <c r="CX34" s="609"/>
      <c r="CY34" s="609"/>
      <c r="CZ34" s="609"/>
      <c r="DA34" s="609"/>
      <c r="DB34" s="609"/>
      <c r="DC34" s="609"/>
      <c r="DD34" s="609"/>
      <c r="DE34" s="609"/>
      <c r="DF34" s="609"/>
      <c r="DG34" s="609"/>
      <c r="DH34" s="609"/>
      <c r="DI34" s="609"/>
      <c r="DJ34" s="609"/>
      <c r="DK34" s="609"/>
      <c r="DL34" s="609"/>
      <c r="DM34" s="609"/>
      <c r="DN34" s="609"/>
      <c r="DO34" s="609"/>
      <c r="DP34" s="609"/>
      <c r="DQ34" s="609"/>
      <c r="DR34" s="609"/>
      <c r="DS34" s="609"/>
      <c r="DT34" s="609"/>
      <c r="DU34" s="609"/>
      <c r="DV34" s="609"/>
      <c r="DW34" s="609"/>
      <c r="DX34" s="609"/>
      <c r="DY34" s="609"/>
      <c r="DZ34" s="609"/>
      <c r="EA34" s="609"/>
      <c r="EB34" s="609"/>
      <c r="EC34" s="609"/>
      <c r="ED34" s="609"/>
      <c r="EE34" s="609"/>
      <c r="EF34" s="609"/>
      <c r="EG34" s="609"/>
      <c r="EH34" s="609"/>
      <c r="EI34" s="609"/>
      <c r="EJ34" s="609"/>
      <c r="EK34" s="609"/>
      <c r="EL34" s="609"/>
      <c r="EM34" s="609"/>
      <c r="EN34" s="609"/>
      <c r="EO34" s="609"/>
      <c r="EP34" s="609"/>
      <c r="EQ34" s="609"/>
      <c r="ER34" s="609"/>
      <c r="ES34" s="609"/>
      <c r="ET34" s="609"/>
      <c r="EU34" s="609"/>
      <c r="EV34" s="609"/>
      <c r="EW34" s="609"/>
      <c r="EX34" s="609"/>
      <c r="EY34" s="609"/>
      <c r="EZ34" s="609"/>
      <c r="FA34" s="609"/>
      <c r="FB34" s="609"/>
      <c r="FC34" s="609"/>
      <c r="FD34" s="609"/>
      <c r="FE34" s="609"/>
      <c r="FF34" s="609"/>
      <c r="FG34" s="609"/>
      <c r="FH34" s="609"/>
      <c r="FI34" s="609"/>
      <c r="FJ34" s="609"/>
      <c r="FK34" s="609"/>
      <c r="FL34" s="609"/>
      <c r="FM34" s="609"/>
      <c r="FN34" s="609"/>
      <c r="FO34" s="609"/>
      <c r="FP34" s="609"/>
      <c r="FQ34" s="609"/>
      <c r="FR34" s="609"/>
      <c r="FS34" s="609"/>
      <c r="FT34" s="609"/>
      <c r="FU34" s="609"/>
      <c r="FV34" s="609"/>
      <c r="FW34" s="609"/>
      <c r="FX34" s="609"/>
      <c r="FY34" s="609"/>
      <c r="FZ34" s="609"/>
      <c r="GA34" s="609"/>
      <c r="GB34" s="609"/>
      <c r="GC34" s="609"/>
      <c r="GD34" s="609"/>
      <c r="GE34" s="609"/>
      <c r="GF34" s="609"/>
      <c r="GG34" s="609"/>
      <c r="GH34" s="609"/>
      <c r="GI34" s="609"/>
      <c r="GJ34" s="609"/>
      <c r="GK34" s="609"/>
      <c r="GL34" s="609"/>
      <c r="GM34" s="609"/>
      <c r="GN34" s="609"/>
      <c r="GO34" s="609"/>
      <c r="GP34" s="609"/>
      <c r="GQ34" s="609"/>
      <c r="GR34" s="609"/>
      <c r="GS34" s="609"/>
      <c r="GT34" s="609"/>
      <c r="GU34" s="609"/>
      <c r="GV34" s="609"/>
      <c r="GW34" s="609"/>
      <c r="GX34" s="609"/>
      <c r="GY34" s="609"/>
      <c r="GZ34" s="609"/>
      <c r="HA34" s="609"/>
      <c r="HB34" s="609"/>
      <c r="HC34" s="609"/>
      <c r="HD34" s="609"/>
      <c r="HE34" s="609"/>
      <c r="HF34" s="609"/>
      <c r="HG34" s="609"/>
      <c r="HH34" s="609"/>
      <c r="HI34" s="609"/>
      <c r="HJ34" s="609"/>
      <c r="HK34" s="609"/>
      <c r="HL34" s="609"/>
      <c r="HM34" s="609"/>
      <c r="HN34" s="609"/>
      <c r="HO34" s="609"/>
      <c r="HP34" s="609"/>
      <c r="HQ34" s="609"/>
      <c r="HR34" s="609"/>
      <c r="HS34" s="609"/>
      <c r="HT34" s="609"/>
      <c r="HU34" s="609"/>
      <c r="HV34" s="609"/>
      <c r="HW34" s="609"/>
      <c r="HX34" s="609"/>
      <c r="HY34" s="609"/>
      <c r="HZ34" s="609"/>
      <c r="IA34" s="609"/>
      <c r="IB34" s="609"/>
      <c r="IC34" s="609"/>
      <c r="ID34" s="609"/>
      <c r="IE34" s="609"/>
      <c r="IF34" s="609"/>
      <c r="IG34" s="609"/>
      <c r="IH34" s="609"/>
      <c r="II34" s="609"/>
      <c r="IJ34" s="609"/>
      <c r="IK34" s="609"/>
      <c r="IL34" s="609"/>
      <c r="IM34" s="609"/>
      <c r="IN34" s="609"/>
      <c r="IO34" s="609"/>
      <c r="IP34" s="609"/>
      <c r="IQ34" s="609"/>
      <c r="IR34" s="609"/>
      <c r="IS34" s="609"/>
      <c r="IT34" s="609"/>
      <c r="IU34" s="609"/>
      <c r="IV34" s="609"/>
      <c r="IW34" s="609"/>
    </row>
    <row r="35" customFormat="false" ht="9" hidden="false" customHeight="true" outlineLevel="0" collapsed="false">
      <c r="B35" s="610"/>
      <c r="C35" s="610"/>
      <c r="D35" s="610"/>
      <c r="E35" s="610"/>
      <c r="F35" s="610"/>
      <c r="G35" s="610"/>
      <c r="H35" s="610"/>
      <c r="I35" s="610"/>
      <c r="J35" s="610"/>
      <c r="K35" s="610"/>
      <c r="L35" s="611"/>
      <c r="M35" s="611"/>
      <c r="N35" s="611"/>
      <c r="O35" s="611"/>
      <c r="P35" s="611"/>
      <c r="Q35" s="611"/>
      <c r="R35" s="611"/>
      <c r="S35" s="612"/>
      <c r="T35" s="612"/>
      <c r="U35" s="612"/>
      <c r="V35" s="612"/>
    </row>
    <row r="36" customFormat="false" ht="12.75" hidden="false" customHeight="true" outlineLevel="0" collapsed="false">
      <c r="B36" s="601" t="s">
        <v>250</v>
      </c>
      <c r="C36" s="601"/>
      <c r="D36" s="601"/>
      <c r="E36" s="601"/>
      <c r="F36" s="602"/>
      <c r="G36" s="602"/>
      <c r="H36" s="613"/>
      <c r="I36" s="613"/>
      <c r="J36" s="613"/>
      <c r="K36" s="613"/>
      <c r="L36" s="613"/>
      <c r="M36" s="613"/>
      <c r="N36" s="613"/>
      <c r="O36" s="613"/>
      <c r="P36" s="614" t="s">
        <v>251</v>
      </c>
      <c r="Q36" s="614"/>
      <c r="R36" s="614"/>
      <c r="S36" s="614"/>
      <c r="T36" s="614" t="s">
        <v>252</v>
      </c>
      <c r="U36" s="614"/>
      <c r="V36" s="614"/>
      <c r="W36" s="614"/>
    </row>
    <row r="37" customFormat="false" ht="17.1" hidden="false" customHeight="true" outlineLevel="0" collapsed="false">
      <c r="B37" s="601"/>
      <c r="C37" s="601"/>
      <c r="D37" s="601"/>
      <c r="E37" s="601"/>
      <c r="F37" s="602"/>
      <c r="G37" s="602"/>
      <c r="H37" s="615" t="s">
        <v>253</v>
      </c>
      <c r="I37" s="615"/>
      <c r="J37" s="615"/>
      <c r="K37" s="615"/>
      <c r="L37" s="615"/>
      <c r="M37" s="615"/>
      <c r="N37" s="615"/>
      <c r="O37" s="615"/>
      <c r="P37" s="608" t="n">
        <f aca="false">COUNTA('Seznam účastníků'!I5:I64)</f>
        <v>0</v>
      </c>
      <c r="Q37" s="608"/>
      <c r="R37" s="608"/>
      <c r="S37" s="608"/>
      <c r="T37" s="608" t="n">
        <f aca="false">'Seznam účastníků'!I66</f>
        <v>0</v>
      </c>
      <c r="U37" s="608"/>
      <c r="V37" s="608"/>
      <c r="W37" s="608"/>
    </row>
    <row r="38" customFormat="false" ht="8.25" hidden="false" customHeight="true" outlineLevel="0" collapsed="false">
      <c r="B38" s="601"/>
      <c r="C38" s="601"/>
      <c r="D38" s="601"/>
      <c r="E38" s="601"/>
      <c r="F38" s="602"/>
      <c r="G38" s="602"/>
      <c r="H38" s="615"/>
      <c r="I38" s="615"/>
      <c r="J38" s="615"/>
      <c r="K38" s="615"/>
      <c r="L38" s="615"/>
      <c r="M38" s="615"/>
      <c r="N38" s="615"/>
      <c r="O38" s="615"/>
      <c r="P38" s="608"/>
      <c r="Q38" s="608"/>
      <c r="R38" s="608"/>
      <c r="S38" s="608"/>
      <c r="T38" s="608"/>
      <c r="U38" s="608"/>
      <c r="V38" s="608"/>
      <c r="W38" s="608"/>
    </row>
    <row r="39" customFormat="false" ht="8.25" hidden="false" customHeight="true" outlineLevel="0" collapsed="false">
      <c r="B39" s="616"/>
      <c r="C39" s="616"/>
      <c r="D39" s="616"/>
      <c r="E39" s="616"/>
      <c r="F39" s="610"/>
      <c r="G39" s="610"/>
      <c r="H39" s="610"/>
      <c r="I39" s="610"/>
      <c r="J39" s="610"/>
      <c r="K39" s="610"/>
      <c r="L39" s="611"/>
      <c r="M39" s="611"/>
      <c r="N39" s="611"/>
      <c r="O39" s="611"/>
      <c r="P39" s="611"/>
      <c r="Q39" s="611"/>
      <c r="R39" s="611"/>
      <c r="S39" s="612"/>
      <c r="T39" s="612"/>
      <c r="U39" s="612"/>
      <c r="V39" s="612"/>
    </row>
    <row r="40" customFormat="false" ht="12.75" hidden="false" customHeight="true" outlineLevel="0" collapsed="false">
      <c r="B40" s="601" t="s">
        <v>250</v>
      </c>
      <c r="C40" s="601"/>
      <c r="D40" s="601"/>
      <c r="E40" s="601"/>
      <c r="F40" s="602"/>
      <c r="G40" s="602"/>
      <c r="H40" s="613"/>
      <c r="I40" s="613"/>
      <c r="J40" s="613"/>
      <c r="K40" s="613"/>
      <c r="L40" s="613"/>
      <c r="M40" s="613"/>
      <c r="N40" s="613"/>
      <c r="O40" s="613"/>
      <c r="P40" s="614" t="s">
        <v>251</v>
      </c>
      <c r="Q40" s="614"/>
      <c r="R40" s="614"/>
      <c r="S40" s="614"/>
      <c r="T40" s="614" t="s">
        <v>252</v>
      </c>
      <c r="U40" s="614"/>
      <c r="V40" s="614"/>
      <c r="W40" s="614"/>
    </row>
    <row r="41" customFormat="false" ht="17.1" hidden="false" customHeight="true" outlineLevel="0" collapsed="false">
      <c r="B41" s="601"/>
      <c r="C41" s="601"/>
      <c r="D41" s="601"/>
      <c r="E41" s="601"/>
      <c r="F41" s="602"/>
      <c r="G41" s="602"/>
      <c r="H41" s="615" t="s">
        <v>253</v>
      </c>
      <c r="I41" s="615"/>
      <c r="J41" s="615"/>
      <c r="K41" s="615"/>
      <c r="L41" s="615"/>
      <c r="M41" s="615"/>
      <c r="N41" s="615"/>
      <c r="O41" s="615"/>
      <c r="P41" s="608" t="n">
        <f aca="false">COUNTA('Seznam účastníků'!J5:J64)</f>
        <v>0</v>
      </c>
      <c r="Q41" s="608"/>
      <c r="R41" s="608"/>
      <c r="S41" s="608"/>
      <c r="T41" s="608" t="n">
        <f aca="false">'Seznam účastníků'!J66</f>
        <v>0</v>
      </c>
      <c r="U41" s="608"/>
      <c r="V41" s="608"/>
      <c r="W41" s="608"/>
    </row>
    <row r="42" customFormat="false" ht="9" hidden="false" customHeight="true" outlineLevel="0" collapsed="false">
      <c r="B42" s="601"/>
      <c r="C42" s="601"/>
      <c r="D42" s="601"/>
      <c r="E42" s="601"/>
      <c r="F42" s="602"/>
      <c r="G42" s="602"/>
      <c r="H42" s="615"/>
      <c r="I42" s="615"/>
      <c r="J42" s="615"/>
      <c r="K42" s="615"/>
      <c r="L42" s="615"/>
      <c r="M42" s="615"/>
      <c r="N42" s="615"/>
      <c r="O42" s="615"/>
      <c r="P42" s="608"/>
      <c r="Q42" s="608"/>
      <c r="R42" s="608"/>
      <c r="S42" s="608"/>
      <c r="T42" s="608"/>
      <c r="U42" s="608"/>
      <c r="V42" s="608"/>
      <c r="W42" s="608"/>
    </row>
    <row r="43" customFormat="false" ht="12.75" hidden="false" customHeight="false" outlineLevel="0" collapsed="false">
      <c r="B43" s="617"/>
      <c r="C43" s="617"/>
      <c r="D43" s="617"/>
      <c r="E43" s="617"/>
      <c r="F43" s="618"/>
      <c r="G43" s="618"/>
      <c r="H43" s="619"/>
      <c r="I43" s="619"/>
      <c r="J43" s="619"/>
      <c r="K43" s="619"/>
      <c r="L43" s="619"/>
      <c r="M43" s="619"/>
      <c r="N43" s="619"/>
      <c r="O43" s="619"/>
      <c r="P43" s="620"/>
      <c r="Q43" s="620"/>
      <c r="R43" s="620"/>
      <c r="S43" s="620"/>
      <c r="T43" s="620"/>
      <c r="U43" s="620"/>
      <c r="V43" s="620"/>
      <c r="W43" s="620"/>
    </row>
    <row r="44" customFormat="false" ht="12.75" hidden="false" customHeight="true" outlineLevel="0" collapsed="false">
      <c r="B44" s="601" t="s">
        <v>250</v>
      </c>
      <c r="C44" s="601"/>
      <c r="D44" s="601"/>
      <c r="E44" s="601"/>
      <c r="F44" s="602"/>
      <c r="G44" s="602"/>
      <c r="H44" s="613"/>
      <c r="I44" s="613"/>
      <c r="J44" s="613"/>
      <c r="K44" s="613"/>
      <c r="L44" s="613"/>
      <c r="M44" s="613"/>
      <c r="N44" s="613"/>
      <c r="O44" s="613"/>
      <c r="P44" s="614" t="s">
        <v>251</v>
      </c>
      <c r="Q44" s="614"/>
      <c r="R44" s="614"/>
      <c r="S44" s="614"/>
      <c r="T44" s="614" t="s">
        <v>252</v>
      </c>
      <c r="U44" s="614"/>
      <c r="V44" s="614"/>
      <c r="W44" s="614"/>
    </row>
    <row r="45" customFormat="false" ht="17.1" hidden="false" customHeight="true" outlineLevel="0" collapsed="false">
      <c r="B45" s="601"/>
      <c r="C45" s="601"/>
      <c r="D45" s="601"/>
      <c r="E45" s="601"/>
      <c r="F45" s="602"/>
      <c r="G45" s="602"/>
      <c r="H45" s="615" t="s">
        <v>253</v>
      </c>
      <c r="I45" s="615"/>
      <c r="J45" s="615"/>
      <c r="K45" s="615"/>
      <c r="L45" s="615"/>
      <c r="M45" s="615"/>
      <c r="N45" s="615"/>
      <c r="O45" s="615"/>
      <c r="P45" s="621"/>
      <c r="Q45" s="621"/>
      <c r="R45" s="621"/>
      <c r="S45" s="621"/>
      <c r="T45" s="621"/>
      <c r="U45" s="621"/>
      <c r="V45" s="621"/>
      <c r="W45" s="621"/>
    </row>
    <row r="46" customFormat="false" ht="8.25" hidden="false" customHeight="true" outlineLevel="0" collapsed="false">
      <c r="B46" s="601"/>
      <c r="C46" s="601"/>
      <c r="D46" s="601"/>
      <c r="E46" s="601"/>
      <c r="F46" s="602"/>
      <c r="G46" s="602"/>
      <c r="H46" s="615"/>
      <c r="I46" s="615"/>
      <c r="J46" s="615"/>
      <c r="K46" s="615"/>
      <c r="L46" s="615"/>
      <c r="M46" s="615"/>
      <c r="N46" s="615"/>
      <c r="O46" s="615"/>
      <c r="P46" s="621"/>
      <c r="Q46" s="621"/>
      <c r="R46" s="621"/>
      <c r="S46" s="621"/>
      <c r="T46" s="621"/>
      <c r="U46" s="621"/>
      <c r="V46" s="621"/>
      <c r="W46" s="621"/>
    </row>
    <row r="47" customFormat="false" ht="15" hidden="false" customHeight="false" outlineLevel="0" collapsed="false">
      <c r="B47" s="598"/>
      <c r="C47" s="598"/>
      <c r="D47" s="598"/>
      <c r="E47" s="598"/>
      <c r="F47" s="618"/>
      <c r="G47" s="618"/>
      <c r="H47" s="619"/>
      <c r="I47" s="619"/>
      <c r="J47" s="619"/>
      <c r="K47" s="619"/>
      <c r="L47" s="619"/>
      <c r="M47" s="619"/>
      <c r="N47" s="619"/>
      <c r="O47" s="619"/>
      <c r="P47" s="620"/>
      <c r="Q47" s="620"/>
      <c r="R47" s="620"/>
      <c r="S47" s="620"/>
      <c r="T47" s="620"/>
      <c r="U47" s="620"/>
      <c r="V47" s="620"/>
      <c r="W47" s="620"/>
    </row>
    <row r="48" customFormat="false" ht="32.25" hidden="false" customHeight="true" outlineLevel="0" collapsed="false">
      <c r="A48" s="564" t="s">
        <v>254</v>
      </c>
      <c r="B48" s="564"/>
      <c r="C48" s="564"/>
      <c r="D48" s="564"/>
      <c r="E48" s="564"/>
      <c r="F48" s="564"/>
      <c r="G48" s="564"/>
      <c r="H48" s="564"/>
      <c r="I48" s="564"/>
      <c r="J48" s="564"/>
      <c r="K48" s="564"/>
      <c r="L48" s="564"/>
      <c r="M48" s="564"/>
      <c r="N48" s="564"/>
      <c r="O48" s="564"/>
      <c r="P48" s="564"/>
      <c r="Q48" s="564"/>
      <c r="R48" s="564"/>
      <c r="S48" s="564"/>
      <c r="T48" s="564"/>
      <c r="U48" s="564"/>
      <c r="V48" s="564"/>
      <c r="W48" s="564"/>
    </row>
    <row r="49" customFormat="false" ht="15" hidden="false" customHeight="true" outlineLevel="0" collapsed="false">
      <c r="A49" s="598"/>
      <c r="B49" s="599" t="s">
        <v>255</v>
      </c>
      <c r="C49" s="599"/>
      <c r="D49" s="599"/>
      <c r="E49" s="599"/>
      <c r="F49" s="599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599"/>
      <c r="R49" s="599"/>
      <c r="S49" s="599"/>
      <c r="T49" s="599"/>
      <c r="U49" s="599"/>
      <c r="V49" s="599"/>
      <c r="W49" s="599"/>
    </row>
    <row r="50" customFormat="false" ht="20.1" hidden="false" customHeight="true" outlineLevel="0" collapsed="false">
      <c r="A50" s="622"/>
      <c r="B50" s="623" t="s">
        <v>256</v>
      </c>
      <c r="C50" s="624" t="s">
        <v>257</v>
      </c>
      <c r="D50" s="624"/>
      <c r="E50" s="624"/>
      <c r="F50" s="624"/>
      <c r="G50" s="624"/>
      <c r="H50" s="624"/>
      <c r="I50" s="624"/>
      <c r="J50" s="624"/>
      <c r="K50" s="624"/>
      <c r="L50" s="624"/>
      <c r="M50" s="624"/>
      <c r="N50" s="624"/>
      <c r="O50" s="624"/>
      <c r="P50" s="624"/>
      <c r="Q50" s="624"/>
      <c r="R50" s="624"/>
      <c r="S50" s="624"/>
      <c r="T50" s="625" t="n">
        <f aca="false">IF(T33="","",T33+T37+T41+T45)</f>
        <v>0</v>
      </c>
      <c r="U50" s="625"/>
      <c r="V50" s="625"/>
      <c r="W50" s="625"/>
      <c r="X50" s="626"/>
      <c r="Y50" s="626"/>
      <c r="Z50" s="626"/>
      <c r="AA50" s="626"/>
      <c r="AB50" s="626"/>
      <c r="AC50" s="626"/>
      <c r="AD50" s="626"/>
      <c r="AE50" s="626"/>
      <c r="AF50" s="626"/>
      <c r="AG50" s="626"/>
      <c r="AH50" s="626"/>
      <c r="AI50" s="626"/>
      <c r="AJ50" s="626"/>
      <c r="AK50" s="626"/>
      <c r="AL50" s="626"/>
      <c r="AM50" s="626"/>
      <c r="AN50" s="626"/>
      <c r="AO50" s="626"/>
      <c r="AP50" s="626"/>
      <c r="AQ50" s="626"/>
      <c r="AR50" s="626"/>
      <c r="AS50" s="626"/>
      <c r="AT50" s="626"/>
      <c r="AU50" s="626"/>
      <c r="AV50" s="626"/>
      <c r="AW50" s="626"/>
      <c r="AX50" s="626"/>
      <c r="AY50" s="626"/>
      <c r="AZ50" s="626"/>
      <c r="BA50" s="626"/>
      <c r="BB50" s="626"/>
      <c r="BC50" s="626"/>
      <c r="BD50" s="626"/>
      <c r="BE50" s="626"/>
      <c r="BF50" s="626"/>
      <c r="BG50" s="626"/>
      <c r="BH50" s="626"/>
      <c r="BI50" s="626"/>
      <c r="BJ50" s="626"/>
      <c r="BK50" s="626"/>
      <c r="BL50" s="626"/>
      <c r="BM50" s="626"/>
      <c r="BN50" s="626"/>
      <c r="BO50" s="626"/>
      <c r="BP50" s="626"/>
      <c r="BQ50" s="626"/>
      <c r="BR50" s="626"/>
      <c r="BS50" s="626"/>
      <c r="BT50" s="626"/>
      <c r="BU50" s="626"/>
      <c r="BV50" s="626"/>
      <c r="BW50" s="626"/>
      <c r="BX50" s="626"/>
      <c r="BY50" s="626"/>
      <c r="BZ50" s="626"/>
      <c r="CA50" s="626"/>
      <c r="CB50" s="626"/>
      <c r="CC50" s="626"/>
      <c r="CD50" s="626"/>
      <c r="CE50" s="626"/>
      <c r="CF50" s="626"/>
      <c r="CG50" s="626"/>
      <c r="CH50" s="626"/>
      <c r="CI50" s="626"/>
      <c r="CJ50" s="626"/>
      <c r="CK50" s="626"/>
      <c r="CL50" s="626"/>
      <c r="CM50" s="626"/>
      <c r="CN50" s="626"/>
      <c r="CO50" s="626"/>
      <c r="CP50" s="626"/>
      <c r="CQ50" s="626"/>
      <c r="CR50" s="626"/>
      <c r="CS50" s="626"/>
      <c r="CT50" s="626"/>
      <c r="CU50" s="626"/>
      <c r="CV50" s="626"/>
      <c r="CW50" s="626"/>
      <c r="CX50" s="626"/>
      <c r="CY50" s="626"/>
      <c r="CZ50" s="626"/>
      <c r="DA50" s="626"/>
      <c r="DB50" s="626"/>
      <c r="DC50" s="626"/>
      <c r="DD50" s="626"/>
      <c r="DE50" s="626"/>
      <c r="DF50" s="626"/>
      <c r="DG50" s="626"/>
      <c r="DH50" s="626"/>
      <c r="DI50" s="626"/>
      <c r="DJ50" s="626"/>
      <c r="DK50" s="626"/>
      <c r="DL50" s="626"/>
      <c r="DM50" s="626"/>
      <c r="DN50" s="626"/>
      <c r="DO50" s="626"/>
      <c r="DP50" s="626"/>
      <c r="DQ50" s="626"/>
      <c r="DR50" s="626"/>
      <c r="DS50" s="626"/>
      <c r="DT50" s="626"/>
      <c r="DU50" s="626"/>
      <c r="DV50" s="626"/>
      <c r="DW50" s="626"/>
      <c r="DX50" s="626"/>
      <c r="DY50" s="626"/>
      <c r="DZ50" s="626"/>
      <c r="EA50" s="626"/>
      <c r="EB50" s="626"/>
      <c r="EC50" s="626"/>
      <c r="ED50" s="626"/>
      <c r="EE50" s="626"/>
      <c r="EF50" s="626"/>
      <c r="EG50" s="626"/>
      <c r="EH50" s="626"/>
      <c r="EI50" s="626"/>
      <c r="EJ50" s="626"/>
      <c r="EK50" s="626"/>
      <c r="EL50" s="626"/>
      <c r="EM50" s="626"/>
      <c r="EN50" s="626"/>
      <c r="EO50" s="626"/>
      <c r="EP50" s="626"/>
      <c r="EQ50" s="626"/>
      <c r="ER50" s="626"/>
      <c r="ES50" s="626"/>
      <c r="ET50" s="626"/>
      <c r="EU50" s="626"/>
      <c r="EV50" s="626"/>
      <c r="EW50" s="626"/>
      <c r="EX50" s="626"/>
      <c r="EY50" s="626"/>
      <c r="EZ50" s="626"/>
      <c r="FA50" s="626"/>
      <c r="FB50" s="626"/>
      <c r="FC50" s="626"/>
      <c r="FD50" s="626"/>
      <c r="FE50" s="626"/>
      <c r="FF50" s="626"/>
      <c r="FG50" s="626"/>
      <c r="FH50" s="626"/>
      <c r="FI50" s="626"/>
      <c r="FJ50" s="626"/>
      <c r="FK50" s="626"/>
      <c r="FL50" s="626"/>
      <c r="FM50" s="626"/>
      <c r="FN50" s="626"/>
      <c r="FO50" s="626"/>
      <c r="FP50" s="626"/>
      <c r="FQ50" s="626"/>
      <c r="FR50" s="626"/>
      <c r="FS50" s="626"/>
      <c r="FT50" s="626"/>
      <c r="FU50" s="626"/>
      <c r="FV50" s="626"/>
      <c r="FW50" s="626"/>
      <c r="FX50" s="626"/>
      <c r="FY50" s="626"/>
      <c r="FZ50" s="626"/>
      <c r="GA50" s="626"/>
      <c r="GB50" s="626"/>
      <c r="GC50" s="626"/>
      <c r="GD50" s="626"/>
      <c r="GE50" s="626"/>
      <c r="GF50" s="626"/>
      <c r="GG50" s="626"/>
      <c r="GH50" s="626"/>
      <c r="GI50" s="626"/>
      <c r="GJ50" s="626"/>
      <c r="GK50" s="626"/>
      <c r="GL50" s="626"/>
      <c r="GM50" s="626"/>
      <c r="GN50" s="626"/>
      <c r="GO50" s="626"/>
      <c r="GP50" s="626"/>
      <c r="GQ50" s="626"/>
      <c r="GR50" s="626"/>
      <c r="GS50" s="626"/>
      <c r="GT50" s="626"/>
      <c r="GU50" s="626"/>
      <c r="GV50" s="626"/>
      <c r="GW50" s="626"/>
      <c r="GX50" s="626"/>
      <c r="GY50" s="626"/>
      <c r="GZ50" s="626"/>
      <c r="HA50" s="626"/>
      <c r="HB50" s="626"/>
      <c r="HC50" s="626"/>
      <c r="HD50" s="626"/>
      <c r="HE50" s="626"/>
      <c r="HF50" s="626"/>
      <c r="HG50" s="626"/>
      <c r="HH50" s="626"/>
      <c r="HI50" s="626"/>
      <c r="HJ50" s="626"/>
      <c r="HK50" s="626"/>
      <c r="HL50" s="626"/>
      <c r="HM50" s="626"/>
      <c r="HN50" s="626"/>
      <c r="HO50" s="626"/>
      <c r="HP50" s="626"/>
      <c r="HQ50" s="626"/>
      <c r="HR50" s="626"/>
      <c r="HS50" s="626"/>
      <c r="HT50" s="626"/>
      <c r="HU50" s="626"/>
      <c r="HV50" s="626"/>
      <c r="HW50" s="626"/>
      <c r="HX50" s="626"/>
      <c r="HY50" s="626"/>
      <c r="HZ50" s="626"/>
      <c r="IA50" s="626"/>
      <c r="IB50" s="626"/>
      <c r="IC50" s="626"/>
      <c r="ID50" s="626"/>
      <c r="IE50" s="626"/>
      <c r="IF50" s="626"/>
      <c r="IG50" s="626"/>
      <c r="IH50" s="626"/>
      <c r="II50" s="626"/>
      <c r="IJ50" s="626"/>
      <c r="IK50" s="626"/>
      <c r="IL50" s="626"/>
      <c r="IM50" s="626"/>
      <c r="IN50" s="626"/>
      <c r="IO50" s="626"/>
      <c r="IP50" s="626"/>
      <c r="IQ50" s="626"/>
      <c r="IR50" s="626"/>
      <c r="IS50" s="626"/>
      <c r="IT50" s="626"/>
      <c r="IU50" s="626"/>
      <c r="IV50" s="626"/>
      <c r="IW50" s="626"/>
    </row>
    <row r="51" customFormat="false" ht="20.1" hidden="false" customHeight="true" outlineLevel="0" collapsed="false">
      <c r="A51" s="622"/>
      <c r="B51" s="623" t="s">
        <v>258</v>
      </c>
      <c r="C51" s="624" t="s">
        <v>259</v>
      </c>
      <c r="D51" s="624"/>
      <c r="E51" s="624"/>
      <c r="F51" s="624"/>
      <c r="G51" s="624"/>
      <c r="H51" s="624"/>
      <c r="I51" s="624"/>
      <c r="J51" s="624"/>
      <c r="K51" s="624"/>
      <c r="L51" s="627"/>
      <c r="M51" s="627"/>
      <c r="N51" s="627"/>
      <c r="O51" s="627"/>
      <c r="P51" s="627"/>
      <c r="Q51" s="628" t="n">
        <f aca="false">'Přehled akce'!L42</f>
        <v>0</v>
      </c>
      <c r="R51" s="628"/>
      <c r="S51" s="628"/>
      <c r="T51" s="628"/>
      <c r="U51" s="628"/>
      <c r="V51" s="629"/>
      <c r="W51" s="627"/>
      <c r="X51" s="626"/>
      <c r="Y51" s="626"/>
      <c r="Z51" s="626"/>
      <c r="AA51" s="626"/>
      <c r="AB51" s="626"/>
      <c r="AC51" s="626"/>
      <c r="AD51" s="626"/>
      <c r="AE51" s="626"/>
      <c r="AF51" s="626"/>
      <c r="AG51" s="626"/>
      <c r="AH51" s="626"/>
      <c r="AI51" s="626"/>
      <c r="AJ51" s="626"/>
      <c r="AK51" s="626"/>
      <c r="AL51" s="626"/>
      <c r="AM51" s="626"/>
      <c r="AN51" s="626"/>
      <c r="AO51" s="626"/>
      <c r="AP51" s="626"/>
      <c r="AQ51" s="626"/>
      <c r="AR51" s="626"/>
      <c r="AS51" s="626"/>
      <c r="AT51" s="626"/>
      <c r="AU51" s="626"/>
      <c r="AV51" s="626"/>
      <c r="AW51" s="626"/>
      <c r="AX51" s="626"/>
      <c r="AY51" s="626"/>
      <c r="AZ51" s="626"/>
      <c r="BA51" s="626"/>
      <c r="BB51" s="626"/>
      <c r="BC51" s="626"/>
      <c r="BD51" s="626"/>
      <c r="BE51" s="626"/>
      <c r="BF51" s="626"/>
      <c r="BG51" s="626"/>
      <c r="BH51" s="626"/>
      <c r="BI51" s="626"/>
      <c r="BJ51" s="626"/>
      <c r="BK51" s="626"/>
      <c r="BL51" s="626"/>
      <c r="BM51" s="626"/>
      <c r="BN51" s="626"/>
      <c r="BO51" s="626"/>
      <c r="BP51" s="626"/>
      <c r="BQ51" s="626"/>
      <c r="BR51" s="626"/>
      <c r="BS51" s="626"/>
      <c r="BT51" s="626"/>
      <c r="BU51" s="626"/>
      <c r="BV51" s="626"/>
      <c r="BW51" s="626"/>
      <c r="BX51" s="626"/>
      <c r="BY51" s="626"/>
      <c r="BZ51" s="626"/>
      <c r="CA51" s="626"/>
      <c r="CB51" s="626"/>
      <c r="CC51" s="626"/>
      <c r="CD51" s="626"/>
      <c r="CE51" s="626"/>
      <c r="CF51" s="626"/>
      <c r="CG51" s="626"/>
      <c r="CH51" s="626"/>
      <c r="CI51" s="626"/>
      <c r="CJ51" s="626"/>
      <c r="CK51" s="626"/>
      <c r="CL51" s="626"/>
      <c r="CM51" s="626"/>
      <c r="CN51" s="626"/>
      <c r="CO51" s="626"/>
      <c r="CP51" s="626"/>
      <c r="CQ51" s="626"/>
      <c r="CR51" s="626"/>
      <c r="CS51" s="626"/>
      <c r="CT51" s="626"/>
      <c r="CU51" s="626"/>
      <c r="CV51" s="626"/>
      <c r="CW51" s="626"/>
      <c r="CX51" s="626"/>
      <c r="CY51" s="626"/>
      <c r="CZ51" s="626"/>
      <c r="DA51" s="626"/>
      <c r="DB51" s="626"/>
      <c r="DC51" s="626"/>
      <c r="DD51" s="626"/>
      <c r="DE51" s="626"/>
      <c r="DF51" s="626"/>
      <c r="DG51" s="626"/>
      <c r="DH51" s="626"/>
      <c r="DI51" s="626"/>
      <c r="DJ51" s="626"/>
      <c r="DK51" s="626"/>
      <c r="DL51" s="626"/>
      <c r="DM51" s="626"/>
      <c r="DN51" s="626"/>
      <c r="DO51" s="626"/>
      <c r="DP51" s="626"/>
      <c r="DQ51" s="626"/>
      <c r="DR51" s="626"/>
      <c r="DS51" s="626"/>
      <c r="DT51" s="626"/>
      <c r="DU51" s="626"/>
      <c r="DV51" s="626"/>
      <c r="DW51" s="626"/>
      <c r="DX51" s="626"/>
      <c r="DY51" s="626"/>
      <c r="DZ51" s="626"/>
      <c r="EA51" s="626"/>
      <c r="EB51" s="626"/>
      <c r="EC51" s="626"/>
      <c r="ED51" s="626"/>
      <c r="EE51" s="626"/>
      <c r="EF51" s="626"/>
      <c r="EG51" s="626"/>
      <c r="EH51" s="626"/>
      <c r="EI51" s="626"/>
      <c r="EJ51" s="626"/>
      <c r="EK51" s="626"/>
      <c r="EL51" s="626"/>
      <c r="EM51" s="626"/>
      <c r="EN51" s="626"/>
      <c r="EO51" s="626"/>
      <c r="EP51" s="626"/>
      <c r="EQ51" s="626"/>
      <c r="ER51" s="626"/>
      <c r="ES51" s="626"/>
      <c r="ET51" s="626"/>
      <c r="EU51" s="626"/>
      <c r="EV51" s="626"/>
      <c r="EW51" s="626"/>
      <c r="EX51" s="626"/>
      <c r="EY51" s="626"/>
      <c r="EZ51" s="626"/>
      <c r="FA51" s="626"/>
      <c r="FB51" s="626"/>
      <c r="FC51" s="626"/>
      <c r="FD51" s="626"/>
      <c r="FE51" s="626"/>
      <c r="FF51" s="626"/>
      <c r="FG51" s="626"/>
      <c r="FH51" s="626"/>
      <c r="FI51" s="626"/>
      <c r="FJ51" s="626"/>
      <c r="FK51" s="626"/>
      <c r="FL51" s="626"/>
      <c r="FM51" s="626"/>
      <c r="FN51" s="626"/>
      <c r="FO51" s="626"/>
      <c r="FP51" s="626"/>
      <c r="FQ51" s="626"/>
      <c r="FR51" s="626"/>
      <c r="FS51" s="626"/>
      <c r="FT51" s="626"/>
      <c r="FU51" s="626"/>
      <c r="FV51" s="626"/>
      <c r="FW51" s="626"/>
      <c r="FX51" s="626"/>
      <c r="FY51" s="626"/>
      <c r="FZ51" s="626"/>
      <c r="GA51" s="626"/>
      <c r="GB51" s="626"/>
      <c r="GC51" s="626"/>
      <c r="GD51" s="626"/>
      <c r="GE51" s="626"/>
      <c r="GF51" s="626"/>
      <c r="GG51" s="626"/>
      <c r="GH51" s="626"/>
      <c r="GI51" s="626"/>
      <c r="GJ51" s="626"/>
      <c r="GK51" s="626"/>
      <c r="GL51" s="626"/>
      <c r="GM51" s="626"/>
      <c r="GN51" s="626"/>
      <c r="GO51" s="626"/>
      <c r="GP51" s="626"/>
      <c r="GQ51" s="626"/>
      <c r="GR51" s="626"/>
      <c r="GS51" s="626"/>
      <c r="GT51" s="626"/>
      <c r="GU51" s="626"/>
      <c r="GV51" s="626"/>
      <c r="GW51" s="626"/>
      <c r="GX51" s="626"/>
      <c r="GY51" s="626"/>
      <c r="GZ51" s="626"/>
      <c r="HA51" s="626"/>
      <c r="HB51" s="626"/>
      <c r="HC51" s="626"/>
      <c r="HD51" s="626"/>
      <c r="HE51" s="626"/>
      <c r="HF51" s="626"/>
      <c r="HG51" s="626"/>
      <c r="HH51" s="626"/>
      <c r="HI51" s="626"/>
      <c r="HJ51" s="626"/>
      <c r="HK51" s="626"/>
      <c r="HL51" s="626"/>
      <c r="HM51" s="626"/>
      <c r="HN51" s="626"/>
      <c r="HO51" s="626"/>
      <c r="HP51" s="626"/>
      <c r="HQ51" s="626"/>
      <c r="HR51" s="626"/>
      <c r="HS51" s="626"/>
      <c r="HT51" s="626"/>
      <c r="HU51" s="626"/>
      <c r="HV51" s="626"/>
      <c r="HW51" s="626"/>
      <c r="HX51" s="626"/>
      <c r="HY51" s="626"/>
      <c r="HZ51" s="626"/>
      <c r="IA51" s="626"/>
      <c r="IB51" s="626"/>
      <c r="IC51" s="626"/>
      <c r="ID51" s="626"/>
      <c r="IE51" s="626"/>
      <c r="IF51" s="626"/>
      <c r="IG51" s="626"/>
      <c r="IH51" s="626"/>
      <c r="II51" s="626"/>
      <c r="IJ51" s="626"/>
      <c r="IK51" s="626"/>
      <c r="IL51" s="626"/>
      <c r="IM51" s="626"/>
      <c r="IN51" s="626"/>
      <c r="IO51" s="626"/>
      <c r="IP51" s="626"/>
      <c r="IQ51" s="626"/>
      <c r="IR51" s="626"/>
      <c r="IS51" s="626"/>
      <c r="IT51" s="626"/>
      <c r="IU51" s="626"/>
      <c r="IV51" s="626"/>
      <c r="IW51" s="626"/>
    </row>
    <row r="52" customFormat="false" ht="20.1" hidden="false" customHeight="true" outlineLevel="0" collapsed="false">
      <c r="A52" s="622"/>
      <c r="B52" s="623" t="s">
        <v>260</v>
      </c>
      <c r="C52" s="624" t="s">
        <v>261</v>
      </c>
      <c r="D52" s="624"/>
      <c r="E52" s="624"/>
      <c r="F52" s="624"/>
      <c r="G52" s="624"/>
      <c r="H52" s="624"/>
      <c r="I52" s="624"/>
      <c r="J52" s="624"/>
      <c r="K52" s="624"/>
      <c r="L52" s="627"/>
      <c r="M52" s="627"/>
      <c r="N52" s="627"/>
      <c r="O52" s="627"/>
      <c r="P52" s="627"/>
      <c r="Q52" s="630" t="n">
        <f aca="false">'Přehled akce'!L37</f>
        <v>0</v>
      </c>
      <c r="R52" s="630"/>
      <c r="S52" s="630"/>
      <c r="T52" s="630"/>
      <c r="U52" s="630"/>
      <c r="V52" s="629"/>
      <c r="W52" s="627"/>
      <c r="X52" s="626"/>
      <c r="Y52" s="626"/>
      <c r="Z52" s="626"/>
      <c r="AA52" s="626"/>
      <c r="AB52" s="626"/>
      <c r="AC52" s="626"/>
      <c r="AD52" s="626"/>
      <c r="AE52" s="626"/>
      <c r="AF52" s="626"/>
      <c r="AG52" s="626"/>
      <c r="AH52" s="626"/>
      <c r="AI52" s="626"/>
      <c r="AJ52" s="626"/>
      <c r="AK52" s="626"/>
      <c r="AL52" s="626"/>
      <c r="AM52" s="626"/>
      <c r="AN52" s="626"/>
      <c r="AO52" s="626"/>
      <c r="AP52" s="626"/>
      <c r="AQ52" s="626"/>
      <c r="AR52" s="626"/>
      <c r="AS52" s="626"/>
      <c r="AT52" s="626"/>
      <c r="AU52" s="626"/>
      <c r="AV52" s="626"/>
      <c r="AW52" s="626"/>
      <c r="AX52" s="626"/>
      <c r="AY52" s="626"/>
      <c r="AZ52" s="626"/>
      <c r="BA52" s="626"/>
      <c r="BB52" s="626"/>
      <c r="BC52" s="626"/>
      <c r="BD52" s="626"/>
      <c r="BE52" s="626"/>
      <c r="BF52" s="626"/>
      <c r="BG52" s="626"/>
      <c r="BH52" s="626"/>
      <c r="BI52" s="626"/>
      <c r="BJ52" s="626"/>
      <c r="BK52" s="626"/>
      <c r="BL52" s="626"/>
      <c r="BM52" s="626"/>
      <c r="BN52" s="626"/>
      <c r="BO52" s="626"/>
      <c r="BP52" s="626"/>
      <c r="BQ52" s="626"/>
      <c r="BR52" s="626"/>
      <c r="BS52" s="626"/>
      <c r="BT52" s="626"/>
      <c r="BU52" s="626"/>
      <c r="BV52" s="626"/>
      <c r="BW52" s="626"/>
      <c r="BX52" s="626"/>
      <c r="BY52" s="626"/>
      <c r="BZ52" s="626"/>
      <c r="CA52" s="626"/>
      <c r="CB52" s="626"/>
      <c r="CC52" s="626"/>
      <c r="CD52" s="626"/>
      <c r="CE52" s="626"/>
      <c r="CF52" s="626"/>
      <c r="CG52" s="626"/>
      <c r="CH52" s="626"/>
      <c r="CI52" s="626"/>
      <c r="CJ52" s="626"/>
      <c r="CK52" s="626"/>
      <c r="CL52" s="626"/>
      <c r="CM52" s="626"/>
      <c r="CN52" s="626"/>
      <c r="CO52" s="626"/>
      <c r="CP52" s="626"/>
      <c r="CQ52" s="626"/>
      <c r="CR52" s="626"/>
      <c r="CS52" s="626"/>
      <c r="CT52" s="626"/>
      <c r="CU52" s="626"/>
      <c r="CV52" s="626"/>
      <c r="CW52" s="626"/>
      <c r="CX52" s="626"/>
      <c r="CY52" s="626"/>
      <c r="CZ52" s="626"/>
      <c r="DA52" s="626"/>
      <c r="DB52" s="626"/>
      <c r="DC52" s="626"/>
      <c r="DD52" s="626"/>
      <c r="DE52" s="626"/>
      <c r="DF52" s="626"/>
      <c r="DG52" s="626"/>
      <c r="DH52" s="626"/>
      <c r="DI52" s="626"/>
      <c r="DJ52" s="626"/>
      <c r="DK52" s="626"/>
      <c r="DL52" s="626"/>
      <c r="DM52" s="626"/>
      <c r="DN52" s="626"/>
      <c r="DO52" s="626"/>
      <c r="DP52" s="626"/>
      <c r="DQ52" s="626"/>
      <c r="DR52" s="626"/>
      <c r="DS52" s="626"/>
      <c r="DT52" s="626"/>
      <c r="DU52" s="626"/>
      <c r="DV52" s="626"/>
      <c r="DW52" s="626"/>
      <c r="DX52" s="626"/>
      <c r="DY52" s="626"/>
      <c r="DZ52" s="626"/>
      <c r="EA52" s="626"/>
      <c r="EB52" s="626"/>
      <c r="EC52" s="626"/>
      <c r="ED52" s="626"/>
      <c r="EE52" s="626"/>
      <c r="EF52" s="626"/>
      <c r="EG52" s="626"/>
      <c r="EH52" s="626"/>
      <c r="EI52" s="626"/>
      <c r="EJ52" s="626"/>
      <c r="EK52" s="626"/>
      <c r="EL52" s="626"/>
      <c r="EM52" s="626"/>
      <c r="EN52" s="626"/>
      <c r="EO52" s="626"/>
      <c r="EP52" s="626"/>
      <c r="EQ52" s="626"/>
      <c r="ER52" s="626"/>
      <c r="ES52" s="626"/>
      <c r="ET52" s="626"/>
      <c r="EU52" s="626"/>
      <c r="EV52" s="626"/>
      <c r="EW52" s="626"/>
      <c r="EX52" s="626"/>
      <c r="EY52" s="626"/>
      <c r="EZ52" s="626"/>
      <c r="FA52" s="626"/>
      <c r="FB52" s="626"/>
      <c r="FC52" s="626"/>
      <c r="FD52" s="626"/>
      <c r="FE52" s="626"/>
      <c r="FF52" s="626"/>
      <c r="FG52" s="626"/>
      <c r="FH52" s="626"/>
      <c r="FI52" s="626"/>
      <c r="FJ52" s="626"/>
      <c r="FK52" s="626"/>
      <c r="FL52" s="626"/>
      <c r="FM52" s="626"/>
      <c r="FN52" s="626"/>
      <c r="FO52" s="626"/>
      <c r="FP52" s="626"/>
      <c r="FQ52" s="626"/>
      <c r="FR52" s="626"/>
      <c r="FS52" s="626"/>
      <c r="FT52" s="626"/>
      <c r="FU52" s="626"/>
      <c r="FV52" s="626"/>
      <c r="FW52" s="626"/>
      <c r="FX52" s="626"/>
      <c r="FY52" s="626"/>
      <c r="FZ52" s="626"/>
      <c r="GA52" s="626"/>
      <c r="GB52" s="626"/>
      <c r="GC52" s="626"/>
      <c r="GD52" s="626"/>
      <c r="GE52" s="626"/>
      <c r="GF52" s="626"/>
      <c r="GG52" s="626"/>
      <c r="GH52" s="626"/>
      <c r="GI52" s="626"/>
      <c r="GJ52" s="626"/>
      <c r="GK52" s="626"/>
      <c r="GL52" s="626"/>
      <c r="GM52" s="626"/>
      <c r="GN52" s="626"/>
      <c r="GO52" s="626"/>
      <c r="GP52" s="626"/>
      <c r="GQ52" s="626"/>
      <c r="GR52" s="626"/>
      <c r="GS52" s="626"/>
      <c r="GT52" s="626"/>
      <c r="GU52" s="626"/>
      <c r="GV52" s="626"/>
      <c r="GW52" s="626"/>
      <c r="GX52" s="626"/>
      <c r="GY52" s="626"/>
      <c r="GZ52" s="626"/>
      <c r="HA52" s="626"/>
      <c r="HB52" s="626"/>
      <c r="HC52" s="626"/>
      <c r="HD52" s="626"/>
      <c r="HE52" s="626"/>
      <c r="HF52" s="626"/>
      <c r="HG52" s="626"/>
      <c r="HH52" s="626"/>
      <c r="HI52" s="626"/>
      <c r="HJ52" s="626"/>
      <c r="HK52" s="626"/>
      <c r="HL52" s="626"/>
      <c r="HM52" s="626"/>
      <c r="HN52" s="626"/>
      <c r="HO52" s="626"/>
      <c r="HP52" s="626"/>
      <c r="HQ52" s="626"/>
      <c r="HR52" s="626"/>
      <c r="HS52" s="626"/>
      <c r="HT52" s="626"/>
      <c r="HU52" s="626"/>
      <c r="HV52" s="626"/>
      <c r="HW52" s="626"/>
      <c r="HX52" s="626"/>
      <c r="HY52" s="626"/>
      <c r="HZ52" s="626"/>
      <c r="IA52" s="626"/>
      <c r="IB52" s="626"/>
      <c r="IC52" s="626"/>
      <c r="ID52" s="626"/>
      <c r="IE52" s="626"/>
      <c r="IF52" s="626"/>
      <c r="IG52" s="626"/>
      <c r="IH52" s="626"/>
      <c r="II52" s="626"/>
      <c r="IJ52" s="626"/>
      <c r="IK52" s="626"/>
      <c r="IL52" s="626"/>
      <c r="IM52" s="626"/>
      <c r="IN52" s="626"/>
      <c r="IO52" s="626"/>
      <c r="IP52" s="626"/>
      <c r="IQ52" s="626"/>
      <c r="IR52" s="626"/>
      <c r="IS52" s="626"/>
      <c r="IT52" s="626"/>
      <c r="IU52" s="626"/>
      <c r="IV52" s="626"/>
      <c r="IW52" s="626"/>
    </row>
    <row r="53" customFormat="false" ht="20.1" hidden="false" customHeight="true" outlineLevel="0" collapsed="false">
      <c r="A53" s="622"/>
      <c r="B53" s="623" t="s">
        <v>262</v>
      </c>
      <c r="C53" s="624" t="s">
        <v>263</v>
      </c>
      <c r="D53" s="624"/>
      <c r="E53" s="624"/>
      <c r="F53" s="624"/>
      <c r="G53" s="624"/>
      <c r="H53" s="624"/>
      <c r="I53" s="624"/>
      <c r="J53" s="624"/>
      <c r="K53" s="624"/>
      <c r="L53" s="624"/>
      <c r="M53" s="624"/>
      <c r="N53" s="624"/>
      <c r="O53" s="624"/>
      <c r="P53" s="624"/>
      <c r="Q53" s="631" t="str">
        <f aca="false">IF(T68=0,"",Q51/T68)</f>
        <v/>
      </c>
      <c r="R53" s="631"/>
      <c r="S53" s="631"/>
      <c r="T53" s="631"/>
      <c r="U53" s="631"/>
      <c r="V53" s="629"/>
      <c r="W53" s="627"/>
      <c r="X53" s="626"/>
      <c r="Y53" s="626"/>
      <c r="Z53" s="626"/>
      <c r="AA53" s="626"/>
      <c r="AB53" s="626"/>
      <c r="AC53" s="626"/>
      <c r="AD53" s="626"/>
      <c r="AE53" s="626"/>
      <c r="AF53" s="626"/>
      <c r="AG53" s="626"/>
      <c r="AH53" s="626"/>
      <c r="AI53" s="626"/>
      <c r="AJ53" s="626"/>
      <c r="AK53" s="626"/>
      <c r="AL53" s="626"/>
      <c r="AM53" s="626"/>
      <c r="AN53" s="626"/>
      <c r="AO53" s="626"/>
      <c r="AP53" s="626"/>
      <c r="AQ53" s="626"/>
      <c r="AR53" s="626"/>
      <c r="AS53" s="626"/>
      <c r="AT53" s="626"/>
      <c r="AU53" s="626"/>
      <c r="AV53" s="626"/>
      <c r="AW53" s="626"/>
      <c r="AX53" s="626"/>
      <c r="AY53" s="626"/>
      <c r="AZ53" s="626"/>
      <c r="BA53" s="626"/>
      <c r="BB53" s="626"/>
      <c r="BC53" s="626"/>
      <c r="BD53" s="626"/>
      <c r="BE53" s="626"/>
      <c r="BF53" s="626"/>
      <c r="BG53" s="626"/>
      <c r="BH53" s="626"/>
      <c r="BI53" s="626"/>
      <c r="BJ53" s="626"/>
      <c r="BK53" s="626"/>
      <c r="BL53" s="626"/>
      <c r="BM53" s="626"/>
      <c r="BN53" s="626"/>
      <c r="BO53" s="626"/>
      <c r="BP53" s="626"/>
      <c r="BQ53" s="626"/>
      <c r="BR53" s="626"/>
      <c r="BS53" s="626"/>
      <c r="BT53" s="626"/>
      <c r="BU53" s="626"/>
      <c r="BV53" s="626"/>
      <c r="BW53" s="626"/>
      <c r="BX53" s="626"/>
      <c r="BY53" s="626"/>
      <c r="BZ53" s="626"/>
      <c r="CA53" s="626"/>
      <c r="CB53" s="626"/>
      <c r="CC53" s="626"/>
      <c r="CD53" s="626"/>
      <c r="CE53" s="626"/>
      <c r="CF53" s="626"/>
      <c r="CG53" s="626"/>
      <c r="CH53" s="626"/>
      <c r="CI53" s="626"/>
      <c r="CJ53" s="626"/>
      <c r="CK53" s="626"/>
      <c r="CL53" s="626"/>
      <c r="CM53" s="626"/>
      <c r="CN53" s="626"/>
      <c r="CO53" s="626"/>
      <c r="CP53" s="626"/>
      <c r="CQ53" s="626"/>
      <c r="CR53" s="626"/>
      <c r="CS53" s="626"/>
      <c r="CT53" s="626"/>
      <c r="CU53" s="626"/>
      <c r="CV53" s="626"/>
      <c r="CW53" s="626"/>
      <c r="CX53" s="626"/>
      <c r="CY53" s="626"/>
      <c r="CZ53" s="626"/>
      <c r="DA53" s="626"/>
      <c r="DB53" s="626"/>
      <c r="DC53" s="626"/>
      <c r="DD53" s="626"/>
      <c r="DE53" s="626"/>
      <c r="DF53" s="626"/>
      <c r="DG53" s="626"/>
      <c r="DH53" s="626"/>
      <c r="DI53" s="626"/>
      <c r="DJ53" s="626"/>
      <c r="DK53" s="626"/>
      <c r="DL53" s="626"/>
      <c r="DM53" s="626"/>
      <c r="DN53" s="626"/>
      <c r="DO53" s="626"/>
      <c r="DP53" s="626"/>
      <c r="DQ53" s="626"/>
      <c r="DR53" s="626"/>
      <c r="DS53" s="626"/>
      <c r="DT53" s="626"/>
      <c r="DU53" s="626"/>
      <c r="DV53" s="626"/>
      <c r="DW53" s="626"/>
      <c r="DX53" s="626"/>
      <c r="DY53" s="626"/>
      <c r="DZ53" s="626"/>
      <c r="EA53" s="626"/>
      <c r="EB53" s="626"/>
      <c r="EC53" s="626"/>
      <c r="ED53" s="626"/>
      <c r="EE53" s="626"/>
      <c r="EF53" s="626"/>
      <c r="EG53" s="626"/>
      <c r="EH53" s="626"/>
      <c r="EI53" s="626"/>
      <c r="EJ53" s="626"/>
      <c r="EK53" s="626"/>
      <c r="EL53" s="626"/>
      <c r="EM53" s="626"/>
      <c r="EN53" s="626"/>
      <c r="EO53" s="626"/>
      <c r="EP53" s="626"/>
      <c r="EQ53" s="626"/>
      <c r="ER53" s="626"/>
      <c r="ES53" s="626"/>
      <c r="ET53" s="626"/>
      <c r="EU53" s="626"/>
      <c r="EV53" s="626"/>
      <c r="EW53" s="626"/>
      <c r="EX53" s="626"/>
      <c r="EY53" s="626"/>
      <c r="EZ53" s="626"/>
      <c r="FA53" s="626"/>
      <c r="FB53" s="626"/>
      <c r="FC53" s="626"/>
      <c r="FD53" s="626"/>
      <c r="FE53" s="626"/>
      <c r="FF53" s="626"/>
      <c r="FG53" s="626"/>
      <c r="FH53" s="626"/>
      <c r="FI53" s="626"/>
      <c r="FJ53" s="626"/>
      <c r="FK53" s="626"/>
      <c r="FL53" s="626"/>
      <c r="FM53" s="626"/>
      <c r="FN53" s="626"/>
      <c r="FO53" s="626"/>
      <c r="FP53" s="626"/>
      <c r="FQ53" s="626"/>
      <c r="FR53" s="626"/>
      <c r="FS53" s="626"/>
      <c r="FT53" s="626"/>
      <c r="FU53" s="626"/>
      <c r="FV53" s="626"/>
      <c r="FW53" s="626"/>
      <c r="FX53" s="626"/>
      <c r="FY53" s="626"/>
      <c r="FZ53" s="626"/>
      <c r="GA53" s="626"/>
      <c r="GB53" s="626"/>
      <c r="GC53" s="626"/>
      <c r="GD53" s="626"/>
      <c r="GE53" s="626"/>
      <c r="GF53" s="626"/>
      <c r="GG53" s="626"/>
      <c r="GH53" s="626"/>
      <c r="GI53" s="626"/>
      <c r="GJ53" s="626"/>
      <c r="GK53" s="626"/>
      <c r="GL53" s="626"/>
      <c r="GM53" s="626"/>
      <c r="GN53" s="626"/>
      <c r="GO53" s="626"/>
      <c r="GP53" s="626"/>
      <c r="GQ53" s="626"/>
      <c r="GR53" s="626"/>
      <c r="GS53" s="626"/>
      <c r="GT53" s="626"/>
      <c r="GU53" s="626"/>
      <c r="GV53" s="626"/>
      <c r="GW53" s="626"/>
      <c r="GX53" s="626"/>
      <c r="GY53" s="626"/>
      <c r="GZ53" s="626"/>
      <c r="HA53" s="626"/>
      <c r="HB53" s="626"/>
      <c r="HC53" s="626"/>
      <c r="HD53" s="626"/>
      <c r="HE53" s="626"/>
      <c r="HF53" s="626"/>
      <c r="HG53" s="626"/>
      <c r="HH53" s="626"/>
      <c r="HI53" s="626"/>
      <c r="HJ53" s="626"/>
      <c r="HK53" s="626"/>
      <c r="HL53" s="626"/>
      <c r="HM53" s="626"/>
      <c r="HN53" s="626"/>
      <c r="HO53" s="626"/>
      <c r="HP53" s="626"/>
      <c r="HQ53" s="626"/>
      <c r="HR53" s="626"/>
      <c r="HS53" s="626"/>
      <c r="HT53" s="626"/>
      <c r="HU53" s="626"/>
      <c r="HV53" s="626"/>
      <c r="HW53" s="626"/>
      <c r="HX53" s="626"/>
      <c r="HY53" s="626"/>
      <c r="HZ53" s="626"/>
      <c r="IA53" s="626"/>
      <c r="IB53" s="626"/>
      <c r="IC53" s="626"/>
      <c r="ID53" s="626"/>
      <c r="IE53" s="626"/>
      <c r="IF53" s="626"/>
      <c r="IG53" s="626"/>
      <c r="IH53" s="626"/>
      <c r="II53" s="626"/>
      <c r="IJ53" s="626"/>
      <c r="IK53" s="626"/>
      <c r="IL53" s="626"/>
      <c r="IM53" s="626"/>
      <c r="IN53" s="626"/>
      <c r="IO53" s="626"/>
      <c r="IP53" s="626"/>
      <c r="IQ53" s="626"/>
      <c r="IR53" s="626"/>
      <c r="IS53" s="626"/>
      <c r="IT53" s="626"/>
      <c r="IU53" s="626"/>
      <c r="IV53" s="626"/>
      <c r="IW53" s="626"/>
    </row>
    <row r="54" customFormat="false" ht="15" hidden="false" customHeight="true" outlineLevel="0" collapsed="false"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1"/>
      <c r="M54" s="611"/>
      <c r="N54" s="611"/>
      <c r="O54" s="611"/>
      <c r="P54" s="611"/>
      <c r="Q54" s="611"/>
      <c r="R54" s="611"/>
      <c r="S54" s="612"/>
      <c r="T54" s="612"/>
      <c r="U54" s="612"/>
      <c r="V54" s="612"/>
    </row>
    <row r="55" customFormat="false" ht="15" hidden="false" customHeight="false" outlineLevel="0" collapsed="false">
      <c r="A55" s="564" t="s">
        <v>264</v>
      </c>
      <c r="B55" s="564"/>
      <c r="C55" s="564"/>
      <c r="D55" s="564"/>
      <c r="E55" s="564"/>
      <c r="F55" s="564"/>
      <c r="G55" s="564"/>
      <c r="H55" s="564"/>
      <c r="I55" s="564"/>
      <c r="J55" s="564"/>
      <c r="K55" s="564"/>
      <c r="L55" s="564"/>
      <c r="M55" s="564"/>
      <c r="N55" s="564"/>
      <c r="O55" s="564"/>
      <c r="P55" s="564"/>
      <c r="Q55" s="564"/>
      <c r="R55" s="564"/>
      <c r="S55" s="564"/>
      <c r="T55" s="564"/>
      <c r="U55" s="564"/>
      <c r="V55" s="564"/>
      <c r="W55" s="564"/>
    </row>
    <row r="56" customFormat="false" ht="6.75" hidden="false" customHeight="true" outlineLevel="0" collapsed="false"/>
    <row r="57" customFormat="false" ht="15" hidden="false" customHeight="true" outlineLevel="0" collapsed="false">
      <c r="A57" s="626"/>
      <c r="B57" s="632" t="s">
        <v>265</v>
      </c>
      <c r="C57" s="632"/>
      <c r="D57" s="632"/>
      <c r="E57" s="632"/>
      <c r="F57" s="632"/>
      <c r="G57" s="632"/>
      <c r="H57" s="632"/>
      <c r="I57" s="632"/>
      <c r="J57" s="632"/>
      <c r="K57" s="632"/>
      <c r="L57" s="632"/>
      <c r="M57" s="633" t="s">
        <v>266</v>
      </c>
      <c r="N57" s="633"/>
      <c r="O57" s="633"/>
      <c r="P57" s="633"/>
      <c r="Q57" s="633"/>
      <c r="R57" s="633"/>
      <c r="S57" s="633"/>
      <c r="T57" s="633"/>
      <c r="U57" s="633"/>
      <c r="V57" s="633"/>
      <c r="W57" s="633"/>
      <c r="X57" s="626"/>
      <c r="Y57" s="626"/>
      <c r="Z57" s="626"/>
      <c r="AA57" s="626"/>
      <c r="AB57" s="626"/>
      <c r="AC57" s="626"/>
      <c r="AD57" s="626"/>
      <c r="AE57" s="626"/>
      <c r="AF57" s="626"/>
      <c r="AG57" s="626"/>
      <c r="AH57" s="626"/>
      <c r="AI57" s="626"/>
      <c r="AJ57" s="626"/>
      <c r="AK57" s="626"/>
      <c r="AL57" s="626"/>
      <c r="AM57" s="626"/>
      <c r="AN57" s="626"/>
      <c r="AO57" s="626"/>
      <c r="AP57" s="626"/>
      <c r="AQ57" s="626"/>
      <c r="AR57" s="626"/>
      <c r="AS57" s="626"/>
      <c r="AT57" s="626"/>
      <c r="AU57" s="626"/>
      <c r="AV57" s="626"/>
      <c r="AW57" s="626"/>
      <c r="AX57" s="626"/>
      <c r="AY57" s="626"/>
      <c r="AZ57" s="626"/>
      <c r="BA57" s="626"/>
      <c r="BB57" s="626"/>
      <c r="BC57" s="626"/>
      <c r="BD57" s="626"/>
      <c r="BE57" s="626"/>
      <c r="BF57" s="626"/>
      <c r="BG57" s="626"/>
      <c r="BH57" s="626"/>
      <c r="BI57" s="626"/>
      <c r="BJ57" s="626"/>
      <c r="BK57" s="626"/>
      <c r="BL57" s="626"/>
      <c r="BM57" s="626"/>
      <c r="BN57" s="626"/>
      <c r="BO57" s="626"/>
      <c r="BP57" s="626"/>
      <c r="BQ57" s="626"/>
      <c r="BR57" s="626"/>
      <c r="BS57" s="626"/>
      <c r="BT57" s="626"/>
      <c r="BU57" s="626"/>
      <c r="BV57" s="626"/>
      <c r="BW57" s="626"/>
      <c r="BX57" s="626"/>
      <c r="BY57" s="626"/>
      <c r="BZ57" s="626"/>
      <c r="CA57" s="626"/>
      <c r="CB57" s="626"/>
      <c r="CC57" s="626"/>
      <c r="CD57" s="626"/>
      <c r="CE57" s="626"/>
      <c r="CF57" s="626"/>
      <c r="CG57" s="626"/>
      <c r="CH57" s="626"/>
      <c r="CI57" s="626"/>
      <c r="CJ57" s="626"/>
      <c r="CK57" s="626"/>
      <c r="CL57" s="626"/>
      <c r="CM57" s="626"/>
      <c r="CN57" s="626"/>
      <c r="CO57" s="626"/>
      <c r="CP57" s="626"/>
      <c r="CQ57" s="626"/>
      <c r="CR57" s="626"/>
      <c r="CS57" s="626"/>
      <c r="CT57" s="626"/>
      <c r="CU57" s="626"/>
      <c r="CV57" s="626"/>
      <c r="CW57" s="626"/>
      <c r="CX57" s="626"/>
      <c r="CY57" s="626"/>
      <c r="CZ57" s="626"/>
      <c r="DA57" s="626"/>
      <c r="DB57" s="626"/>
      <c r="DC57" s="626"/>
      <c r="DD57" s="626"/>
      <c r="DE57" s="626"/>
      <c r="DF57" s="626"/>
      <c r="DG57" s="626"/>
      <c r="DH57" s="626"/>
      <c r="DI57" s="626"/>
      <c r="DJ57" s="626"/>
      <c r="DK57" s="626"/>
      <c r="DL57" s="626"/>
      <c r="DM57" s="626"/>
      <c r="DN57" s="626"/>
      <c r="DO57" s="626"/>
      <c r="DP57" s="626"/>
      <c r="DQ57" s="626"/>
      <c r="DR57" s="626"/>
      <c r="DS57" s="626"/>
      <c r="DT57" s="626"/>
      <c r="DU57" s="626"/>
      <c r="DV57" s="626"/>
      <c r="DW57" s="626"/>
      <c r="DX57" s="626"/>
      <c r="DY57" s="626"/>
      <c r="DZ57" s="626"/>
      <c r="EA57" s="626"/>
      <c r="EB57" s="626"/>
      <c r="EC57" s="626"/>
      <c r="ED57" s="626"/>
      <c r="EE57" s="626"/>
      <c r="EF57" s="626"/>
      <c r="EG57" s="626"/>
      <c r="EH57" s="626"/>
      <c r="EI57" s="626"/>
      <c r="EJ57" s="626"/>
      <c r="EK57" s="626"/>
      <c r="EL57" s="626"/>
      <c r="EM57" s="626"/>
      <c r="EN57" s="626"/>
      <c r="EO57" s="626"/>
      <c r="EP57" s="626"/>
      <c r="EQ57" s="626"/>
      <c r="ER57" s="626"/>
      <c r="ES57" s="626"/>
      <c r="ET57" s="626"/>
      <c r="EU57" s="626"/>
      <c r="EV57" s="626"/>
      <c r="EW57" s="626"/>
      <c r="EX57" s="626"/>
      <c r="EY57" s="626"/>
      <c r="EZ57" s="626"/>
      <c r="FA57" s="626"/>
      <c r="FB57" s="626"/>
      <c r="FC57" s="626"/>
      <c r="FD57" s="626"/>
      <c r="FE57" s="626"/>
      <c r="FF57" s="626"/>
      <c r="FG57" s="626"/>
      <c r="FH57" s="626"/>
      <c r="FI57" s="626"/>
      <c r="FJ57" s="626"/>
      <c r="FK57" s="626"/>
      <c r="FL57" s="626"/>
      <c r="FM57" s="626"/>
      <c r="FN57" s="626"/>
      <c r="FO57" s="626"/>
      <c r="FP57" s="626"/>
      <c r="FQ57" s="626"/>
      <c r="FR57" s="626"/>
      <c r="FS57" s="626"/>
      <c r="FT57" s="626"/>
      <c r="FU57" s="626"/>
      <c r="FV57" s="626"/>
      <c r="FW57" s="626"/>
      <c r="FX57" s="626"/>
      <c r="FY57" s="626"/>
      <c r="FZ57" s="626"/>
      <c r="GA57" s="626"/>
      <c r="GB57" s="626"/>
      <c r="GC57" s="626"/>
      <c r="GD57" s="626"/>
      <c r="GE57" s="626"/>
      <c r="GF57" s="626"/>
      <c r="GG57" s="626"/>
      <c r="GH57" s="626"/>
      <c r="GI57" s="626"/>
      <c r="GJ57" s="626"/>
      <c r="GK57" s="626"/>
      <c r="GL57" s="626"/>
      <c r="GM57" s="626"/>
      <c r="GN57" s="626"/>
      <c r="GO57" s="626"/>
      <c r="GP57" s="626"/>
      <c r="GQ57" s="626"/>
      <c r="GR57" s="626"/>
      <c r="GS57" s="626"/>
      <c r="GT57" s="626"/>
      <c r="GU57" s="626"/>
      <c r="GV57" s="626"/>
      <c r="GW57" s="626"/>
      <c r="GX57" s="626"/>
      <c r="GY57" s="626"/>
      <c r="GZ57" s="626"/>
      <c r="HA57" s="626"/>
      <c r="HB57" s="626"/>
      <c r="HC57" s="626"/>
      <c r="HD57" s="626"/>
      <c r="HE57" s="626"/>
      <c r="HF57" s="626"/>
      <c r="HG57" s="626"/>
      <c r="HH57" s="626"/>
      <c r="HI57" s="626"/>
      <c r="HJ57" s="626"/>
      <c r="HK57" s="626"/>
      <c r="HL57" s="626"/>
      <c r="HM57" s="626"/>
      <c r="HN57" s="626"/>
      <c r="HO57" s="626"/>
      <c r="HP57" s="626"/>
      <c r="HQ57" s="626"/>
      <c r="HR57" s="626"/>
      <c r="HS57" s="626"/>
      <c r="HT57" s="626"/>
      <c r="HU57" s="626"/>
      <c r="HV57" s="626"/>
      <c r="HW57" s="626"/>
      <c r="HX57" s="626"/>
      <c r="HY57" s="626"/>
      <c r="HZ57" s="626"/>
      <c r="IA57" s="626"/>
      <c r="IB57" s="626"/>
      <c r="IC57" s="626"/>
      <c r="ID57" s="626"/>
      <c r="IE57" s="626"/>
      <c r="IF57" s="626"/>
      <c r="IG57" s="626"/>
      <c r="IH57" s="626"/>
      <c r="II57" s="626"/>
      <c r="IJ57" s="626"/>
      <c r="IK57" s="626"/>
      <c r="IL57" s="626"/>
      <c r="IM57" s="626"/>
      <c r="IN57" s="626"/>
      <c r="IO57" s="626"/>
      <c r="IP57" s="626"/>
      <c r="IQ57" s="626"/>
      <c r="IR57" s="626"/>
      <c r="IS57" s="626"/>
      <c r="IT57" s="626"/>
      <c r="IU57" s="626"/>
      <c r="IV57" s="626"/>
      <c r="IW57" s="626"/>
    </row>
    <row r="58" customFormat="false" ht="13.5" hidden="false" customHeight="true" outlineLevel="0" collapsed="false">
      <c r="B58" s="634"/>
      <c r="C58" s="634"/>
      <c r="D58" s="634"/>
      <c r="E58" s="634"/>
      <c r="F58" s="634"/>
      <c r="G58" s="634"/>
      <c r="H58" s="634"/>
      <c r="I58" s="635" t="s">
        <v>109</v>
      </c>
      <c r="J58" s="635"/>
      <c r="K58" s="635"/>
      <c r="L58" s="635"/>
      <c r="M58" s="636"/>
      <c r="N58" s="636"/>
      <c r="O58" s="636"/>
      <c r="P58" s="636"/>
      <c r="Q58" s="636"/>
      <c r="R58" s="636"/>
      <c r="S58" s="636"/>
      <c r="T58" s="637" t="s">
        <v>109</v>
      </c>
      <c r="U58" s="637"/>
      <c r="V58" s="637"/>
      <c r="W58" s="637"/>
    </row>
    <row r="59" customFormat="false" ht="18" hidden="false" customHeight="true" outlineLevel="0" collapsed="false">
      <c r="B59" s="638" t="s">
        <v>267</v>
      </c>
      <c r="C59" s="638"/>
      <c r="D59" s="638"/>
      <c r="E59" s="638"/>
      <c r="F59" s="638"/>
      <c r="G59" s="638"/>
      <c r="H59" s="638"/>
      <c r="I59" s="639" t="n">
        <f aca="false">'Přehled akce'!L41</f>
        <v>0</v>
      </c>
      <c r="J59" s="639"/>
      <c r="K59" s="639"/>
      <c r="L59" s="639"/>
      <c r="M59" s="640" t="s">
        <v>268</v>
      </c>
      <c r="N59" s="640"/>
      <c r="O59" s="640"/>
      <c r="P59" s="640"/>
      <c r="Q59" s="640"/>
      <c r="R59" s="640"/>
      <c r="S59" s="640"/>
      <c r="T59" s="641" t="n">
        <f aca="false">'Přehled akce'!L27+'Přehled akce'!L30+'Přehled akce'!L31</f>
        <v>0</v>
      </c>
      <c r="U59" s="641"/>
      <c r="V59" s="641"/>
      <c r="W59" s="641"/>
    </row>
    <row r="60" customFormat="false" ht="18" hidden="false" customHeight="true" outlineLevel="0" collapsed="false">
      <c r="B60" s="642" t="s">
        <v>269</v>
      </c>
      <c r="C60" s="642"/>
      <c r="D60" s="642"/>
      <c r="E60" s="642"/>
      <c r="F60" s="642"/>
      <c r="G60" s="642"/>
      <c r="H60" s="642"/>
      <c r="I60" s="643" t="n">
        <f aca="false">'Přehled akce'!L43</f>
        <v>0</v>
      </c>
      <c r="J60" s="643"/>
      <c r="K60" s="643"/>
      <c r="L60" s="643"/>
      <c r="M60" s="644" t="s">
        <v>270</v>
      </c>
      <c r="N60" s="644"/>
      <c r="O60" s="644"/>
      <c r="P60" s="644"/>
      <c r="Q60" s="644"/>
      <c r="R60" s="644"/>
      <c r="S60" s="644"/>
      <c r="T60" s="645" t="n">
        <f aca="false">'Přehled akce'!L28+'Přehled akce'!L29</f>
        <v>0</v>
      </c>
      <c r="U60" s="645"/>
      <c r="V60" s="645"/>
      <c r="W60" s="645"/>
    </row>
    <row r="61" customFormat="false" ht="18" hidden="false" customHeight="true" outlineLevel="0" collapsed="false">
      <c r="B61" s="642"/>
      <c r="C61" s="642"/>
      <c r="D61" s="642"/>
      <c r="E61" s="642"/>
      <c r="F61" s="642"/>
      <c r="G61" s="642"/>
      <c r="H61" s="642"/>
      <c r="I61" s="646"/>
      <c r="J61" s="646"/>
      <c r="K61" s="646"/>
      <c r="L61" s="646"/>
      <c r="M61" s="644" t="s">
        <v>271</v>
      </c>
      <c r="N61" s="644"/>
      <c r="O61" s="644"/>
      <c r="P61" s="644"/>
      <c r="Q61" s="644"/>
      <c r="R61" s="644"/>
      <c r="S61" s="644"/>
      <c r="T61" s="645" t="n">
        <f aca="false">'Přehled akce'!L23+'Přehled akce'!L25+'Přehled akce'!L24</f>
        <v>0</v>
      </c>
      <c r="U61" s="645"/>
      <c r="V61" s="645"/>
      <c r="W61" s="645"/>
    </row>
    <row r="62" customFormat="false" ht="18" hidden="false" customHeight="true" outlineLevel="0" collapsed="false">
      <c r="B62" s="647" t="s">
        <v>272</v>
      </c>
      <c r="C62" s="647"/>
      <c r="D62" s="647"/>
      <c r="E62" s="647"/>
      <c r="F62" s="647"/>
      <c r="G62" s="647"/>
      <c r="H62" s="647"/>
      <c r="I62" s="643" t="n">
        <f aca="false">Q51</f>
        <v>0</v>
      </c>
      <c r="J62" s="643"/>
      <c r="K62" s="643"/>
      <c r="L62" s="643"/>
      <c r="M62" s="644" t="s">
        <v>273</v>
      </c>
      <c r="N62" s="644"/>
      <c r="O62" s="644"/>
      <c r="P62" s="644"/>
      <c r="Q62" s="644"/>
      <c r="R62" s="644"/>
      <c r="S62" s="644"/>
      <c r="T62" s="645" t="n">
        <f aca="false">'Přehled akce'!L21</f>
        <v>0</v>
      </c>
      <c r="U62" s="645"/>
      <c r="V62" s="645"/>
      <c r="W62" s="645"/>
    </row>
    <row r="63" customFormat="false" ht="18" hidden="false" customHeight="true" outlineLevel="0" collapsed="false">
      <c r="B63" s="647" t="s">
        <v>274</v>
      </c>
      <c r="C63" s="647"/>
      <c r="D63" s="647"/>
      <c r="E63" s="647"/>
      <c r="F63" s="647"/>
      <c r="G63" s="647"/>
      <c r="H63" s="647"/>
      <c r="I63" s="643" t="n">
        <f aca="false">-('Přehled akce'!L54)</f>
        <v>-0</v>
      </c>
      <c r="J63" s="643"/>
      <c r="K63" s="643"/>
      <c r="L63" s="643"/>
      <c r="M63" s="644" t="s">
        <v>275</v>
      </c>
      <c r="N63" s="644"/>
      <c r="O63" s="644"/>
      <c r="P63" s="644"/>
      <c r="Q63" s="644"/>
      <c r="R63" s="644"/>
      <c r="S63" s="644"/>
      <c r="T63" s="648" t="n">
        <f aca="false">'Přehled akce'!L22</f>
        <v>0</v>
      </c>
      <c r="U63" s="648"/>
      <c r="V63" s="648"/>
      <c r="W63" s="648"/>
    </row>
    <row r="64" customFormat="false" ht="18" hidden="false" customHeight="true" outlineLevel="0" collapsed="false">
      <c r="B64" s="642"/>
      <c r="C64" s="642"/>
      <c r="D64" s="642"/>
      <c r="E64" s="642"/>
      <c r="F64" s="642"/>
      <c r="G64" s="642"/>
      <c r="H64" s="642"/>
      <c r="I64" s="646"/>
      <c r="J64" s="646"/>
      <c r="K64" s="646"/>
      <c r="L64" s="646"/>
      <c r="M64" s="644" t="s">
        <v>276</v>
      </c>
      <c r="N64" s="644"/>
      <c r="O64" s="644"/>
      <c r="P64" s="644"/>
      <c r="Q64" s="644"/>
      <c r="R64" s="644"/>
      <c r="S64" s="644"/>
      <c r="T64" s="648" t="n">
        <f aca="false">'Přehled akce'!L34+'Přehled akce'!L32</f>
        <v>0</v>
      </c>
      <c r="U64" s="648"/>
      <c r="V64" s="648"/>
      <c r="W64" s="648"/>
    </row>
    <row r="65" customFormat="false" ht="18" hidden="false" customHeight="true" outlineLevel="0" collapsed="false">
      <c r="B65" s="642"/>
      <c r="C65" s="642"/>
      <c r="D65" s="642"/>
      <c r="E65" s="642"/>
      <c r="F65" s="642"/>
      <c r="G65" s="642"/>
      <c r="H65" s="642"/>
      <c r="I65" s="646"/>
      <c r="J65" s="646"/>
      <c r="K65" s="646"/>
      <c r="L65" s="646"/>
      <c r="M65" s="644" t="s">
        <v>277</v>
      </c>
      <c r="N65" s="644"/>
      <c r="O65" s="644"/>
      <c r="P65" s="644"/>
      <c r="Q65" s="644"/>
      <c r="R65" s="644"/>
      <c r="S65" s="644"/>
      <c r="T65" s="649" t="n">
        <f aca="false">'Přehled akce'!L26+'Přehled akce'!L33+'Přehled akce'!L35+'Přehled akce'!L36</f>
        <v>0</v>
      </c>
      <c r="U65" s="649"/>
      <c r="V65" s="649"/>
      <c r="W65" s="649"/>
    </row>
    <row r="66" customFormat="false" ht="18" hidden="false" customHeight="true" outlineLevel="0" collapsed="false">
      <c r="B66" s="642"/>
      <c r="C66" s="642"/>
      <c r="D66" s="642"/>
      <c r="E66" s="642"/>
      <c r="F66" s="642"/>
      <c r="G66" s="642"/>
      <c r="H66" s="642"/>
      <c r="I66" s="646"/>
      <c r="J66" s="646"/>
      <c r="K66" s="646"/>
      <c r="L66" s="646"/>
      <c r="M66" s="650"/>
      <c r="N66" s="650"/>
      <c r="O66" s="650"/>
      <c r="P66" s="650"/>
      <c r="Q66" s="650"/>
      <c r="R66" s="650"/>
      <c r="S66" s="650"/>
      <c r="T66" s="651"/>
      <c r="U66" s="651"/>
      <c r="V66" s="651"/>
      <c r="W66" s="651"/>
    </row>
    <row r="67" customFormat="false" ht="18" hidden="false" customHeight="true" outlineLevel="0" collapsed="false">
      <c r="B67" s="652"/>
      <c r="C67" s="652"/>
      <c r="D67" s="652"/>
      <c r="E67" s="652"/>
      <c r="F67" s="652"/>
      <c r="G67" s="652"/>
      <c r="H67" s="652"/>
      <c r="I67" s="653"/>
      <c r="J67" s="653"/>
      <c r="K67" s="653"/>
      <c r="L67" s="653"/>
      <c r="M67" s="654"/>
      <c r="N67" s="654"/>
      <c r="O67" s="654"/>
      <c r="P67" s="654"/>
      <c r="Q67" s="654"/>
      <c r="R67" s="654"/>
      <c r="S67" s="654"/>
      <c r="T67" s="655"/>
      <c r="U67" s="655"/>
      <c r="V67" s="655"/>
      <c r="W67" s="655"/>
    </row>
    <row r="68" customFormat="false" ht="18" hidden="false" customHeight="true" outlineLevel="0" collapsed="false">
      <c r="A68" s="656"/>
      <c r="B68" s="657" t="s">
        <v>216</v>
      </c>
      <c r="C68" s="657"/>
      <c r="D68" s="657"/>
      <c r="E68" s="657"/>
      <c r="F68" s="657"/>
      <c r="G68" s="657"/>
      <c r="H68" s="657"/>
      <c r="I68" s="658" t="n">
        <f aca="false">SUM(I59:L67)</f>
        <v>0</v>
      </c>
      <c r="J68" s="658"/>
      <c r="K68" s="658"/>
      <c r="L68" s="658"/>
      <c r="M68" s="659" t="s">
        <v>216</v>
      </c>
      <c r="N68" s="659"/>
      <c r="O68" s="659"/>
      <c r="P68" s="659"/>
      <c r="Q68" s="659"/>
      <c r="R68" s="659"/>
      <c r="S68" s="659"/>
      <c r="T68" s="658" t="n">
        <f aca="false">SUM(T59:W67)</f>
        <v>0</v>
      </c>
      <c r="U68" s="658"/>
      <c r="V68" s="658"/>
      <c r="W68" s="658"/>
      <c r="X68" s="656"/>
      <c r="Y68" s="656"/>
      <c r="Z68" s="656"/>
      <c r="AA68" s="656"/>
      <c r="AB68" s="656"/>
      <c r="AC68" s="656"/>
      <c r="AD68" s="656"/>
      <c r="AE68" s="656"/>
      <c r="AF68" s="656"/>
      <c r="AG68" s="656"/>
      <c r="AH68" s="656"/>
      <c r="AI68" s="656"/>
      <c r="AJ68" s="656"/>
      <c r="AK68" s="656"/>
      <c r="AL68" s="656"/>
      <c r="AM68" s="656"/>
      <c r="AN68" s="656"/>
      <c r="AO68" s="656"/>
      <c r="AP68" s="656"/>
      <c r="AQ68" s="656"/>
      <c r="AR68" s="656"/>
      <c r="AS68" s="656"/>
      <c r="AT68" s="656"/>
      <c r="AU68" s="656"/>
      <c r="AV68" s="656"/>
      <c r="AW68" s="656"/>
      <c r="AX68" s="656"/>
      <c r="AY68" s="656"/>
      <c r="AZ68" s="656"/>
      <c r="BA68" s="656"/>
      <c r="BB68" s="656"/>
      <c r="BC68" s="656"/>
      <c r="BD68" s="656"/>
      <c r="BE68" s="656"/>
      <c r="BF68" s="656"/>
      <c r="BG68" s="656"/>
      <c r="BH68" s="656"/>
      <c r="BI68" s="656"/>
      <c r="BJ68" s="656"/>
      <c r="BK68" s="656"/>
      <c r="BL68" s="656"/>
      <c r="BM68" s="656"/>
      <c r="BN68" s="656"/>
      <c r="BO68" s="656"/>
      <c r="BP68" s="656"/>
      <c r="BQ68" s="656"/>
      <c r="BR68" s="656"/>
      <c r="BS68" s="656"/>
      <c r="BT68" s="656"/>
      <c r="BU68" s="656"/>
      <c r="BV68" s="656"/>
      <c r="BW68" s="656"/>
      <c r="BX68" s="656"/>
      <c r="BY68" s="656"/>
      <c r="BZ68" s="656"/>
      <c r="CA68" s="656"/>
      <c r="CB68" s="656"/>
      <c r="CC68" s="656"/>
      <c r="CD68" s="656"/>
      <c r="CE68" s="656"/>
      <c r="CF68" s="656"/>
      <c r="CG68" s="656"/>
      <c r="CH68" s="656"/>
      <c r="CI68" s="656"/>
      <c r="CJ68" s="656"/>
      <c r="CK68" s="656"/>
      <c r="CL68" s="656"/>
      <c r="CM68" s="656"/>
      <c r="CN68" s="656"/>
      <c r="CO68" s="656"/>
      <c r="CP68" s="656"/>
      <c r="CQ68" s="656"/>
      <c r="CR68" s="656"/>
      <c r="CS68" s="656"/>
      <c r="CT68" s="656"/>
      <c r="CU68" s="656"/>
      <c r="CV68" s="656"/>
      <c r="CW68" s="656"/>
      <c r="CX68" s="656"/>
      <c r="CY68" s="656"/>
      <c r="CZ68" s="656"/>
      <c r="DA68" s="656"/>
      <c r="DB68" s="656"/>
      <c r="DC68" s="656"/>
      <c r="DD68" s="656"/>
      <c r="DE68" s="656"/>
      <c r="DF68" s="656"/>
      <c r="DG68" s="656"/>
      <c r="DH68" s="656"/>
      <c r="DI68" s="656"/>
      <c r="DJ68" s="656"/>
      <c r="DK68" s="656"/>
      <c r="DL68" s="656"/>
      <c r="DM68" s="656"/>
      <c r="DN68" s="656"/>
      <c r="DO68" s="656"/>
      <c r="DP68" s="656"/>
      <c r="DQ68" s="656"/>
      <c r="DR68" s="656"/>
      <c r="DS68" s="656"/>
      <c r="DT68" s="656"/>
      <c r="DU68" s="656"/>
      <c r="DV68" s="656"/>
      <c r="DW68" s="656"/>
      <c r="DX68" s="656"/>
      <c r="DY68" s="656"/>
      <c r="DZ68" s="656"/>
      <c r="EA68" s="656"/>
      <c r="EB68" s="656"/>
      <c r="EC68" s="656"/>
      <c r="ED68" s="656"/>
      <c r="EE68" s="656"/>
      <c r="EF68" s="656"/>
      <c r="EG68" s="656"/>
      <c r="EH68" s="656"/>
      <c r="EI68" s="656"/>
      <c r="EJ68" s="656"/>
      <c r="EK68" s="656"/>
      <c r="EL68" s="656"/>
      <c r="EM68" s="656"/>
      <c r="EN68" s="656"/>
      <c r="EO68" s="656"/>
      <c r="EP68" s="656"/>
      <c r="EQ68" s="656"/>
      <c r="ER68" s="656"/>
      <c r="ES68" s="656"/>
      <c r="ET68" s="656"/>
      <c r="EU68" s="656"/>
      <c r="EV68" s="656"/>
      <c r="EW68" s="656"/>
      <c r="EX68" s="656"/>
      <c r="EY68" s="656"/>
      <c r="EZ68" s="656"/>
      <c r="FA68" s="656"/>
      <c r="FB68" s="656"/>
      <c r="FC68" s="656"/>
      <c r="FD68" s="656"/>
      <c r="FE68" s="656"/>
      <c r="FF68" s="656"/>
      <c r="FG68" s="656"/>
      <c r="FH68" s="656"/>
      <c r="FI68" s="656"/>
      <c r="FJ68" s="656"/>
      <c r="FK68" s="656"/>
      <c r="FL68" s="656"/>
      <c r="FM68" s="656"/>
      <c r="FN68" s="656"/>
      <c r="FO68" s="656"/>
      <c r="FP68" s="656"/>
      <c r="FQ68" s="656"/>
      <c r="FR68" s="656"/>
      <c r="FS68" s="656"/>
      <c r="FT68" s="656"/>
      <c r="FU68" s="656"/>
      <c r="FV68" s="656"/>
      <c r="FW68" s="656"/>
      <c r="FX68" s="656"/>
      <c r="FY68" s="656"/>
      <c r="FZ68" s="656"/>
      <c r="GA68" s="656"/>
      <c r="GB68" s="656"/>
      <c r="GC68" s="656"/>
      <c r="GD68" s="656"/>
      <c r="GE68" s="656"/>
      <c r="GF68" s="656"/>
      <c r="GG68" s="656"/>
      <c r="GH68" s="656"/>
      <c r="GI68" s="656"/>
      <c r="GJ68" s="656"/>
      <c r="GK68" s="656"/>
      <c r="GL68" s="656"/>
      <c r="GM68" s="656"/>
      <c r="GN68" s="656"/>
      <c r="GO68" s="656"/>
      <c r="GP68" s="656"/>
      <c r="GQ68" s="656"/>
      <c r="GR68" s="656"/>
      <c r="GS68" s="656"/>
      <c r="GT68" s="656"/>
      <c r="GU68" s="656"/>
      <c r="GV68" s="656"/>
      <c r="GW68" s="656"/>
      <c r="GX68" s="656"/>
      <c r="GY68" s="656"/>
      <c r="GZ68" s="656"/>
      <c r="HA68" s="656"/>
      <c r="HB68" s="656"/>
      <c r="HC68" s="656"/>
      <c r="HD68" s="656"/>
      <c r="HE68" s="656"/>
      <c r="HF68" s="656"/>
      <c r="HG68" s="656"/>
      <c r="HH68" s="656"/>
      <c r="HI68" s="656"/>
      <c r="HJ68" s="656"/>
      <c r="HK68" s="656"/>
      <c r="HL68" s="656"/>
      <c r="HM68" s="656"/>
      <c r="HN68" s="656"/>
      <c r="HO68" s="656"/>
      <c r="HP68" s="656"/>
      <c r="HQ68" s="656"/>
      <c r="HR68" s="656"/>
      <c r="HS68" s="656"/>
      <c r="HT68" s="656"/>
      <c r="HU68" s="656"/>
      <c r="HV68" s="656"/>
      <c r="HW68" s="656"/>
      <c r="HX68" s="656"/>
      <c r="HY68" s="656"/>
      <c r="HZ68" s="656"/>
      <c r="IA68" s="656"/>
      <c r="IB68" s="656"/>
      <c r="IC68" s="656"/>
      <c r="ID68" s="656"/>
      <c r="IE68" s="656"/>
      <c r="IF68" s="656"/>
      <c r="IG68" s="656"/>
      <c r="IH68" s="656"/>
      <c r="II68" s="656"/>
      <c r="IJ68" s="656"/>
      <c r="IK68" s="656"/>
      <c r="IL68" s="656"/>
      <c r="IM68" s="656"/>
      <c r="IN68" s="656"/>
      <c r="IO68" s="656"/>
      <c r="IP68" s="656"/>
      <c r="IQ68" s="656"/>
      <c r="IR68" s="656"/>
      <c r="IS68" s="656"/>
      <c r="IT68" s="656"/>
      <c r="IU68" s="656"/>
      <c r="IV68" s="656"/>
      <c r="IW68" s="656"/>
    </row>
    <row r="69" customFormat="false" ht="10.5" hidden="false" customHeight="true" outlineLevel="0" collapsed="false">
      <c r="A69" s="656"/>
      <c r="B69" s="660"/>
      <c r="C69" s="660"/>
      <c r="D69" s="661"/>
      <c r="E69" s="661"/>
      <c r="F69" s="660"/>
      <c r="G69" s="660"/>
      <c r="H69" s="660"/>
      <c r="I69" s="662"/>
      <c r="J69" s="662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56"/>
      <c r="AB69" s="656"/>
      <c r="AC69" s="656"/>
      <c r="AD69" s="656"/>
      <c r="AE69" s="656"/>
      <c r="AF69" s="656"/>
      <c r="AG69" s="656"/>
      <c r="AH69" s="656"/>
      <c r="AI69" s="656"/>
      <c r="AJ69" s="656"/>
      <c r="AK69" s="656"/>
      <c r="AL69" s="656"/>
      <c r="AM69" s="656"/>
      <c r="AN69" s="656"/>
      <c r="AO69" s="656"/>
      <c r="AP69" s="656"/>
      <c r="AQ69" s="656"/>
      <c r="AR69" s="656"/>
      <c r="AS69" s="656"/>
      <c r="AT69" s="656"/>
      <c r="AU69" s="656"/>
      <c r="AV69" s="656"/>
      <c r="AW69" s="656"/>
      <c r="AX69" s="656"/>
      <c r="AY69" s="656"/>
      <c r="AZ69" s="656"/>
      <c r="BA69" s="656"/>
      <c r="BB69" s="656"/>
      <c r="BC69" s="656"/>
      <c r="BD69" s="656"/>
      <c r="BE69" s="656"/>
      <c r="BF69" s="656"/>
      <c r="BG69" s="656"/>
      <c r="BH69" s="656"/>
      <c r="BI69" s="656"/>
      <c r="BJ69" s="656"/>
      <c r="BK69" s="656"/>
      <c r="BL69" s="656"/>
      <c r="BM69" s="656"/>
      <c r="BN69" s="656"/>
      <c r="BO69" s="656"/>
      <c r="BP69" s="656"/>
      <c r="BQ69" s="656"/>
      <c r="BR69" s="656"/>
      <c r="BS69" s="656"/>
      <c r="BT69" s="656"/>
      <c r="BU69" s="656"/>
      <c r="BV69" s="656"/>
      <c r="BW69" s="656"/>
      <c r="BX69" s="656"/>
      <c r="BY69" s="656"/>
      <c r="BZ69" s="656"/>
      <c r="CA69" s="656"/>
      <c r="CB69" s="656"/>
      <c r="CC69" s="656"/>
      <c r="CD69" s="656"/>
      <c r="CE69" s="656"/>
      <c r="CF69" s="656"/>
      <c r="CG69" s="656"/>
      <c r="CH69" s="656"/>
      <c r="CI69" s="656"/>
      <c r="CJ69" s="656"/>
      <c r="CK69" s="656"/>
      <c r="CL69" s="656"/>
      <c r="CM69" s="656"/>
      <c r="CN69" s="656"/>
      <c r="CO69" s="656"/>
      <c r="CP69" s="656"/>
      <c r="CQ69" s="656"/>
      <c r="CR69" s="656"/>
      <c r="CS69" s="656"/>
      <c r="CT69" s="656"/>
      <c r="CU69" s="656"/>
      <c r="CV69" s="656"/>
      <c r="CW69" s="656"/>
      <c r="CX69" s="656"/>
      <c r="CY69" s="656"/>
      <c r="CZ69" s="656"/>
      <c r="DA69" s="656"/>
      <c r="DB69" s="656"/>
      <c r="DC69" s="656"/>
      <c r="DD69" s="656"/>
      <c r="DE69" s="656"/>
      <c r="DF69" s="656"/>
      <c r="DG69" s="656"/>
      <c r="DH69" s="656"/>
      <c r="DI69" s="656"/>
      <c r="DJ69" s="656"/>
      <c r="DK69" s="656"/>
      <c r="DL69" s="656"/>
      <c r="DM69" s="656"/>
      <c r="DN69" s="656"/>
      <c r="DO69" s="656"/>
      <c r="DP69" s="656"/>
      <c r="DQ69" s="656"/>
      <c r="DR69" s="656"/>
      <c r="DS69" s="656"/>
      <c r="DT69" s="656"/>
      <c r="DU69" s="656"/>
      <c r="DV69" s="656"/>
      <c r="DW69" s="656"/>
      <c r="DX69" s="656"/>
      <c r="DY69" s="656"/>
      <c r="DZ69" s="656"/>
      <c r="EA69" s="656"/>
      <c r="EB69" s="656"/>
      <c r="EC69" s="656"/>
      <c r="ED69" s="656"/>
      <c r="EE69" s="656"/>
      <c r="EF69" s="656"/>
      <c r="EG69" s="656"/>
      <c r="EH69" s="656"/>
      <c r="EI69" s="656"/>
      <c r="EJ69" s="656"/>
      <c r="EK69" s="656"/>
      <c r="EL69" s="656"/>
      <c r="EM69" s="656"/>
      <c r="EN69" s="656"/>
      <c r="EO69" s="656"/>
      <c r="EP69" s="656"/>
      <c r="EQ69" s="656"/>
      <c r="ER69" s="656"/>
      <c r="ES69" s="656"/>
      <c r="ET69" s="656"/>
      <c r="EU69" s="656"/>
      <c r="EV69" s="656"/>
      <c r="EW69" s="656"/>
      <c r="EX69" s="656"/>
      <c r="EY69" s="656"/>
      <c r="EZ69" s="656"/>
      <c r="FA69" s="656"/>
      <c r="FB69" s="656"/>
      <c r="FC69" s="656"/>
      <c r="FD69" s="656"/>
      <c r="FE69" s="656"/>
      <c r="FF69" s="656"/>
      <c r="FG69" s="656"/>
      <c r="FH69" s="656"/>
      <c r="FI69" s="656"/>
      <c r="FJ69" s="656"/>
      <c r="FK69" s="656"/>
      <c r="FL69" s="656"/>
      <c r="FM69" s="656"/>
      <c r="FN69" s="656"/>
      <c r="FO69" s="656"/>
      <c r="FP69" s="656"/>
      <c r="FQ69" s="656"/>
      <c r="FR69" s="656"/>
      <c r="FS69" s="656"/>
      <c r="FT69" s="656"/>
      <c r="FU69" s="656"/>
      <c r="FV69" s="656"/>
      <c r="FW69" s="656"/>
      <c r="FX69" s="656"/>
      <c r="FY69" s="656"/>
      <c r="FZ69" s="656"/>
      <c r="GA69" s="656"/>
      <c r="GB69" s="656"/>
      <c r="GC69" s="656"/>
      <c r="GD69" s="656"/>
      <c r="GE69" s="656"/>
      <c r="GF69" s="656"/>
      <c r="GG69" s="656"/>
      <c r="GH69" s="656"/>
      <c r="GI69" s="656"/>
      <c r="GJ69" s="656"/>
      <c r="GK69" s="656"/>
      <c r="GL69" s="656"/>
      <c r="GM69" s="656"/>
      <c r="GN69" s="656"/>
      <c r="GO69" s="656"/>
      <c r="GP69" s="656"/>
      <c r="GQ69" s="656"/>
      <c r="GR69" s="656"/>
      <c r="GS69" s="656"/>
      <c r="GT69" s="656"/>
      <c r="GU69" s="656"/>
      <c r="GV69" s="656"/>
      <c r="GW69" s="656"/>
      <c r="GX69" s="656"/>
      <c r="GY69" s="656"/>
      <c r="GZ69" s="656"/>
      <c r="HA69" s="656"/>
      <c r="HB69" s="656"/>
      <c r="HC69" s="656"/>
      <c r="HD69" s="656"/>
      <c r="HE69" s="656"/>
      <c r="HF69" s="656"/>
      <c r="HG69" s="656"/>
      <c r="HH69" s="656"/>
      <c r="HI69" s="656"/>
      <c r="HJ69" s="656"/>
      <c r="HK69" s="656"/>
      <c r="HL69" s="656"/>
      <c r="HM69" s="656"/>
      <c r="HN69" s="656"/>
      <c r="HO69" s="656"/>
      <c r="HP69" s="656"/>
      <c r="HQ69" s="656"/>
      <c r="HR69" s="656"/>
      <c r="HS69" s="656"/>
      <c r="HT69" s="656"/>
      <c r="HU69" s="656"/>
      <c r="HV69" s="656"/>
      <c r="HW69" s="656"/>
      <c r="HX69" s="656"/>
      <c r="HY69" s="656"/>
      <c r="HZ69" s="656"/>
      <c r="IA69" s="656"/>
      <c r="IB69" s="656"/>
      <c r="IC69" s="656"/>
      <c r="ID69" s="656"/>
      <c r="IE69" s="656"/>
      <c r="IF69" s="656"/>
      <c r="IG69" s="656"/>
      <c r="IH69" s="656"/>
      <c r="II69" s="656"/>
      <c r="IJ69" s="656"/>
      <c r="IK69" s="656"/>
      <c r="IL69" s="656"/>
      <c r="IM69" s="656"/>
      <c r="IN69" s="656"/>
      <c r="IO69" s="656"/>
      <c r="IP69" s="656"/>
      <c r="IQ69" s="656"/>
      <c r="IR69" s="656"/>
      <c r="IS69" s="656"/>
      <c r="IT69" s="656"/>
      <c r="IU69" s="656"/>
      <c r="IV69" s="656"/>
      <c r="IW69" s="656"/>
    </row>
    <row r="70" customFormat="false" ht="21" hidden="false" customHeight="true" outlineLevel="0" collapsed="false">
      <c r="A70" s="564" t="s">
        <v>278</v>
      </c>
      <c r="B70" s="564"/>
      <c r="C70" s="564"/>
      <c r="D70" s="564"/>
      <c r="E70" s="564"/>
      <c r="F70" s="564"/>
      <c r="G70" s="564"/>
      <c r="H70" s="564"/>
      <c r="I70" s="564"/>
      <c r="J70" s="564"/>
      <c r="K70" s="564"/>
      <c r="L70" s="564"/>
      <c r="M70" s="564"/>
      <c r="N70" s="564"/>
      <c r="O70" s="564"/>
      <c r="P70" s="564"/>
      <c r="Q70" s="564"/>
      <c r="R70" s="564"/>
      <c r="S70" s="564"/>
      <c r="T70" s="564"/>
      <c r="U70" s="564"/>
      <c r="V70" s="564"/>
      <c r="W70" s="564"/>
    </row>
    <row r="71" customFormat="false" ht="12.75" hidden="false" customHeight="true" outlineLevel="0" collapsed="false">
      <c r="A71" s="567"/>
      <c r="B71" s="567"/>
      <c r="C71" s="567"/>
      <c r="D71" s="567"/>
      <c r="E71" s="567"/>
      <c r="F71" s="567"/>
      <c r="G71" s="567"/>
      <c r="H71" s="567"/>
      <c r="I71" s="567"/>
      <c r="J71" s="567"/>
      <c r="K71" s="567"/>
      <c r="L71" s="567"/>
      <c r="M71" s="567"/>
      <c r="N71" s="567"/>
      <c r="O71" s="567"/>
      <c r="P71" s="567"/>
      <c r="Q71" s="567"/>
      <c r="R71" s="567"/>
      <c r="S71" s="567"/>
      <c r="T71" s="567"/>
      <c r="U71" s="567"/>
      <c r="V71" s="567"/>
      <c r="W71" s="567"/>
    </row>
    <row r="72" customFormat="false" ht="18.75" hidden="false" customHeight="true" outlineLevel="0" collapsed="false">
      <c r="B72" s="663" t="s">
        <v>279</v>
      </c>
      <c r="G72" s="664" t="s">
        <v>280</v>
      </c>
      <c r="H72" s="664"/>
      <c r="I72" s="664"/>
      <c r="K72" s="665" t="s">
        <v>281</v>
      </c>
      <c r="L72" s="665"/>
      <c r="M72" s="665"/>
      <c r="N72" s="665"/>
      <c r="O72" s="665"/>
      <c r="P72" s="666" t="s">
        <v>282</v>
      </c>
      <c r="Q72" s="666"/>
      <c r="R72" s="666"/>
      <c r="S72" s="666"/>
      <c r="T72" s="666"/>
      <c r="U72" s="666"/>
      <c r="V72" s="666"/>
      <c r="W72" s="666"/>
    </row>
    <row r="73" customFormat="false" ht="10.5" hidden="false" customHeight="true" outlineLevel="0" collapsed="false">
      <c r="A73" s="656"/>
      <c r="B73" s="660"/>
      <c r="C73" s="660"/>
      <c r="D73" s="661"/>
      <c r="E73" s="661"/>
      <c r="F73" s="660"/>
      <c r="G73" s="660"/>
      <c r="H73" s="660"/>
      <c r="I73" s="662"/>
      <c r="J73" s="662"/>
      <c r="K73" s="656"/>
      <c r="L73" s="656"/>
      <c r="M73" s="656"/>
      <c r="N73" s="656"/>
      <c r="O73" s="656"/>
      <c r="P73" s="656"/>
      <c r="Q73" s="656"/>
      <c r="R73" s="656"/>
      <c r="S73" s="656"/>
      <c r="T73" s="656"/>
      <c r="U73" s="656"/>
      <c r="V73" s="656"/>
      <c r="W73" s="656"/>
      <c r="X73" s="656"/>
      <c r="Y73" s="656"/>
      <c r="Z73" s="656"/>
      <c r="AA73" s="656"/>
      <c r="AB73" s="656"/>
      <c r="AC73" s="656"/>
      <c r="AD73" s="656"/>
      <c r="AE73" s="656"/>
      <c r="AF73" s="656"/>
      <c r="AG73" s="656"/>
      <c r="AH73" s="656"/>
      <c r="AI73" s="656"/>
      <c r="AJ73" s="656"/>
      <c r="AK73" s="656"/>
      <c r="AL73" s="656"/>
      <c r="AM73" s="656"/>
      <c r="AN73" s="656"/>
      <c r="AO73" s="656"/>
      <c r="AP73" s="656"/>
      <c r="AQ73" s="656"/>
      <c r="AR73" s="656"/>
      <c r="AS73" s="656"/>
      <c r="AT73" s="656"/>
      <c r="AU73" s="656"/>
      <c r="AV73" s="656"/>
      <c r="AW73" s="656"/>
      <c r="AX73" s="656"/>
      <c r="AY73" s="656"/>
      <c r="AZ73" s="656"/>
      <c r="BA73" s="656"/>
      <c r="BB73" s="656"/>
      <c r="BC73" s="656"/>
      <c r="BD73" s="656"/>
      <c r="BE73" s="656"/>
      <c r="BF73" s="656"/>
      <c r="BG73" s="656"/>
      <c r="BH73" s="656"/>
      <c r="BI73" s="656"/>
      <c r="BJ73" s="656"/>
      <c r="BK73" s="656"/>
      <c r="BL73" s="656"/>
      <c r="BM73" s="656"/>
      <c r="BN73" s="656"/>
      <c r="BO73" s="656"/>
      <c r="BP73" s="656"/>
      <c r="BQ73" s="656"/>
      <c r="BR73" s="656"/>
      <c r="BS73" s="656"/>
      <c r="BT73" s="656"/>
      <c r="BU73" s="656"/>
      <c r="BV73" s="656"/>
      <c r="BW73" s="656"/>
      <c r="BX73" s="656"/>
      <c r="BY73" s="656"/>
      <c r="BZ73" s="656"/>
      <c r="CA73" s="656"/>
      <c r="CB73" s="656"/>
      <c r="CC73" s="656"/>
      <c r="CD73" s="656"/>
      <c r="CE73" s="656"/>
      <c r="CF73" s="656"/>
      <c r="CG73" s="656"/>
      <c r="CH73" s="656"/>
      <c r="CI73" s="656"/>
      <c r="CJ73" s="656"/>
      <c r="CK73" s="656"/>
      <c r="CL73" s="656"/>
      <c r="CM73" s="656"/>
      <c r="CN73" s="656"/>
      <c r="CO73" s="656"/>
      <c r="CP73" s="656"/>
      <c r="CQ73" s="656"/>
      <c r="CR73" s="656"/>
      <c r="CS73" s="656"/>
      <c r="CT73" s="656"/>
      <c r="CU73" s="656"/>
      <c r="CV73" s="656"/>
      <c r="CW73" s="656"/>
      <c r="CX73" s="656"/>
      <c r="CY73" s="656"/>
      <c r="CZ73" s="656"/>
      <c r="DA73" s="656"/>
      <c r="DB73" s="656"/>
      <c r="DC73" s="656"/>
      <c r="DD73" s="656"/>
      <c r="DE73" s="656"/>
      <c r="DF73" s="656"/>
      <c r="DG73" s="656"/>
      <c r="DH73" s="656"/>
      <c r="DI73" s="656"/>
      <c r="DJ73" s="656"/>
      <c r="DK73" s="656"/>
      <c r="DL73" s="656"/>
      <c r="DM73" s="656"/>
      <c r="DN73" s="656"/>
      <c r="DO73" s="656"/>
      <c r="DP73" s="656"/>
      <c r="DQ73" s="656"/>
      <c r="DR73" s="656"/>
      <c r="DS73" s="656"/>
      <c r="DT73" s="656"/>
      <c r="DU73" s="656"/>
      <c r="DV73" s="656"/>
      <c r="DW73" s="656"/>
      <c r="DX73" s="656"/>
      <c r="DY73" s="656"/>
      <c r="DZ73" s="656"/>
      <c r="EA73" s="656"/>
      <c r="EB73" s="656"/>
      <c r="EC73" s="656"/>
      <c r="ED73" s="656"/>
      <c r="EE73" s="656"/>
      <c r="EF73" s="656"/>
      <c r="EG73" s="656"/>
      <c r="EH73" s="656"/>
      <c r="EI73" s="656"/>
      <c r="EJ73" s="656"/>
      <c r="EK73" s="656"/>
      <c r="EL73" s="656"/>
      <c r="EM73" s="656"/>
      <c r="EN73" s="656"/>
      <c r="EO73" s="656"/>
      <c r="EP73" s="656"/>
      <c r="EQ73" s="656"/>
      <c r="ER73" s="656"/>
      <c r="ES73" s="656"/>
      <c r="ET73" s="656"/>
      <c r="EU73" s="656"/>
      <c r="EV73" s="656"/>
      <c r="EW73" s="656"/>
      <c r="EX73" s="656"/>
      <c r="EY73" s="656"/>
      <c r="EZ73" s="656"/>
      <c r="FA73" s="656"/>
      <c r="FB73" s="656"/>
      <c r="FC73" s="656"/>
      <c r="FD73" s="656"/>
      <c r="FE73" s="656"/>
      <c r="FF73" s="656"/>
      <c r="FG73" s="656"/>
      <c r="FH73" s="656"/>
      <c r="FI73" s="656"/>
      <c r="FJ73" s="656"/>
      <c r="FK73" s="656"/>
      <c r="FL73" s="656"/>
      <c r="FM73" s="656"/>
      <c r="FN73" s="656"/>
      <c r="FO73" s="656"/>
      <c r="FP73" s="656"/>
      <c r="FQ73" s="656"/>
      <c r="FR73" s="656"/>
      <c r="FS73" s="656"/>
      <c r="FT73" s="656"/>
      <c r="FU73" s="656"/>
      <c r="FV73" s="656"/>
      <c r="FW73" s="656"/>
      <c r="FX73" s="656"/>
      <c r="FY73" s="656"/>
      <c r="FZ73" s="656"/>
      <c r="GA73" s="656"/>
      <c r="GB73" s="656"/>
      <c r="GC73" s="656"/>
      <c r="GD73" s="656"/>
      <c r="GE73" s="656"/>
      <c r="GF73" s="656"/>
      <c r="GG73" s="656"/>
      <c r="GH73" s="656"/>
      <c r="GI73" s="656"/>
      <c r="GJ73" s="656"/>
      <c r="GK73" s="656"/>
      <c r="GL73" s="656"/>
      <c r="GM73" s="656"/>
      <c r="GN73" s="656"/>
      <c r="GO73" s="656"/>
      <c r="GP73" s="656"/>
      <c r="GQ73" s="656"/>
      <c r="GR73" s="656"/>
      <c r="GS73" s="656"/>
      <c r="GT73" s="656"/>
      <c r="GU73" s="656"/>
      <c r="GV73" s="656"/>
      <c r="GW73" s="656"/>
      <c r="GX73" s="656"/>
      <c r="GY73" s="656"/>
      <c r="GZ73" s="656"/>
      <c r="HA73" s="656"/>
      <c r="HB73" s="656"/>
      <c r="HC73" s="656"/>
      <c r="HD73" s="656"/>
      <c r="HE73" s="656"/>
      <c r="HF73" s="656"/>
      <c r="HG73" s="656"/>
      <c r="HH73" s="656"/>
      <c r="HI73" s="656"/>
      <c r="HJ73" s="656"/>
      <c r="HK73" s="656"/>
      <c r="HL73" s="656"/>
      <c r="HM73" s="656"/>
      <c r="HN73" s="656"/>
      <c r="HO73" s="656"/>
      <c r="HP73" s="656"/>
      <c r="HQ73" s="656"/>
      <c r="HR73" s="656"/>
      <c r="HS73" s="656"/>
      <c r="HT73" s="656"/>
      <c r="HU73" s="656"/>
      <c r="HV73" s="656"/>
      <c r="HW73" s="656"/>
      <c r="HX73" s="656"/>
      <c r="HY73" s="656"/>
      <c r="HZ73" s="656"/>
      <c r="IA73" s="656"/>
      <c r="IB73" s="656"/>
      <c r="IC73" s="656"/>
      <c r="ID73" s="656"/>
      <c r="IE73" s="656"/>
      <c r="IF73" s="656"/>
      <c r="IG73" s="656"/>
      <c r="IH73" s="656"/>
      <c r="II73" s="656"/>
      <c r="IJ73" s="656"/>
      <c r="IK73" s="656"/>
      <c r="IL73" s="656"/>
      <c r="IM73" s="656"/>
      <c r="IN73" s="656"/>
      <c r="IO73" s="656"/>
      <c r="IP73" s="656"/>
      <c r="IQ73" s="656"/>
      <c r="IR73" s="656"/>
      <c r="IS73" s="656"/>
      <c r="IT73" s="656"/>
      <c r="IU73" s="656"/>
      <c r="IV73" s="656"/>
      <c r="IW73" s="656"/>
    </row>
    <row r="74" customFormat="false" ht="18.75" hidden="false" customHeight="true" outlineLevel="0" collapsed="false">
      <c r="A74" s="564" t="s">
        <v>283</v>
      </c>
      <c r="B74" s="564"/>
      <c r="C74" s="564"/>
      <c r="D74" s="564"/>
      <c r="E74" s="564"/>
      <c r="F74" s="564"/>
      <c r="G74" s="564"/>
      <c r="H74" s="564"/>
      <c r="I74" s="564"/>
      <c r="J74" s="564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564"/>
      <c r="X74" s="656"/>
      <c r="Y74" s="656"/>
      <c r="Z74" s="656"/>
      <c r="AA74" s="656"/>
      <c r="AB74" s="656"/>
      <c r="AC74" s="656"/>
      <c r="AD74" s="656"/>
      <c r="AE74" s="656"/>
      <c r="AF74" s="656"/>
      <c r="AG74" s="656"/>
      <c r="AH74" s="656"/>
      <c r="AI74" s="656"/>
      <c r="AJ74" s="656"/>
      <c r="AK74" s="656"/>
      <c r="AL74" s="656"/>
      <c r="AM74" s="656"/>
      <c r="AN74" s="656"/>
      <c r="AO74" s="656"/>
      <c r="AP74" s="656"/>
      <c r="AQ74" s="656"/>
      <c r="AR74" s="656"/>
      <c r="AS74" s="656"/>
      <c r="AT74" s="656"/>
      <c r="AU74" s="564"/>
      <c r="AV74" s="564"/>
      <c r="AW74" s="564"/>
      <c r="AX74" s="564"/>
      <c r="AY74" s="564"/>
      <c r="AZ74" s="564"/>
      <c r="BA74" s="564"/>
      <c r="BB74" s="564"/>
      <c r="BC74" s="564"/>
      <c r="BD74" s="564"/>
      <c r="BE74" s="564"/>
      <c r="BF74" s="564"/>
      <c r="BG74" s="564"/>
      <c r="BH74" s="564"/>
      <c r="BI74" s="564"/>
      <c r="BJ74" s="564"/>
      <c r="BK74" s="564"/>
      <c r="BL74" s="564"/>
      <c r="BM74" s="564"/>
      <c r="BN74" s="564"/>
      <c r="BO74" s="564"/>
      <c r="BP74" s="564"/>
      <c r="BQ74" s="564"/>
      <c r="BR74" s="564"/>
      <c r="BS74" s="564"/>
      <c r="BT74" s="564"/>
      <c r="BU74" s="564"/>
      <c r="BV74" s="564"/>
      <c r="BW74" s="564"/>
      <c r="BX74" s="564"/>
      <c r="BY74" s="564"/>
      <c r="BZ74" s="564"/>
      <c r="CA74" s="564"/>
      <c r="CB74" s="564"/>
      <c r="CC74" s="564"/>
      <c r="CD74" s="564"/>
      <c r="CE74" s="564"/>
      <c r="CF74" s="564"/>
      <c r="CG74" s="564"/>
      <c r="CH74" s="564"/>
      <c r="CI74" s="564"/>
      <c r="CJ74" s="564"/>
      <c r="CK74" s="564"/>
      <c r="CL74" s="564"/>
      <c r="CM74" s="564"/>
      <c r="CN74" s="564"/>
      <c r="CO74" s="564"/>
      <c r="CP74" s="564"/>
      <c r="CQ74" s="564"/>
      <c r="CR74" s="564"/>
      <c r="CS74" s="564"/>
      <c r="CT74" s="564"/>
      <c r="CU74" s="564"/>
      <c r="CV74" s="564"/>
      <c r="CW74" s="564"/>
      <c r="CX74" s="564"/>
      <c r="CY74" s="564"/>
      <c r="CZ74" s="564"/>
      <c r="DA74" s="564"/>
      <c r="DB74" s="564"/>
      <c r="DC74" s="564"/>
      <c r="DD74" s="564"/>
      <c r="DE74" s="564"/>
      <c r="DF74" s="564"/>
      <c r="DG74" s="564"/>
      <c r="DH74" s="564"/>
      <c r="DI74" s="564"/>
      <c r="DJ74" s="564"/>
      <c r="DK74" s="564"/>
      <c r="DL74" s="564"/>
      <c r="DM74" s="564"/>
      <c r="DN74" s="564"/>
      <c r="DO74" s="564"/>
      <c r="DP74" s="564"/>
      <c r="DQ74" s="564"/>
      <c r="DR74" s="564"/>
      <c r="DS74" s="564"/>
      <c r="DT74" s="564"/>
      <c r="DU74" s="564"/>
      <c r="DV74" s="564"/>
      <c r="DW74" s="564"/>
      <c r="DX74" s="564"/>
      <c r="DY74" s="564"/>
      <c r="DZ74" s="564"/>
      <c r="EA74" s="564"/>
      <c r="EB74" s="564"/>
      <c r="EC74" s="564"/>
      <c r="ED74" s="564"/>
      <c r="EE74" s="564"/>
      <c r="EF74" s="564"/>
      <c r="EG74" s="564"/>
      <c r="EH74" s="564"/>
      <c r="EI74" s="564"/>
      <c r="EJ74" s="564"/>
      <c r="EK74" s="564"/>
      <c r="EL74" s="564"/>
      <c r="EM74" s="564"/>
      <c r="EN74" s="564"/>
      <c r="EO74" s="564"/>
      <c r="EP74" s="564"/>
      <c r="EQ74" s="564"/>
      <c r="ER74" s="564"/>
      <c r="ES74" s="564"/>
      <c r="ET74" s="564"/>
      <c r="EU74" s="564"/>
      <c r="EV74" s="564"/>
      <c r="EW74" s="564"/>
      <c r="EX74" s="564"/>
      <c r="EY74" s="564"/>
      <c r="EZ74" s="564"/>
      <c r="FA74" s="564"/>
      <c r="FB74" s="564"/>
      <c r="FC74" s="564"/>
      <c r="FD74" s="564"/>
      <c r="FE74" s="564"/>
      <c r="FF74" s="564"/>
      <c r="FG74" s="564"/>
      <c r="FH74" s="564"/>
      <c r="FI74" s="564"/>
      <c r="FJ74" s="564"/>
      <c r="FK74" s="564"/>
      <c r="FL74" s="564"/>
      <c r="FM74" s="564"/>
      <c r="FN74" s="564"/>
      <c r="FO74" s="564"/>
      <c r="FP74" s="564"/>
      <c r="FQ74" s="564"/>
      <c r="FR74" s="564"/>
      <c r="FS74" s="564"/>
      <c r="FT74" s="564"/>
      <c r="FU74" s="564"/>
      <c r="FV74" s="564"/>
      <c r="FW74" s="564"/>
      <c r="FX74" s="564"/>
      <c r="FY74" s="564"/>
      <c r="FZ74" s="564"/>
      <c r="GA74" s="564"/>
      <c r="GB74" s="564"/>
      <c r="GC74" s="564"/>
      <c r="GD74" s="564"/>
      <c r="GE74" s="564"/>
      <c r="GF74" s="564"/>
      <c r="GG74" s="564"/>
      <c r="GH74" s="564"/>
      <c r="GI74" s="564"/>
      <c r="GJ74" s="564"/>
      <c r="GK74" s="564"/>
      <c r="GL74" s="564"/>
      <c r="GM74" s="564"/>
      <c r="GN74" s="564"/>
      <c r="GO74" s="564"/>
      <c r="GP74" s="564"/>
      <c r="GQ74" s="564"/>
      <c r="GR74" s="564"/>
      <c r="GS74" s="564"/>
      <c r="GT74" s="564"/>
      <c r="GU74" s="564"/>
      <c r="GV74" s="564"/>
      <c r="GW74" s="564"/>
      <c r="GX74" s="564"/>
      <c r="GY74" s="564"/>
      <c r="GZ74" s="564"/>
      <c r="HA74" s="564"/>
      <c r="HB74" s="564"/>
      <c r="HC74" s="564"/>
      <c r="HD74" s="564"/>
      <c r="HE74" s="564"/>
      <c r="HF74" s="564"/>
      <c r="HG74" s="564"/>
      <c r="HH74" s="564"/>
      <c r="HI74" s="564"/>
      <c r="HJ74" s="564"/>
      <c r="HK74" s="564"/>
      <c r="HL74" s="564"/>
      <c r="HM74" s="564"/>
      <c r="HN74" s="564"/>
      <c r="HO74" s="564"/>
      <c r="HP74" s="564"/>
      <c r="HQ74" s="564"/>
      <c r="HR74" s="564"/>
      <c r="HS74" s="564"/>
      <c r="HT74" s="564"/>
      <c r="HU74" s="564"/>
      <c r="HV74" s="564"/>
      <c r="HW74" s="564"/>
      <c r="HX74" s="564"/>
      <c r="HY74" s="564"/>
      <c r="HZ74" s="564"/>
      <c r="IA74" s="564"/>
      <c r="IB74" s="564"/>
      <c r="IC74" s="564"/>
      <c r="ID74" s="564"/>
      <c r="IE74" s="564"/>
      <c r="IF74" s="564"/>
      <c r="IG74" s="564"/>
      <c r="IH74" s="564"/>
      <c r="II74" s="564"/>
      <c r="IJ74" s="564"/>
      <c r="IK74" s="564"/>
      <c r="IL74" s="564"/>
      <c r="IM74" s="564"/>
      <c r="IN74" s="564"/>
      <c r="IO74" s="564"/>
      <c r="IP74" s="564"/>
      <c r="IQ74" s="564"/>
      <c r="IR74" s="564"/>
      <c r="IS74" s="564"/>
      <c r="IT74" s="564"/>
      <c r="IU74" s="564"/>
      <c r="IV74" s="564"/>
    </row>
    <row r="75" customFormat="false" ht="10.5" hidden="false" customHeight="true" outlineLevel="0" collapsed="false">
      <c r="A75" s="656"/>
      <c r="B75" s="660"/>
      <c r="C75" s="660"/>
      <c r="D75" s="661"/>
      <c r="E75" s="661"/>
      <c r="F75" s="660"/>
      <c r="G75" s="660"/>
      <c r="H75" s="660"/>
      <c r="I75" s="662"/>
      <c r="J75" s="662"/>
      <c r="K75" s="656"/>
      <c r="L75" s="656"/>
      <c r="M75" s="656"/>
      <c r="N75" s="656"/>
      <c r="O75" s="656"/>
      <c r="P75" s="656"/>
      <c r="Q75" s="656"/>
      <c r="R75" s="656"/>
      <c r="S75" s="656"/>
      <c r="T75" s="656"/>
      <c r="U75" s="656"/>
      <c r="V75" s="656"/>
      <c r="W75" s="656"/>
      <c r="X75" s="656"/>
      <c r="Y75" s="656"/>
      <c r="Z75" s="656"/>
      <c r="AA75" s="656"/>
      <c r="AB75" s="656"/>
      <c r="AC75" s="656"/>
      <c r="AD75" s="656"/>
      <c r="AE75" s="656"/>
      <c r="AF75" s="656"/>
      <c r="AG75" s="656"/>
      <c r="AH75" s="656"/>
      <c r="AI75" s="656"/>
      <c r="AJ75" s="656"/>
      <c r="AK75" s="656"/>
      <c r="AL75" s="656"/>
      <c r="AM75" s="656"/>
      <c r="AN75" s="656"/>
      <c r="AO75" s="656"/>
      <c r="AP75" s="656"/>
      <c r="AQ75" s="656"/>
      <c r="AR75" s="656"/>
      <c r="AS75" s="656"/>
      <c r="AT75" s="656"/>
      <c r="AU75" s="656"/>
      <c r="AV75" s="656"/>
      <c r="AW75" s="656"/>
      <c r="AX75" s="656"/>
      <c r="AY75" s="656"/>
      <c r="AZ75" s="656"/>
      <c r="BA75" s="656"/>
      <c r="BB75" s="656"/>
      <c r="BC75" s="656"/>
      <c r="BD75" s="656"/>
      <c r="BE75" s="656"/>
      <c r="BF75" s="656"/>
      <c r="BG75" s="656"/>
      <c r="BH75" s="656"/>
      <c r="BI75" s="656"/>
      <c r="BJ75" s="656"/>
      <c r="BK75" s="656"/>
      <c r="BL75" s="656"/>
      <c r="BM75" s="656"/>
      <c r="BN75" s="656"/>
      <c r="BO75" s="656"/>
      <c r="BP75" s="656"/>
      <c r="BQ75" s="656"/>
      <c r="BR75" s="656"/>
      <c r="BS75" s="656"/>
      <c r="BT75" s="656"/>
      <c r="BU75" s="656"/>
      <c r="BV75" s="656"/>
      <c r="BW75" s="656"/>
      <c r="BX75" s="656"/>
      <c r="BY75" s="656"/>
      <c r="BZ75" s="656"/>
      <c r="CA75" s="656"/>
      <c r="CB75" s="656"/>
      <c r="CC75" s="656"/>
      <c r="CD75" s="656"/>
      <c r="CE75" s="656"/>
      <c r="CF75" s="656"/>
      <c r="CG75" s="656"/>
      <c r="CH75" s="656"/>
      <c r="CI75" s="656"/>
      <c r="CJ75" s="656"/>
      <c r="CK75" s="656"/>
      <c r="CL75" s="656"/>
      <c r="CM75" s="656"/>
      <c r="CN75" s="656"/>
      <c r="CO75" s="656"/>
      <c r="CP75" s="656"/>
      <c r="CQ75" s="656"/>
      <c r="CR75" s="656"/>
      <c r="CS75" s="656"/>
      <c r="CT75" s="656"/>
      <c r="CU75" s="656"/>
      <c r="CV75" s="656"/>
      <c r="CW75" s="656"/>
      <c r="CX75" s="656"/>
      <c r="CY75" s="656"/>
      <c r="CZ75" s="656"/>
      <c r="DA75" s="656"/>
      <c r="DB75" s="656"/>
      <c r="DC75" s="656"/>
      <c r="DD75" s="656"/>
      <c r="DE75" s="656"/>
      <c r="DF75" s="656"/>
      <c r="DG75" s="656"/>
      <c r="DH75" s="656"/>
      <c r="DI75" s="656"/>
      <c r="DJ75" s="656"/>
      <c r="DK75" s="656"/>
      <c r="DL75" s="656"/>
      <c r="DM75" s="656"/>
      <c r="DN75" s="656"/>
      <c r="DO75" s="656"/>
      <c r="DP75" s="656"/>
      <c r="DQ75" s="656"/>
      <c r="DR75" s="656"/>
      <c r="DS75" s="656"/>
      <c r="DT75" s="656"/>
      <c r="DU75" s="656"/>
      <c r="DV75" s="656"/>
      <c r="DW75" s="656"/>
      <c r="DX75" s="656"/>
      <c r="DY75" s="656"/>
      <c r="DZ75" s="656"/>
      <c r="EA75" s="656"/>
      <c r="EB75" s="656"/>
      <c r="EC75" s="656"/>
      <c r="ED75" s="656"/>
      <c r="EE75" s="656"/>
      <c r="EF75" s="656"/>
      <c r="EG75" s="656"/>
      <c r="EH75" s="656"/>
      <c r="EI75" s="656"/>
      <c r="EJ75" s="656"/>
      <c r="EK75" s="656"/>
      <c r="EL75" s="656"/>
      <c r="EM75" s="656"/>
      <c r="EN75" s="656"/>
      <c r="EO75" s="656"/>
      <c r="EP75" s="656"/>
      <c r="EQ75" s="656"/>
      <c r="ER75" s="656"/>
      <c r="ES75" s="656"/>
      <c r="ET75" s="656"/>
      <c r="EU75" s="656"/>
      <c r="EV75" s="656"/>
      <c r="EW75" s="656"/>
      <c r="EX75" s="656"/>
      <c r="EY75" s="656"/>
      <c r="EZ75" s="656"/>
      <c r="FA75" s="656"/>
      <c r="FB75" s="656"/>
      <c r="FC75" s="656"/>
      <c r="FD75" s="656"/>
      <c r="FE75" s="656"/>
      <c r="FF75" s="656"/>
      <c r="FG75" s="656"/>
      <c r="FH75" s="656"/>
      <c r="FI75" s="656"/>
      <c r="FJ75" s="656"/>
      <c r="FK75" s="656"/>
      <c r="FL75" s="656"/>
      <c r="FM75" s="656"/>
      <c r="FN75" s="656"/>
      <c r="FO75" s="656"/>
      <c r="FP75" s="656"/>
      <c r="FQ75" s="656"/>
      <c r="FR75" s="656"/>
      <c r="FS75" s="656"/>
      <c r="FT75" s="656"/>
      <c r="FU75" s="656"/>
      <c r="FV75" s="656"/>
      <c r="FW75" s="656"/>
      <c r="FX75" s="656"/>
      <c r="FY75" s="656"/>
      <c r="FZ75" s="656"/>
      <c r="GA75" s="656"/>
      <c r="GB75" s="656"/>
      <c r="GC75" s="656"/>
      <c r="GD75" s="656"/>
      <c r="GE75" s="656"/>
      <c r="GF75" s="656"/>
      <c r="GG75" s="656"/>
      <c r="GH75" s="656"/>
      <c r="GI75" s="656"/>
      <c r="GJ75" s="656"/>
      <c r="GK75" s="656"/>
      <c r="GL75" s="656"/>
      <c r="GM75" s="656"/>
      <c r="GN75" s="656"/>
      <c r="GO75" s="656"/>
      <c r="GP75" s="656"/>
      <c r="GQ75" s="656"/>
      <c r="GR75" s="656"/>
      <c r="GS75" s="656"/>
      <c r="GT75" s="656"/>
      <c r="GU75" s="656"/>
      <c r="GV75" s="656"/>
      <c r="GW75" s="656"/>
      <c r="GX75" s="656"/>
      <c r="GY75" s="656"/>
      <c r="GZ75" s="656"/>
      <c r="HA75" s="656"/>
      <c r="HB75" s="656"/>
      <c r="HC75" s="656"/>
      <c r="HD75" s="656"/>
      <c r="HE75" s="656"/>
      <c r="HF75" s="656"/>
      <c r="HG75" s="656"/>
      <c r="HH75" s="656"/>
      <c r="HI75" s="656"/>
      <c r="HJ75" s="656"/>
      <c r="HK75" s="656"/>
      <c r="HL75" s="656"/>
      <c r="HM75" s="656"/>
      <c r="HN75" s="656"/>
      <c r="HO75" s="656"/>
      <c r="HP75" s="656"/>
      <c r="HQ75" s="656"/>
      <c r="HR75" s="656"/>
      <c r="HS75" s="656"/>
      <c r="HT75" s="656"/>
      <c r="HU75" s="656"/>
      <c r="HV75" s="656"/>
      <c r="HW75" s="656"/>
      <c r="HX75" s="656"/>
      <c r="HY75" s="656"/>
      <c r="HZ75" s="656"/>
      <c r="IA75" s="656"/>
      <c r="IB75" s="656"/>
      <c r="IC75" s="656"/>
      <c r="ID75" s="656"/>
      <c r="IE75" s="656"/>
      <c r="IF75" s="656"/>
      <c r="IG75" s="656"/>
      <c r="IH75" s="656"/>
      <c r="II75" s="656"/>
      <c r="IJ75" s="656"/>
      <c r="IK75" s="656"/>
      <c r="IL75" s="656"/>
      <c r="IM75" s="656"/>
      <c r="IN75" s="656"/>
      <c r="IO75" s="656"/>
      <c r="IP75" s="656"/>
      <c r="IQ75" s="656"/>
      <c r="IR75" s="656"/>
      <c r="IS75" s="656"/>
      <c r="IT75" s="656"/>
      <c r="IU75" s="656"/>
      <c r="IV75" s="656"/>
      <c r="IW75" s="656"/>
    </row>
    <row r="76" customFormat="false" ht="16.5" hidden="false" customHeight="true" outlineLevel="0" collapsed="false">
      <c r="B76" s="667" t="s">
        <v>284</v>
      </c>
      <c r="C76" s="667"/>
      <c r="D76" s="667"/>
      <c r="E76" s="667"/>
      <c r="F76" s="668" t="n">
        <f aca="false">'Přehled akce'!D57</f>
        <v>0</v>
      </c>
      <c r="G76" s="668"/>
      <c r="H76" s="668"/>
      <c r="I76" s="668"/>
      <c r="J76" s="668"/>
      <c r="K76" s="668"/>
      <c r="L76" s="668"/>
      <c r="M76" s="668"/>
      <c r="N76" s="668"/>
      <c r="O76" s="668"/>
      <c r="P76" s="668"/>
      <c r="Q76" s="668"/>
      <c r="R76" s="668"/>
      <c r="S76" s="668"/>
    </row>
    <row r="77" customFormat="false" ht="16.5" hidden="false" customHeight="true" outlineLevel="0" collapsed="false">
      <c r="B77" s="667" t="s">
        <v>285</v>
      </c>
      <c r="C77" s="667"/>
      <c r="D77" s="667"/>
      <c r="E77" s="667"/>
      <c r="F77" s="669"/>
      <c r="G77" s="669"/>
      <c r="H77" s="669"/>
      <c r="I77" s="669"/>
      <c r="J77" s="669"/>
      <c r="K77" s="670" t="s">
        <v>286</v>
      </c>
      <c r="L77" s="670"/>
      <c r="M77" s="670"/>
      <c r="N77" s="671"/>
      <c r="O77" s="671"/>
      <c r="P77" s="671"/>
      <c r="Q77" s="671"/>
      <c r="R77" s="671"/>
      <c r="S77" s="671"/>
      <c r="T77" s="656"/>
      <c r="U77" s="656"/>
      <c r="V77" s="656"/>
      <c r="W77" s="656"/>
      <c r="X77" s="656"/>
      <c r="Y77" s="656"/>
      <c r="Z77" s="656"/>
      <c r="AA77" s="656"/>
      <c r="AB77" s="656"/>
    </row>
    <row r="78" customFormat="false" ht="10.5" hidden="false" customHeight="true" outlineLevel="0" collapsed="false">
      <c r="A78" s="656"/>
      <c r="B78" s="660"/>
      <c r="C78" s="660"/>
      <c r="D78" s="661"/>
      <c r="E78" s="661"/>
      <c r="F78" s="660"/>
      <c r="G78" s="660"/>
      <c r="H78" s="660"/>
      <c r="I78" s="662"/>
      <c r="J78" s="662"/>
      <c r="K78" s="656"/>
      <c r="L78" s="656"/>
      <c r="M78" s="656"/>
      <c r="N78" s="656"/>
      <c r="O78" s="656"/>
      <c r="P78" s="656"/>
      <c r="Q78" s="656"/>
      <c r="R78" s="656"/>
      <c r="S78" s="656"/>
      <c r="T78" s="656"/>
      <c r="U78" s="656"/>
      <c r="V78" s="656"/>
      <c r="W78" s="656"/>
      <c r="X78" s="656"/>
      <c r="Y78" s="656"/>
      <c r="Z78" s="656"/>
      <c r="AA78" s="656"/>
      <c r="AB78" s="656"/>
      <c r="AC78" s="656"/>
      <c r="AD78" s="656"/>
      <c r="AE78" s="656"/>
      <c r="AF78" s="656"/>
      <c r="AG78" s="656"/>
      <c r="AH78" s="656"/>
      <c r="AI78" s="656"/>
      <c r="AJ78" s="656"/>
      <c r="AK78" s="656"/>
      <c r="AL78" s="656"/>
      <c r="AM78" s="656"/>
      <c r="AN78" s="656"/>
      <c r="AO78" s="656"/>
      <c r="AP78" s="656"/>
      <c r="AQ78" s="656"/>
      <c r="AR78" s="656"/>
      <c r="AS78" s="656"/>
      <c r="AT78" s="656"/>
      <c r="AU78" s="656"/>
      <c r="AV78" s="656"/>
      <c r="AW78" s="656"/>
      <c r="AX78" s="656"/>
      <c r="AY78" s="656"/>
      <c r="AZ78" s="656"/>
      <c r="BA78" s="656"/>
      <c r="BB78" s="656"/>
      <c r="BC78" s="656"/>
      <c r="BD78" s="656"/>
      <c r="BE78" s="656"/>
      <c r="BF78" s="656"/>
      <c r="BG78" s="656"/>
      <c r="BH78" s="656"/>
      <c r="BI78" s="656"/>
      <c r="BJ78" s="656"/>
      <c r="BK78" s="656"/>
      <c r="BL78" s="656"/>
      <c r="BM78" s="656"/>
      <c r="BN78" s="656"/>
      <c r="BO78" s="656"/>
      <c r="BP78" s="656"/>
      <c r="BQ78" s="656"/>
      <c r="BR78" s="656"/>
      <c r="BS78" s="656"/>
      <c r="BT78" s="656"/>
      <c r="BU78" s="656"/>
      <c r="BV78" s="656"/>
      <c r="BW78" s="656"/>
      <c r="BX78" s="656"/>
      <c r="BY78" s="656"/>
      <c r="BZ78" s="656"/>
      <c r="CA78" s="656"/>
      <c r="CB78" s="656"/>
      <c r="CC78" s="656"/>
      <c r="CD78" s="656"/>
      <c r="CE78" s="656"/>
      <c r="CF78" s="656"/>
      <c r="CG78" s="656"/>
      <c r="CH78" s="656"/>
      <c r="CI78" s="656"/>
      <c r="CJ78" s="656"/>
      <c r="CK78" s="656"/>
      <c r="CL78" s="656"/>
      <c r="CM78" s="656"/>
      <c r="CN78" s="656"/>
      <c r="CO78" s="656"/>
      <c r="CP78" s="656"/>
      <c r="CQ78" s="656"/>
      <c r="CR78" s="656"/>
      <c r="CS78" s="656"/>
      <c r="CT78" s="656"/>
      <c r="CU78" s="656"/>
      <c r="CV78" s="656"/>
      <c r="CW78" s="656"/>
      <c r="CX78" s="656"/>
      <c r="CY78" s="656"/>
      <c r="CZ78" s="656"/>
      <c r="DA78" s="656"/>
      <c r="DB78" s="656"/>
      <c r="DC78" s="656"/>
      <c r="DD78" s="656"/>
      <c r="DE78" s="656"/>
      <c r="DF78" s="656"/>
      <c r="DG78" s="656"/>
      <c r="DH78" s="656"/>
      <c r="DI78" s="656"/>
      <c r="DJ78" s="656"/>
      <c r="DK78" s="656"/>
      <c r="DL78" s="656"/>
      <c r="DM78" s="656"/>
      <c r="DN78" s="656"/>
      <c r="DO78" s="656"/>
      <c r="DP78" s="656"/>
      <c r="DQ78" s="656"/>
      <c r="DR78" s="656"/>
      <c r="DS78" s="656"/>
      <c r="DT78" s="656"/>
      <c r="DU78" s="656"/>
      <c r="DV78" s="656"/>
      <c r="DW78" s="656"/>
      <c r="DX78" s="656"/>
      <c r="DY78" s="656"/>
      <c r="DZ78" s="656"/>
      <c r="EA78" s="656"/>
      <c r="EB78" s="656"/>
      <c r="EC78" s="656"/>
      <c r="ED78" s="656"/>
      <c r="EE78" s="656"/>
      <c r="EF78" s="656"/>
      <c r="EG78" s="656"/>
      <c r="EH78" s="656"/>
      <c r="EI78" s="656"/>
      <c r="EJ78" s="656"/>
      <c r="EK78" s="656"/>
      <c r="EL78" s="656"/>
      <c r="EM78" s="656"/>
      <c r="EN78" s="656"/>
      <c r="EO78" s="656"/>
      <c r="EP78" s="656"/>
      <c r="EQ78" s="656"/>
      <c r="ER78" s="656"/>
      <c r="ES78" s="656"/>
      <c r="ET78" s="656"/>
      <c r="EU78" s="656"/>
      <c r="EV78" s="656"/>
      <c r="EW78" s="656"/>
      <c r="EX78" s="656"/>
      <c r="EY78" s="656"/>
      <c r="EZ78" s="656"/>
      <c r="FA78" s="656"/>
      <c r="FB78" s="656"/>
      <c r="FC78" s="656"/>
      <c r="FD78" s="656"/>
      <c r="FE78" s="656"/>
      <c r="FF78" s="656"/>
      <c r="FG78" s="656"/>
      <c r="FH78" s="656"/>
      <c r="FI78" s="656"/>
      <c r="FJ78" s="656"/>
      <c r="FK78" s="656"/>
      <c r="FL78" s="656"/>
      <c r="FM78" s="656"/>
      <c r="FN78" s="656"/>
      <c r="FO78" s="656"/>
      <c r="FP78" s="656"/>
      <c r="FQ78" s="656"/>
      <c r="FR78" s="656"/>
      <c r="FS78" s="656"/>
      <c r="FT78" s="656"/>
      <c r="FU78" s="656"/>
      <c r="FV78" s="656"/>
      <c r="FW78" s="656"/>
      <c r="FX78" s="656"/>
      <c r="FY78" s="656"/>
      <c r="FZ78" s="656"/>
      <c r="GA78" s="656"/>
      <c r="GB78" s="656"/>
      <c r="GC78" s="656"/>
      <c r="GD78" s="656"/>
      <c r="GE78" s="656"/>
      <c r="GF78" s="656"/>
      <c r="GG78" s="656"/>
      <c r="GH78" s="656"/>
      <c r="GI78" s="656"/>
      <c r="GJ78" s="656"/>
      <c r="GK78" s="656"/>
      <c r="GL78" s="656"/>
      <c r="GM78" s="656"/>
      <c r="GN78" s="656"/>
      <c r="GO78" s="656"/>
      <c r="GP78" s="656"/>
      <c r="GQ78" s="656"/>
      <c r="GR78" s="656"/>
      <c r="GS78" s="656"/>
      <c r="GT78" s="656"/>
      <c r="GU78" s="656"/>
      <c r="GV78" s="656"/>
      <c r="GW78" s="656"/>
      <c r="GX78" s="656"/>
      <c r="GY78" s="656"/>
      <c r="GZ78" s="656"/>
      <c r="HA78" s="656"/>
      <c r="HB78" s="656"/>
      <c r="HC78" s="656"/>
      <c r="HD78" s="656"/>
      <c r="HE78" s="656"/>
      <c r="HF78" s="656"/>
      <c r="HG78" s="656"/>
      <c r="HH78" s="656"/>
      <c r="HI78" s="656"/>
      <c r="HJ78" s="656"/>
      <c r="HK78" s="656"/>
      <c r="HL78" s="656"/>
      <c r="HM78" s="656"/>
      <c r="HN78" s="656"/>
      <c r="HO78" s="656"/>
      <c r="HP78" s="656"/>
      <c r="HQ78" s="656"/>
      <c r="HR78" s="656"/>
      <c r="HS78" s="656"/>
      <c r="HT78" s="656"/>
      <c r="HU78" s="656"/>
      <c r="HV78" s="656"/>
      <c r="HW78" s="656"/>
      <c r="HX78" s="656"/>
      <c r="HY78" s="656"/>
      <c r="HZ78" s="656"/>
      <c r="IA78" s="656"/>
      <c r="IB78" s="656"/>
      <c r="IC78" s="656"/>
      <c r="ID78" s="656"/>
      <c r="IE78" s="656"/>
      <c r="IF78" s="656"/>
      <c r="IG78" s="656"/>
      <c r="IH78" s="656"/>
      <c r="II78" s="656"/>
      <c r="IJ78" s="656"/>
      <c r="IK78" s="656"/>
      <c r="IL78" s="656"/>
      <c r="IM78" s="656"/>
      <c r="IN78" s="656"/>
      <c r="IO78" s="656"/>
      <c r="IP78" s="656"/>
      <c r="IQ78" s="656"/>
      <c r="IR78" s="656"/>
      <c r="IS78" s="656"/>
      <c r="IT78" s="656"/>
      <c r="IU78" s="656"/>
      <c r="IV78" s="656"/>
      <c r="IW78" s="656"/>
    </row>
    <row r="79" customFormat="false" ht="18.75" hidden="false" customHeight="true" outlineLevel="0" collapsed="false">
      <c r="A79" s="564" t="s">
        <v>287</v>
      </c>
      <c r="B79" s="564"/>
      <c r="C79" s="564"/>
      <c r="D79" s="564"/>
      <c r="E79" s="564"/>
      <c r="F79" s="564"/>
      <c r="G79" s="564"/>
      <c r="H79" s="564"/>
      <c r="I79" s="564"/>
      <c r="J79" s="564"/>
      <c r="K79" s="564"/>
      <c r="L79" s="564"/>
      <c r="M79" s="564"/>
      <c r="N79" s="564"/>
      <c r="O79" s="564"/>
      <c r="P79" s="564"/>
      <c r="Q79" s="564"/>
      <c r="R79" s="564"/>
      <c r="S79" s="564"/>
      <c r="T79" s="564"/>
      <c r="U79" s="564"/>
      <c r="V79" s="564"/>
      <c r="W79" s="564"/>
      <c r="X79" s="656"/>
      <c r="Y79" s="656"/>
      <c r="Z79" s="656"/>
      <c r="AA79" s="656"/>
      <c r="AB79" s="656"/>
      <c r="AC79" s="656"/>
      <c r="AD79" s="656"/>
      <c r="AE79" s="656"/>
      <c r="AF79" s="656"/>
      <c r="AG79" s="656"/>
      <c r="AH79" s="656"/>
      <c r="AI79" s="656"/>
      <c r="AJ79" s="656"/>
      <c r="AK79" s="656"/>
      <c r="AL79" s="656"/>
      <c r="AM79" s="656"/>
      <c r="AN79" s="656"/>
      <c r="AO79" s="656"/>
      <c r="AP79" s="656"/>
      <c r="AQ79" s="656"/>
      <c r="AR79" s="656"/>
      <c r="AS79" s="656"/>
      <c r="AT79" s="656"/>
      <c r="AU79" s="564"/>
      <c r="AV79" s="564"/>
      <c r="AW79" s="564"/>
      <c r="AX79" s="564"/>
      <c r="AY79" s="564"/>
      <c r="AZ79" s="564"/>
      <c r="BA79" s="564"/>
      <c r="BB79" s="564"/>
      <c r="BC79" s="564"/>
      <c r="BD79" s="564"/>
      <c r="BE79" s="564"/>
      <c r="BF79" s="564"/>
      <c r="BG79" s="564"/>
      <c r="BH79" s="564"/>
      <c r="BI79" s="564"/>
      <c r="BJ79" s="564"/>
      <c r="BK79" s="564"/>
      <c r="BL79" s="564"/>
      <c r="BM79" s="564"/>
      <c r="BN79" s="564"/>
      <c r="BO79" s="564"/>
      <c r="BP79" s="564"/>
      <c r="BQ79" s="564"/>
      <c r="BR79" s="564"/>
      <c r="BS79" s="564"/>
      <c r="BT79" s="564"/>
      <c r="BU79" s="564"/>
      <c r="BV79" s="564"/>
      <c r="BW79" s="564"/>
      <c r="BX79" s="564"/>
      <c r="BY79" s="564"/>
      <c r="BZ79" s="564"/>
      <c r="CA79" s="564"/>
      <c r="CB79" s="564"/>
      <c r="CC79" s="564"/>
      <c r="CD79" s="564"/>
      <c r="CE79" s="564"/>
      <c r="CF79" s="564"/>
      <c r="CG79" s="564"/>
      <c r="CH79" s="564"/>
      <c r="CI79" s="564"/>
      <c r="CJ79" s="564"/>
      <c r="CK79" s="564"/>
      <c r="CL79" s="564"/>
      <c r="CM79" s="564"/>
      <c r="CN79" s="564"/>
      <c r="CO79" s="564"/>
      <c r="CP79" s="564"/>
      <c r="CQ79" s="564"/>
      <c r="CR79" s="564"/>
      <c r="CS79" s="564"/>
      <c r="CT79" s="564"/>
      <c r="CU79" s="564"/>
      <c r="CV79" s="564"/>
      <c r="CW79" s="564"/>
      <c r="CX79" s="564"/>
      <c r="CY79" s="564"/>
      <c r="CZ79" s="564"/>
      <c r="DA79" s="564"/>
      <c r="DB79" s="564"/>
      <c r="DC79" s="564"/>
      <c r="DD79" s="564"/>
      <c r="DE79" s="564"/>
      <c r="DF79" s="564"/>
      <c r="DG79" s="564"/>
      <c r="DH79" s="564"/>
      <c r="DI79" s="564"/>
      <c r="DJ79" s="564"/>
      <c r="DK79" s="564"/>
      <c r="DL79" s="564"/>
      <c r="DM79" s="564"/>
      <c r="DN79" s="564"/>
      <c r="DO79" s="564"/>
      <c r="DP79" s="564"/>
      <c r="DQ79" s="564"/>
      <c r="DR79" s="564"/>
      <c r="DS79" s="564"/>
      <c r="DT79" s="564"/>
      <c r="DU79" s="564"/>
      <c r="DV79" s="564"/>
      <c r="DW79" s="564"/>
      <c r="DX79" s="564"/>
      <c r="DY79" s="564"/>
      <c r="DZ79" s="564"/>
      <c r="EA79" s="564"/>
      <c r="EB79" s="564"/>
      <c r="EC79" s="564"/>
      <c r="ED79" s="564"/>
      <c r="EE79" s="564"/>
      <c r="EF79" s="564"/>
      <c r="EG79" s="564"/>
      <c r="EH79" s="564"/>
      <c r="EI79" s="564"/>
      <c r="EJ79" s="564"/>
      <c r="EK79" s="564"/>
      <c r="EL79" s="564"/>
      <c r="EM79" s="564"/>
      <c r="EN79" s="564"/>
      <c r="EO79" s="564"/>
      <c r="EP79" s="564"/>
      <c r="EQ79" s="564"/>
      <c r="ER79" s="564"/>
      <c r="ES79" s="564"/>
      <c r="ET79" s="564"/>
      <c r="EU79" s="564"/>
      <c r="EV79" s="564"/>
      <c r="EW79" s="564"/>
      <c r="EX79" s="564"/>
      <c r="EY79" s="564"/>
      <c r="EZ79" s="564"/>
      <c r="FA79" s="564"/>
      <c r="FB79" s="564"/>
      <c r="FC79" s="564"/>
      <c r="FD79" s="564"/>
      <c r="FE79" s="564"/>
      <c r="FF79" s="564"/>
      <c r="FG79" s="564"/>
      <c r="FH79" s="564"/>
      <c r="FI79" s="564"/>
      <c r="FJ79" s="564"/>
      <c r="FK79" s="564"/>
      <c r="FL79" s="564"/>
      <c r="FM79" s="564"/>
      <c r="FN79" s="564"/>
      <c r="FO79" s="564"/>
      <c r="FP79" s="564"/>
      <c r="FQ79" s="564"/>
      <c r="FR79" s="564"/>
      <c r="FS79" s="564"/>
      <c r="FT79" s="564"/>
      <c r="FU79" s="564"/>
      <c r="FV79" s="564"/>
      <c r="FW79" s="564"/>
      <c r="FX79" s="564"/>
      <c r="FY79" s="564"/>
      <c r="FZ79" s="564"/>
      <c r="GA79" s="564"/>
      <c r="GB79" s="564"/>
      <c r="GC79" s="564"/>
      <c r="GD79" s="564"/>
      <c r="GE79" s="564"/>
      <c r="GF79" s="564"/>
      <c r="GG79" s="564"/>
      <c r="GH79" s="564"/>
      <c r="GI79" s="564"/>
      <c r="GJ79" s="564"/>
      <c r="GK79" s="564"/>
      <c r="GL79" s="564"/>
      <c r="GM79" s="564"/>
      <c r="GN79" s="564"/>
      <c r="GO79" s="564"/>
      <c r="GP79" s="564"/>
      <c r="GQ79" s="564"/>
      <c r="GR79" s="564"/>
      <c r="GS79" s="564"/>
      <c r="GT79" s="564"/>
      <c r="GU79" s="564"/>
      <c r="GV79" s="564"/>
      <c r="GW79" s="564"/>
      <c r="GX79" s="564"/>
      <c r="GY79" s="564"/>
      <c r="GZ79" s="564"/>
      <c r="HA79" s="564"/>
      <c r="HB79" s="564"/>
      <c r="HC79" s="564"/>
      <c r="HD79" s="564"/>
      <c r="HE79" s="564"/>
      <c r="HF79" s="564"/>
      <c r="HG79" s="564"/>
      <c r="HH79" s="564"/>
      <c r="HI79" s="564"/>
      <c r="HJ79" s="564"/>
      <c r="HK79" s="564"/>
      <c r="HL79" s="564"/>
      <c r="HM79" s="564"/>
      <c r="HN79" s="564"/>
      <c r="HO79" s="564"/>
      <c r="HP79" s="564"/>
      <c r="HQ79" s="564"/>
      <c r="HR79" s="564"/>
      <c r="HS79" s="564"/>
      <c r="HT79" s="564"/>
      <c r="HU79" s="564"/>
      <c r="HV79" s="564"/>
      <c r="HW79" s="564"/>
      <c r="HX79" s="564"/>
      <c r="HY79" s="564"/>
      <c r="HZ79" s="564"/>
      <c r="IA79" s="564"/>
      <c r="IB79" s="564"/>
      <c r="IC79" s="564"/>
      <c r="ID79" s="564"/>
      <c r="IE79" s="564"/>
      <c r="IF79" s="564"/>
      <c r="IG79" s="564"/>
      <c r="IH79" s="564"/>
      <c r="II79" s="564"/>
      <c r="IJ79" s="564"/>
      <c r="IK79" s="564"/>
      <c r="IL79" s="564"/>
      <c r="IM79" s="564"/>
      <c r="IN79" s="564"/>
      <c r="IO79" s="564"/>
      <c r="IP79" s="564"/>
      <c r="IQ79" s="564"/>
      <c r="IR79" s="564"/>
      <c r="IS79" s="564"/>
      <c r="IT79" s="564"/>
      <c r="IU79" s="564"/>
      <c r="IV79" s="564"/>
    </row>
    <row r="80" customFormat="false" ht="20.1" hidden="false" customHeight="true" outlineLevel="0" collapsed="false">
      <c r="B80" s="672" t="s">
        <v>288</v>
      </c>
      <c r="C80" s="672"/>
      <c r="D80" s="672"/>
      <c r="E80" s="672"/>
      <c r="F80" s="673"/>
      <c r="G80" s="673"/>
      <c r="H80" s="673"/>
      <c r="I80" s="673"/>
      <c r="J80" s="673"/>
      <c r="P80" s="674"/>
      <c r="Q80" s="674"/>
      <c r="R80" s="674"/>
      <c r="S80" s="674"/>
      <c r="T80" s="674"/>
      <c r="U80" s="674"/>
      <c r="V80" s="674"/>
      <c r="W80" s="674"/>
    </row>
    <row r="81" customFormat="false" ht="12.75" hidden="false" customHeight="false" outlineLevel="0" collapsed="false">
      <c r="B81" s="675"/>
      <c r="C81" s="675"/>
      <c r="D81" s="675"/>
      <c r="E81" s="676"/>
      <c r="F81" s="675"/>
      <c r="G81" s="675"/>
      <c r="H81" s="675"/>
      <c r="I81" s="675"/>
      <c r="J81" s="675"/>
      <c r="P81" s="674"/>
      <c r="Q81" s="674"/>
      <c r="R81" s="674"/>
      <c r="S81" s="674"/>
      <c r="T81" s="674"/>
      <c r="U81" s="674"/>
      <c r="V81" s="674"/>
      <c r="W81" s="674"/>
    </row>
    <row r="82" customFormat="false" ht="12.75" hidden="false" customHeight="true" outlineLevel="0" collapsed="false">
      <c r="B82" s="677" t="s">
        <v>289</v>
      </c>
      <c r="C82" s="677"/>
      <c r="D82" s="677"/>
      <c r="E82" s="677"/>
      <c r="F82" s="677"/>
      <c r="G82" s="678" t="s">
        <v>290</v>
      </c>
      <c r="H82" s="678"/>
      <c r="I82" s="678"/>
      <c r="J82" s="678"/>
      <c r="K82" s="678"/>
      <c r="L82" s="678"/>
      <c r="M82" s="678"/>
      <c r="P82" s="679"/>
      <c r="Q82" s="679"/>
      <c r="R82" s="679"/>
      <c r="S82" s="679"/>
      <c r="T82" s="679"/>
      <c r="U82" s="679"/>
      <c r="V82" s="679"/>
      <c r="W82" s="679"/>
    </row>
    <row r="83" customFormat="false" ht="15.95" hidden="false" customHeight="true" outlineLevel="0" collapsed="false">
      <c r="B83" s="677"/>
      <c r="C83" s="677"/>
      <c r="D83" s="677"/>
      <c r="E83" s="677"/>
      <c r="F83" s="677"/>
      <c r="G83" s="678"/>
      <c r="H83" s="678"/>
      <c r="I83" s="678"/>
      <c r="J83" s="678"/>
      <c r="K83" s="678"/>
      <c r="L83" s="678"/>
      <c r="M83" s="678"/>
      <c r="P83" s="680"/>
      <c r="Q83" s="680"/>
      <c r="R83" s="680"/>
      <c r="S83" s="680"/>
      <c r="T83" s="680"/>
      <c r="U83" s="680"/>
      <c r="V83" s="680"/>
      <c r="W83" s="680"/>
    </row>
    <row r="84" customFormat="false" ht="12.75" hidden="false" customHeight="false" outlineLevel="0" collapsed="false">
      <c r="K84" s="674"/>
      <c r="L84" s="674"/>
      <c r="M84" s="674"/>
      <c r="N84" s="674"/>
      <c r="O84" s="674"/>
      <c r="P84" s="681" t="s">
        <v>106</v>
      </c>
      <c r="Q84" s="681"/>
      <c r="R84" s="681"/>
      <c r="S84" s="681"/>
      <c r="T84" s="681"/>
      <c r="U84" s="681"/>
      <c r="V84" s="681"/>
      <c r="W84" s="681"/>
    </row>
    <row r="85" customFormat="false" ht="20.1" hidden="false" customHeight="true" outlineLevel="0" collapsed="false">
      <c r="B85" s="672" t="s">
        <v>288</v>
      </c>
      <c r="C85" s="672"/>
      <c r="D85" s="672"/>
      <c r="E85" s="672"/>
      <c r="F85" s="673"/>
      <c r="G85" s="673"/>
      <c r="H85" s="673"/>
      <c r="I85" s="673"/>
      <c r="J85" s="673"/>
      <c r="P85" s="674"/>
      <c r="Q85" s="674"/>
      <c r="R85" s="674"/>
      <c r="S85" s="674"/>
      <c r="T85" s="674"/>
      <c r="U85" s="674"/>
      <c r="V85" s="674"/>
      <c r="W85" s="674"/>
    </row>
    <row r="86" customFormat="false" ht="12.75" hidden="false" customHeight="false" outlineLevel="0" collapsed="false">
      <c r="P86" s="674"/>
      <c r="Q86" s="674"/>
      <c r="R86" s="674"/>
      <c r="S86" s="674"/>
      <c r="T86" s="674"/>
      <c r="U86" s="674"/>
      <c r="V86" s="674"/>
      <c r="W86" s="674"/>
    </row>
    <row r="87" customFormat="false" ht="12.75" hidden="false" customHeight="true" outlineLevel="0" collapsed="false">
      <c r="B87" s="677" t="s">
        <v>291</v>
      </c>
      <c r="C87" s="677"/>
      <c r="D87" s="677"/>
      <c r="E87" s="677"/>
      <c r="F87" s="677"/>
      <c r="G87" s="682" t="n">
        <f aca="false">'Přehled akce'!D6</f>
        <v>0</v>
      </c>
      <c r="H87" s="682"/>
      <c r="I87" s="682"/>
      <c r="J87" s="682"/>
      <c r="K87" s="682"/>
      <c r="L87" s="682"/>
      <c r="M87" s="682"/>
      <c r="N87" s="683"/>
      <c r="O87" s="683"/>
      <c r="P87" s="679"/>
      <c r="Q87" s="679"/>
      <c r="R87" s="679"/>
      <c r="S87" s="679"/>
      <c r="T87" s="679"/>
      <c r="U87" s="679"/>
      <c r="V87" s="679"/>
      <c r="W87" s="679"/>
    </row>
    <row r="88" customFormat="false" ht="12.75" hidden="false" customHeight="false" outlineLevel="0" collapsed="false">
      <c r="B88" s="677"/>
      <c r="C88" s="677"/>
      <c r="D88" s="677"/>
      <c r="E88" s="677"/>
      <c r="F88" s="677"/>
      <c r="G88" s="682"/>
      <c r="H88" s="682"/>
      <c r="I88" s="682"/>
      <c r="J88" s="682"/>
      <c r="K88" s="682"/>
      <c r="L88" s="682"/>
      <c r="M88" s="682"/>
      <c r="N88" s="683"/>
      <c r="O88" s="683"/>
      <c r="P88" s="680"/>
      <c r="Q88" s="680"/>
      <c r="R88" s="680"/>
      <c r="S88" s="680"/>
      <c r="T88" s="680"/>
      <c r="U88" s="680"/>
      <c r="V88" s="680"/>
      <c r="W88" s="680"/>
    </row>
    <row r="89" customFormat="false" ht="12.75" hidden="false" customHeight="false" outlineLevel="0" collapsed="false">
      <c r="K89" s="674"/>
      <c r="L89" s="674"/>
      <c r="M89" s="674"/>
      <c r="N89" s="674"/>
      <c r="O89" s="674"/>
      <c r="P89" s="681" t="s">
        <v>106</v>
      </c>
      <c r="Q89" s="681"/>
      <c r="R89" s="681"/>
      <c r="S89" s="681"/>
      <c r="T89" s="681"/>
      <c r="U89" s="681"/>
      <c r="V89" s="681"/>
      <c r="W89" s="681"/>
    </row>
    <row r="91" customFormat="false" ht="19.5" hidden="false" customHeight="true" outlineLevel="0" collapsed="false">
      <c r="A91" s="564" t="s">
        <v>292</v>
      </c>
      <c r="B91" s="564"/>
      <c r="C91" s="564"/>
      <c r="D91" s="564"/>
      <c r="E91" s="564"/>
      <c r="F91" s="564"/>
      <c r="G91" s="564"/>
      <c r="H91" s="564"/>
      <c r="I91" s="564"/>
      <c r="J91" s="564"/>
      <c r="K91" s="564"/>
      <c r="L91" s="564"/>
      <c r="M91" s="564"/>
      <c r="N91" s="564"/>
      <c r="O91" s="564"/>
      <c r="P91" s="564"/>
      <c r="Q91" s="564"/>
      <c r="R91" s="564"/>
      <c r="S91" s="564"/>
      <c r="T91" s="564"/>
      <c r="U91" s="564"/>
      <c r="V91" s="564"/>
      <c r="W91" s="564"/>
    </row>
    <row r="92" customFormat="false" ht="9.75" hidden="false" customHeight="true" outlineLevel="0" collapsed="false"/>
    <row r="93" customFormat="false" ht="15.95" hidden="false" customHeight="true" outlineLevel="0" collapsed="false">
      <c r="B93" s="684"/>
      <c r="C93" s="684"/>
      <c r="D93" s="684"/>
      <c r="E93" s="684"/>
      <c r="F93" s="684"/>
      <c r="G93" s="684"/>
      <c r="H93" s="684"/>
      <c r="I93" s="684"/>
      <c r="J93" s="684"/>
      <c r="K93" s="684"/>
      <c r="L93" s="684"/>
      <c r="M93" s="684"/>
      <c r="N93" s="684"/>
      <c r="O93" s="684"/>
      <c r="P93" s="684"/>
      <c r="Q93" s="684"/>
      <c r="R93" s="684"/>
      <c r="S93" s="684"/>
      <c r="T93" s="684"/>
      <c r="U93" s="684"/>
      <c r="V93" s="684"/>
      <c r="W93" s="684"/>
    </row>
    <row r="94" customFormat="false" ht="15.95" hidden="false" customHeight="true" outlineLevel="0" collapsed="false"/>
    <row r="95" customFormat="false" ht="20.1" hidden="false" customHeight="true" outlineLevel="0" collapsed="false">
      <c r="B95" s="672" t="s">
        <v>288</v>
      </c>
      <c r="C95" s="672"/>
      <c r="D95" s="672"/>
      <c r="E95" s="672"/>
      <c r="F95" s="673"/>
      <c r="G95" s="673"/>
      <c r="H95" s="673"/>
      <c r="I95" s="673"/>
      <c r="J95" s="673"/>
      <c r="P95" s="674"/>
      <c r="Q95" s="674"/>
      <c r="R95" s="674"/>
      <c r="S95" s="674"/>
      <c r="T95" s="674"/>
      <c r="U95" s="674"/>
      <c r="V95" s="674"/>
      <c r="W95" s="674"/>
    </row>
    <row r="96" customFormat="false" ht="12.75" hidden="false" customHeight="false" outlineLevel="0" collapsed="false">
      <c r="B96" s="675"/>
      <c r="C96" s="675"/>
      <c r="D96" s="675"/>
      <c r="E96" s="676"/>
      <c r="F96" s="675"/>
      <c r="G96" s="675"/>
      <c r="H96" s="675"/>
      <c r="I96" s="675"/>
      <c r="J96" s="675"/>
      <c r="P96" s="674"/>
      <c r="Q96" s="674"/>
      <c r="R96" s="674"/>
      <c r="S96" s="674"/>
      <c r="T96" s="674"/>
      <c r="U96" s="674"/>
      <c r="V96" s="674"/>
      <c r="W96" s="674"/>
    </row>
    <row r="97" customFormat="false" ht="12.75" hidden="false" customHeight="false" outlineLevel="0" collapsed="false">
      <c r="B97" s="685" t="s">
        <v>293</v>
      </c>
      <c r="C97" s="685"/>
      <c r="D97" s="685"/>
      <c r="E97" s="685"/>
      <c r="F97" s="685"/>
      <c r="G97" s="678" t="s">
        <v>294</v>
      </c>
      <c r="H97" s="678"/>
      <c r="I97" s="678"/>
      <c r="J97" s="678"/>
      <c r="K97" s="678"/>
      <c r="L97" s="678"/>
      <c r="M97" s="678"/>
      <c r="O97" s="674"/>
      <c r="P97" s="680"/>
      <c r="Q97" s="680"/>
      <c r="R97" s="680"/>
      <c r="S97" s="680"/>
      <c r="T97" s="680"/>
      <c r="U97" s="680"/>
      <c r="V97" s="680"/>
      <c r="W97" s="680"/>
    </row>
    <row r="98" customFormat="false" ht="12.75" hidden="false" customHeight="false" outlineLevel="0" collapsed="false">
      <c r="B98" s="685"/>
      <c r="C98" s="685"/>
      <c r="D98" s="685"/>
      <c r="E98" s="685"/>
      <c r="F98" s="685"/>
      <c r="G98" s="678"/>
      <c r="H98" s="678"/>
      <c r="I98" s="678"/>
      <c r="J98" s="678"/>
      <c r="K98" s="678"/>
      <c r="L98" s="678"/>
      <c r="M98" s="678"/>
      <c r="O98" s="681"/>
      <c r="P98" s="680"/>
      <c r="Q98" s="680"/>
      <c r="R98" s="680"/>
      <c r="S98" s="680"/>
      <c r="T98" s="680"/>
      <c r="U98" s="680"/>
      <c r="V98" s="680"/>
      <c r="W98" s="680"/>
    </row>
    <row r="99" customFormat="false" ht="12.75" hidden="false" customHeight="false" outlineLevel="0" collapsed="false">
      <c r="P99" s="686" t="s">
        <v>106</v>
      </c>
      <c r="Q99" s="686"/>
      <c r="R99" s="686"/>
      <c r="S99" s="686"/>
      <c r="T99" s="686"/>
      <c r="U99" s="686"/>
      <c r="V99" s="686"/>
      <c r="W99" s="686"/>
    </row>
  </sheetData>
  <mergeCells count="187">
    <mergeCell ref="E1:W1"/>
    <mergeCell ref="E2:W2"/>
    <mergeCell ref="B6:W6"/>
    <mergeCell ref="A8:W8"/>
    <mergeCell ref="B10:K10"/>
    <mergeCell ref="B11:K11"/>
    <mergeCell ref="B12:K12"/>
    <mergeCell ref="B13:K13"/>
    <mergeCell ref="Q13:Z13"/>
    <mergeCell ref="B14:K14"/>
    <mergeCell ref="Q14:Z14"/>
    <mergeCell ref="B15:K15"/>
    <mergeCell ref="Q15:Z15"/>
    <mergeCell ref="B16:K16"/>
    <mergeCell ref="Q16:Z16"/>
    <mergeCell ref="B17:K17"/>
    <mergeCell ref="M18:Z18"/>
    <mergeCell ref="A20:K20"/>
    <mergeCell ref="B22:D22"/>
    <mergeCell ref="E22:L22"/>
    <mergeCell ref="M22:Q22"/>
    <mergeCell ref="R22:U22"/>
    <mergeCell ref="V22:W22"/>
    <mergeCell ref="B23:D23"/>
    <mergeCell ref="E23:L23"/>
    <mergeCell ref="M23:Q23"/>
    <mergeCell ref="R23:U23"/>
    <mergeCell ref="V23:W23"/>
    <mergeCell ref="B24:D24"/>
    <mergeCell ref="E24:L24"/>
    <mergeCell ref="M24:Q24"/>
    <mergeCell ref="R24:U24"/>
    <mergeCell ref="V24:W24"/>
    <mergeCell ref="B25:D25"/>
    <mergeCell ref="E25:L25"/>
    <mergeCell ref="M25:Q25"/>
    <mergeCell ref="R25:U25"/>
    <mergeCell ref="V25:W25"/>
    <mergeCell ref="B26:D26"/>
    <mergeCell ref="E26:L26"/>
    <mergeCell ref="M26:Q26"/>
    <mergeCell ref="R26:U26"/>
    <mergeCell ref="V26:W26"/>
    <mergeCell ref="B27:U27"/>
    <mergeCell ref="V27:W27"/>
    <mergeCell ref="B28:W28"/>
    <mergeCell ref="A30:W30"/>
    <mergeCell ref="B31:W31"/>
    <mergeCell ref="B32:E34"/>
    <mergeCell ref="F32:G34"/>
    <mergeCell ref="H32:O32"/>
    <mergeCell ref="P32:S32"/>
    <mergeCell ref="T32:W32"/>
    <mergeCell ref="H33:O34"/>
    <mergeCell ref="P33:S34"/>
    <mergeCell ref="T33:W34"/>
    <mergeCell ref="B36:E38"/>
    <mergeCell ref="F36:G38"/>
    <mergeCell ref="H36:O36"/>
    <mergeCell ref="P36:S36"/>
    <mergeCell ref="T36:W36"/>
    <mergeCell ref="H37:O38"/>
    <mergeCell ref="P37:S38"/>
    <mergeCell ref="T37:W38"/>
    <mergeCell ref="B40:E42"/>
    <mergeCell ref="F40:G42"/>
    <mergeCell ref="H40:O40"/>
    <mergeCell ref="P40:S40"/>
    <mergeCell ref="T40:W40"/>
    <mergeCell ref="H41:O42"/>
    <mergeCell ref="P41:S42"/>
    <mergeCell ref="T41:W42"/>
    <mergeCell ref="B44:E46"/>
    <mergeCell ref="F44:G46"/>
    <mergeCell ref="H44:O44"/>
    <mergeCell ref="P44:S44"/>
    <mergeCell ref="T44:W44"/>
    <mergeCell ref="H45:O46"/>
    <mergeCell ref="P45:S46"/>
    <mergeCell ref="T45:W46"/>
    <mergeCell ref="A48:W48"/>
    <mergeCell ref="B49:W49"/>
    <mergeCell ref="C50:S50"/>
    <mergeCell ref="T50:W50"/>
    <mergeCell ref="C51:K51"/>
    <mergeCell ref="Q51:U51"/>
    <mergeCell ref="C52:K52"/>
    <mergeCell ref="Q52:U52"/>
    <mergeCell ref="C53:O53"/>
    <mergeCell ref="Q53:U53"/>
    <mergeCell ref="A55:W55"/>
    <mergeCell ref="B57:L57"/>
    <mergeCell ref="M57:W57"/>
    <mergeCell ref="B58:H58"/>
    <mergeCell ref="I58:L58"/>
    <mergeCell ref="M58:S58"/>
    <mergeCell ref="T58:W58"/>
    <mergeCell ref="B59:H59"/>
    <mergeCell ref="I59:L59"/>
    <mergeCell ref="M59:S59"/>
    <mergeCell ref="T59:W59"/>
    <mergeCell ref="B60:H60"/>
    <mergeCell ref="I60:L60"/>
    <mergeCell ref="M60:S60"/>
    <mergeCell ref="T60:W60"/>
    <mergeCell ref="B61:H61"/>
    <mergeCell ref="I61:L61"/>
    <mergeCell ref="M61:S61"/>
    <mergeCell ref="T61:W61"/>
    <mergeCell ref="B62:H62"/>
    <mergeCell ref="I62:L62"/>
    <mergeCell ref="M62:S62"/>
    <mergeCell ref="T62:W62"/>
    <mergeCell ref="B63:H63"/>
    <mergeCell ref="I63:L63"/>
    <mergeCell ref="M63:S63"/>
    <mergeCell ref="T63:W63"/>
    <mergeCell ref="B64:H64"/>
    <mergeCell ref="I64:L64"/>
    <mergeCell ref="M64:S64"/>
    <mergeCell ref="T64:W64"/>
    <mergeCell ref="B65:H65"/>
    <mergeCell ref="I65:L65"/>
    <mergeCell ref="M65:S65"/>
    <mergeCell ref="T65:W65"/>
    <mergeCell ref="B66:H66"/>
    <mergeCell ref="I66:L66"/>
    <mergeCell ref="M66:S66"/>
    <mergeCell ref="T66:W66"/>
    <mergeCell ref="B67:H67"/>
    <mergeCell ref="I67:L67"/>
    <mergeCell ref="M67:S67"/>
    <mergeCell ref="T67:W67"/>
    <mergeCell ref="B68:H68"/>
    <mergeCell ref="I68:L68"/>
    <mergeCell ref="M68:S68"/>
    <mergeCell ref="T68:W68"/>
    <mergeCell ref="A70:W70"/>
    <mergeCell ref="G72:I72"/>
    <mergeCell ref="K72:O72"/>
    <mergeCell ref="P72:W72"/>
    <mergeCell ref="A74:W74"/>
    <mergeCell ref="AU74:BQ74"/>
    <mergeCell ref="BR74:CN74"/>
    <mergeCell ref="CO74:DK74"/>
    <mergeCell ref="DL74:EH74"/>
    <mergeCell ref="EI74:FE74"/>
    <mergeCell ref="FF74:GB74"/>
    <mergeCell ref="GC74:GY74"/>
    <mergeCell ref="GZ74:HV74"/>
    <mergeCell ref="HW74:IS74"/>
    <mergeCell ref="IT74:IV74"/>
    <mergeCell ref="B76:E76"/>
    <mergeCell ref="F76:S76"/>
    <mergeCell ref="B77:E77"/>
    <mergeCell ref="F77:J77"/>
    <mergeCell ref="K77:M77"/>
    <mergeCell ref="N77:S77"/>
    <mergeCell ref="A79:W79"/>
    <mergeCell ref="AU79:BQ79"/>
    <mergeCell ref="BR79:CN79"/>
    <mergeCell ref="CO79:DK79"/>
    <mergeCell ref="DL79:EH79"/>
    <mergeCell ref="EI79:FE79"/>
    <mergeCell ref="FF79:GB79"/>
    <mergeCell ref="GC79:GY79"/>
    <mergeCell ref="GZ79:HV79"/>
    <mergeCell ref="HW79:IS79"/>
    <mergeCell ref="IT79:IV79"/>
    <mergeCell ref="B80:E80"/>
    <mergeCell ref="F80:J80"/>
    <mergeCell ref="B82:F83"/>
    <mergeCell ref="G82:M83"/>
    <mergeCell ref="P84:W84"/>
    <mergeCell ref="B85:E85"/>
    <mergeCell ref="F85:J85"/>
    <mergeCell ref="B87:F88"/>
    <mergeCell ref="G87:M88"/>
    <mergeCell ref="P89:W89"/>
    <mergeCell ref="A91:W91"/>
    <mergeCell ref="B93:W93"/>
    <mergeCell ref="B95:E95"/>
    <mergeCell ref="F95:J95"/>
    <mergeCell ref="B97:F98"/>
    <mergeCell ref="G97:M98"/>
    <mergeCell ref="P97:W98"/>
    <mergeCell ref="P99:W99"/>
  </mergeCells>
  <printOptions headings="false" gridLines="false" gridLinesSet="true" horizontalCentered="false" verticalCentered="false"/>
  <pageMargins left="0.433333333333333" right="0.39375" top="0.39375" bottom="0.511805555555556" header="0.511811023622047" footer="0.511805555555556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&amp;Lfor_vyuctovani_vzdelavaci_akce&amp;R&amp;P/&amp;N</oddFooter>
  </headerFooter>
  <rowBreaks count="1" manualBreakCount="1">
    <brk id="47" man="true" max="16383" min="0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2004-12-31T16:37:56Z</dcterms:created>
  <dc:creator>Kupka Ondřej</dc:creator>
  <dc:description/>
  <dc:language>en-US</dc:language>
  <cp:lastModifiedBy>Pavel Tor Priesnitz</cp:lastModifiedBy>
  <cp:lastPrinted>2019-02-05T15:08:55Z</cp:lastPrinted>
  <dcterms:modified xsi:type="dcterms:W3CDTF">2019-03-01T14:36:20Z</dcterms:modified>
  <cp:revision>0</cp:revision>
  <dc:subject/>
  <dc:title/>
</cp:coreProperties>
</file>